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59032\МОИ ДОКУМЕНТЫ\СТРОЙМОНТАЖКОМПЛЕКС\МОЭСК\ССР\Договор № 290729-ПС-22 Феодосийская зу 7\Для сдачи в МКС\"/>
    </mc:Choice>
  </mc:AlternateContent>
  <bookViews>
    <workbookView xWindow="0" yWindow="0" windowWidth="21570" windowHeight="10215"/>
  </bookViews>
  <sheets>
    <sheet name="Смета по ТСН-2001(с доп.67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externalReferences>
    <externalReference r:id="rId8"/>
  </externalReferences>
  <definedNames>
    <definedName name="_xlnm.Print_Titles" localSheetId="0">'Смета по ТСН-2001(с доп.67'!$27:$27</definedName>
    <definedName name="_xlnm.Print_Area" localSheetId="0">'Смета по ТСН-2001(с доп.67'!$A$1:$K$60</definedName>
  </definedNames>
  <calcPr calcId="162913" iterate="1"/>
</workbook>
</file>

<file path=xl/calcChain.xml><?xml version="1.0" encoding="utf-8"?>
<calcChain xmlns="http://schemas.openxmlformats.org/spreadsheetml/2006/main">
  <c r="A11" i="7" l="1"/>
  <c r="AP6" i="7"/>
  <c r="A1" i="7"/>
  <c r="H58" i="7" l="1"/>
  <c r="H55" i="7"/>
  <c r="C58" i="7"/>
  <c r="C55" i="7"/>
  <c r="J22" i="7"/>
  <c r="J19" i="7"/>
  <c r="J18" i="7"/>
  <c r="J17" i="7"/>
  <c r="J16" i="7"/>
  <c r="J15" i="7"/>
  <c r="J14" i="7" s="1"/>
  <c r="I22" i="7"/>
  <c r="H52" i="7"/>
  <c r="J52" i="7"/>
  <c r="H51" i="7"/>
  <c r="J51" i="7"/>
  <c r="AQ50" i="7"/>
  <c r="A50" i="7"/>
  <c r="H48" i="7"/>
  <c r="J48" i="7"/>
  <c r="H47" i="7"/>
  <c r="J47" i="7"/>
  <c r="A46" i="7"/>
  <c r="AA43" i="7"/>
  <c r="Z43" i="7"/>
  <c r="Y43" i="7"/>
  <c r="K42" i="7"/>
  <c r="P43" i="7" s="1"/>
  <c r="J42" i="7"/>
  <c r="E42" i="7"/>
  <c r="K41" i="7"/>
  <c r="J41" i="7"/>
  <c r="I41" i="7"/>
  <c r="W41" i="7" s="1"/>
  <c r="H41" i="7"/>
  <c r="G41" i="7"/>
  <c r="F41" i="7"/>
  <c r="K40" i="7"/>
  <c r="J40" i="7"/>
  <c r="I40" i="7"/>
  <c r="H40" i="7"/>
  <c r="G40" i="7"/>
  <c r="F40" i="7"/>
  <c r="V39" i="7"/>
  <c r="T39" i="7"/>
  <c r="R39" i="7"/>
  <c r="U39" i="7"/>
  <c r="I42" i="7" s="1"/>
  <c r="S39" i="7"/>
  <c r="Q39" i="7"/>
  <c r="E39" i="7"/>
  <c r="D39" i="7"/>
  <c r="B39" i="7"/>
  <c r="Z37" i="7"/>
  <c r="I17" i="7" s="1"/>
  <c r="Y37" i="7"/>
  <c r="I16" i="7" s="1"/>
  <c r="X37" i="7"/>
  <c r="H36" i="7"/>
  <c r="J36" i="7"/>
  <c r="I34" i="7"/>
  <c r="AB34" i="7" s="1"/>
  <c r="I20" i="7" s="1"/>
  <c r="H34" i="7"/>
  <c r="G34" i="7"/>
  <c r="E34" i="7"/>
  <c r="J33" i="7"/>
  <c r="E33" i="7"/>
  <c r="K32" i="7"/>
  <c r="J32" i="7"/>
  <c r="E32" i="7"/>
  <c r="K31" i="7"/>
  <c r="P37" i="7" s="1"/>
  <c r="J31" i="7"/>
  <c r="I31" i="7"/>
  <c r="H31" i="7"/>
  <c r="G31" i="7"/>
  <c r="F31" i="7"/>
  <c r="V30" i="7"/>
  <c r="T30" i="7"/>
  <c r="K33" i="7" s="1"/>
  <c r="R30" i="7"/>
  <c r="U30" i="7"/>
  <c r="S30" i="7"/>
  <c r="I33" i="7" s="1"/>
  <c r="Q30" i="7"/>
  <c r="I32" i="7" s="1"/>
  <c r="E30" i="7"/>
  <c r="D30" i="7"/>
  <c r="A29" i="7"/>
  <c r="O43" i="7" l="1"/>
  <c r="J46" i="7"/>
  <c r="J50" i="7"/>
  <c r="O37" i="7"/>
  <c r="W31" i="7"/>
  <c r="I19" i="7" s="1"/>
  <c r="J35" i="7"/>
  <c r="X43" i="7"/>
  <c r="I15" i="7" s="1"/>
  <c r="I14" i="7" s="1"/>
  <c r="H43" i="7"/>
  <c r="AA37" i="7"/>
  <c r="I18" i="7" s="1"/>
  <c r="H35" i="7"/>
  <c r="J43" i="7"/>
  <c r="A1" i="4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ES18" i="1"/>
  <c r="ET18" i="1"/>
  <c r="EU18" i="1"/>
  <c r="EV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B22" i="1"/>
  <c r="C22" i="1"/>
  <c r="E22" i="1"/>
  <c r="G22" i="1"/>
  <c r="Z22" i="1"/>
  <c r="AA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CC22" i="1"/>
  <c r="CK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I24" i="1"/>
  <c r="Q24" i="1" s="1"/>
  <c r="K24" i="1"/>
  <c r="R24" i="1"/>
  <c r="V24" i="1"/>
  <c r="AI27" i="1" s="1"/>
  <c r="AC24" i="1"/>
  <c r="P24" i="1" s="1"/>
  <c r="AE24" i="1"/>
  <c r="AD24" i="1" s="1"/>
  <c r="AB24" i="1" s="1"/>
  <c r="AF24" i="1"/>
  <c r="CT24" i="1" s="1"/>
  <c r="AG24" i="1"/>
  <c r="CU24" i="1" s="1"/>
  <c r="T24" i="1" s="1"/>
  <c r="AG27" i="1" s="1"/>
  <c r="AH24" i="1"/>
  <c r="CV24" i="1" s="1"/>
  <c r="U24" i="1" s="1"/>
  <c r="AI24" i="1"/>
  <c r="AJ24" i="1"/>
  <c r="CX24" i="1" s="1"/>
  <c r="W24" i="1" s="1"/>
  <c r="CR24" i="1"/>
  <c r="CS24" i="1"/>
  <c r="CW24" i="1"/>
  <c r="GK24" i="1"/>
  <c r="GL24" i="1"/>
  <c r="GN24" i="1"/>
  <c r="GO24" i="1"/>
  <c r="GV24" i="1"/>
  <c r="HC24" i="1"/>
  <c r="GX24" i="1" s="1"/>
  <c r="CJ27" i="1" s="1"/>
  <c r="I25" i="1"/>
  <c r="P25" i="1" s="1"/>
  <c r="K25" i="1"/>
  <c r="T25" i="1"/>
  <c r="AC25" i="1"/>
  <c r="AB25" i="1" s="1"/>
  <c r="AD25" i="1"/>
  <c r="AE25" i="1"/>
  <c r="CS25" i="1" s="1"/>
  <c r="AF25" i="1"/>
  <c r="S25" i="1" s="1"/>
  <c r="AG25" i="1"/>
  <c r="AH25" i="1"/>
  <c r="CV25" i="1" s="1"/>
  <c r="U25" i="1" s="1"/>
  <c r="AI25" i="1"/>
  <c r="CW25" i="1" s="1"/>
  <c r="V25" i="1" s="1"/>
  <c r="AJ25" i="1"/>
  <c r="CQ25" i="1"/>
  <c r="CR25" i="1"/>
  <c r="CU25" i="1"/>
  <c r="CX25" i="1"/>
  <c r="W25" i="1" s="1"/>
  <c r="GL25" i="1"/>
  <c r="GO25" i="1"/>
  <c r="GP25" i="1"/>
  <c r="GV25" i="1"/>
  <c r="HC25" i="1" s="1"/>
  <c r="GX25" i="1" s="1"/>
  <c r="B27" i="1"/>
  <c r="C27" i="1"/>
  <c r="D27" i="1"/>
  <c r="D22" i="1" s="1"/>
  <c r="F27" i="1"/>
  <c r="F22" i="1" s="1"/>
  <c r="G27" i="1"/>
  <c r="BX27" i="1"/>
  <c r="CG27" i="1" s="1"/>
  <c r="BY27" i="1"/>
  <c r="AP27" i="1" s="1"/>
  <c r="BZ27" i="1"/>
  <c r="BZ22" i="1" s="1"/>
  <c r="CC27" i="1"/>
  <c r="AT27" i="1" s="1"/>
  <c r="CI27" i="1"/>
  <c r="AZ27" i="1" s="1"/>
  <c r="CK27" i="1"/>
  <c r="BB27" i="1" s="1"/>
  <c r="CL27" i="1"/>
  <c r="CL22" i="1" s="1"/>
  <c r="CM27" i="1"/>
  <c r="CM22" i="1" s="1"/>
  <c r="B57" i="1"/>
  <c r="B18" i="1" s="1"/>
  <c r="C57" i="1"/>
  <c r="C18" i="1" s="1"/>
  <c r="D57" i="1"/>
  <c r="D18" i="1" s="1"/>
  <c r="F57" i="1"/>
  <c r="F18" i="1" s="1"/>
  <c r="G57" i="1"/>
  <c r="G18" i="1" s="1"/>
  <c r="F12" i="6"/>
  <c r="G12" i="6"/>
  <c r="CY12" i="6"/>
  <c r="H50" i="7" l="1"/>
  <c r="H46" i="7"/>
  <c r="F38" i="1"/>
  <c r="AZ22" i="1"/>
  <c r="AZ57" i="1"/>
  <c r="AH27" i="1"/>
  <c r="AT22" i="1"/>
  <c r="F45" i="1"/>
  <c r="F16" i="2" s="1"/>
  <c r="AT57" i="1"/>
  <c r="AG22" i="1"/>
  <c r="T27" i="1"/>
  <c r="AP22" i="1"/>
  <c r="AP57" i="1"/>
  <c r="F36" i="1"/>
  <c r="G16" i="2" s="1"/>
  <c r="AX27" i="1"/>
  <c r="CG22" i="1"/>
  <c r="AC27" i="1"/>
  <c r="CJ22" i="1"/>
  <c r="BA27" i="1"/>
  <c r="V27" i="1"/>
  <c r="AI22" i="1"/>
  <c r="CY25" i="1"/>
  <c r="X25" i="1" s="1"/>
  <c r="CZ25" i="1"/>
  <c r="Y25" i="1" s="1"/>
  <c r="AJ27" i="1"/>
  <c r="F40" i="1"/>
  <c r="BB57" i="1"/>
  <c r="BB22" i="1"/>
  <c r="R25" i="1"/>
  <c r="CQ24" i="1"/>
  <c r="CI22" i="1"/>
  <c r="AQ27" i="1"/>
  <c r="BD27" i="1"/>
  <c r="Q25" i="1"/>
  <c r="AD27" i="1" s="1"/>
  <c r="S24" i="1"/>
  <c r="CP24" i="1" s="1"/>
  <c r="O24" i="1" s="1"/>
  <c r="BC27" i="1"/>
  <c r="BY22" i="1"/>
  <c r="CT25" i="1"/>
  <c r="BX22" i="1"/>
  <c r="AO27" i="1"/>
  <c r="GM24" i="1" l="1"/>
  <c r="AB27" i="1"/>
  <c r="Q27" i="1"/>
  <c r="AD22" i="1"/>
  <c r="T22" i="1"/>
  <c r="T57" i="1"/>
  <c r="F48" i="1"/>
  <c r="BD22" i="1"/>
  <c r="F52" i="1"/>
  <c r="BD57" i="1"/>
  <c r="W27" i="1"/>
  <c r="AJ22" i="1"/>
  <c r="P27" i="1"/>
  <c r="CH27" i="1"/>
  <c r="AC22" i="1"/>
  <c r="CE27" i="1"/>
  <c r="CF27" i="1"/>
  <c r="AO57" i="1"/>
  <c r="AO22" i="1"/>
  <c r="F31" i="1"/>
  <c r="AQ22" i="1"/>
  <c r="AQ57" i="1"/>
  <c r="F37" i="1"/>
  <c r="CP25" i="1"/>
  <c r="O25" i="1" s="1"/>
  <c r="GM25" i="1" s="1"/>
  <c r="GN25" i="1" s="1"/>
  <c r="CB27" i="1" s="1"/>
  <c r="F75" i="1"/>
  <c r="AT18" i="1"/>
  <c r="AX22" i="1"/>
  <c r="AX57" i="1"/>
  <c r="F34" i="1"/>
  <c r="GK25" i="1"/>
  <c r="AE27" i="1"/>
  <c r="F50" i="1"/>
  <c r="V22" i="1"/>
  <c r="V57" i="1"/>
  <c r="BC57" i="1"/>
  <c r="F43" i="1"/>
  <c r="BC22" i="1"/>
  <c r="F47" i="1"/>
  <c r="BA22" i="1"/>
  <c r="BA57" i="1"/>
  <c r="AP18" i="1"/>
  <c r="F66" i="1"/>
  <c r="AH22" i="1"/>
  <c r="U27" i="1"/>
  <c r="CZ24" i="1"/>
  <c r="Y24" i="1" s="1"/>
  <c r="AL27" i="1" s="1"/>
  <c r="AF27" i="1"/>
  <c r="CY24" i="1"/>
  <c r="X24" i="1" s="1"/>
  <c r="AK27" i="1" s="1"/>
  <c r="F70" i="1"/>
  <c r="BB18" i="1"/>
  <c r="F68" i="1"/>
  <c r="AZ18" i="1"/>
  <c r="CB22" i="1" l="1"/>
  <c r="AS27" i="1"/>
  <c r="CE22" i="1"/>
  <c r="AV27" i="1"/>
  <c r="X27" i="1"/>
  <c r="AK22" i="1"/>
  <c r="BD18" i="1"/>
  <c r="F82" i="1"/>
  <c r="AW27" i="1"/>
  <c r="CF22" i="1"/>
  <c r="R27" i="1"/>
  <c r="AE22" i="1"/>
  <c r="AY27" i="1"/>
  <c r="CH22" i="1"/>
  <c r="T18" i="1"/>
  <c r="F78" i="1"/>
  <c r="AO18" i="1"/>
  <c r="F61" i="1"/>
  <c r="Y27" i="1"/>
  <c r="AL22" i="1"/>
  <c r="AX18" i="1"/>
  <c r="F64" i="1"/>
  <c r="F80" i="1"/>
  <c r="V18" i="1"/>
  <c r="CA27" i="1"/>
  <c r="GP24" i="1"/>
  <c r="CD27" i="1" s="1"/>
  <c r="F77" i="1"/>
  <c r="BA18" i="1"/>
  <c r="AF22" i="1"/>
  <c r="S27" i="1"/>
  <c r="AQ18" i="1"/>
  <c r="F67" i="1"/>
  <c r="P22" i="1"/>
  <c r="F30" i="1"/>
  <c r="P57" i="1"/>
  <c r="F49" i="1"/>
  <c r="U22" i="1"/>
  <c r="U57" i="1"/>
  <c r="BC18" i="1"/>
  <c r="F73" i="1"/>
  <c r="F51" i="1"/>
  <c r="W57" i="1"/>
  <c r="W22" i="1"/>
  <c r="Q22" i="1"/>
  <c r="F39" i="1"/>
  <c r="Q57" i="1"/>
  <c r="O27" i="1"/>
  <c r="AB22" i="1"/>
  <c r="W18" i="1" l="1"/>
  <c r="F81" i="1"/>
  <c r="AW22" i="1"/>
  <c r="F33" i="1"/>
  <c r="AW57" i="1"/>
  <c r="Q18" i="1"/>
  <c r="F69" i="1"/>
  <c r="U18" i="1"/>
  <c r="F79" i="1"/>
  <c r="S22" i="1"/>
  <c r="S57" i="1"/>
  <c r="F42" i="1"/>
  <c r="F29" i="1"/>
  <c r="O57" i="1"/>
  <c r="O22" i="1"/>
  <c r="X22" i="1"/>
  <c r="X57" i="1"/>
  <c r="F53" i="1"/>
  <c r="AV22" i="1"/>
  <c r="F32" i="1"/>
  <c r="AV57" i="1"/>
  <c r="AR27" i="1"/>
  <c r="CA22" i="1"/>
  <c r="AY22" i="1"/>
  <c r="AY57" i="1"/>
  <c r="F35" i="1"/>
  <c r="P18" i="1"/>
  <c r="F60" i="1"/>
  <c r="F54" i="1"/>
  <c r="Y22" i="1"/>
  <c r="Y57" i="1"/>
  <c r="R22" i="1"/>
  <c r="F41" i="1"/>
  <c r="R57" i="1"/>
  <c r="CD22" i="1"/>
  <c r="AU27" i="1"/>
  <c r="AS22" i="1"/>
  <c r="F44" i="1"/>
  <c r="E16" i="2" s="1"/>
  <c r="AS57" i="1"/>
  <c r="F65" i="1" l="1"/>
  <c r="AY18" i="1"/>
  <c r="F83" i="1"/>
  <c r="X18" i="1"/>
  <c r="F74" i="1"/>
  <c r="AS18" i="1"/>
  <c r="F55" i="1"/>
  <c r="AR22" i="1"/>
  <c r="AR57" i="1"/>
  <c r="O18" i="1"/>
  <c r="F59" i="1"/>
  <c r="R18" i="1"/>
  <c r="F71" i="1"/>
  <c r="AW18" i="1"/>
  <c r="F63" i="1"/>
  <c r="J16" i="2"/>
  <c r="Y18" i="1"/>
  <c r="F84" i="1"/>
  <c r="AV18" i="1"/>
  <c r="F62" i="1"/>
  <c r="F46" i="1"/>
  <c r="H16" i="2" s="1"/>
  <c r="I16" i="2" s="1"/>
  <c r="N16" i="2" s="1"/>
  <c r="AU57" i="1"/>
  <c r="AU22" i="1"/>
  <c r="F72" i="1"/>
  <c r="S18" i="1"/>
  <c r="F85" i="1" l="1"/>
  <c r="AR18" i="1"/>
  <c r="AU18" i="1"/>
  <c r="F76" i="1"/>
</calcChain>
</file>

<file path=xl/sharedStrings.xml><?xml version="1.0" encoding="utf-8"?>
<sst xmlns="http://schemas.openxmlformats.org/spreadsheetml/2006/main" count="607" uniqueCount="153">
  <si>
    <t>Smeta.RU  (495) 974-1589</t>
  </si>
  <si>
    <t>_PS_</t>
  </si>
  <si>
    <t>Smeta.RU</t>
  </si>
  <si>
    <t/>
  </si>
  <si>
    <t>09-01-01._(Копия) (ТСН-2001 (Мосгосэкспертиза)) (ТСН-2001 (Мосгосэкспертиза)) (ТСН-2001 (Мосгосэкспертиза)) (ТСН-2001 (Мосгосэкспертиза))</t>
  </si>
  <si>
    <t>09-01-01. ПНР ТП (ТСН-2001 (Мосгосэкспертиза)) (ТСН-2001 (Мосгосэкспертиза))</t>
  </si>
  <si>
    <t>Ефанова В.А.</t>
  </si>
  <si>
    <t>Инженер-сметчик ООО "СМК"</t>
  </si>
  <si>
    <t>Сметные нормы списания</t>
  </si>
  <si>
    <t>Коды ОКП для ТСН-2001 МГЭ (История развития)</t>
  </si>
  <si>
    <t>Типовой расчет для ТСН-2001 МГЭ, Новая методика с выпуска доп. 43 (Строительство), Доп 73</t>
  </si>
  <si>
    <t>История развития для ТСН-2001 (МГЭ) 73 доп от 17.07.2024</t>
  </si>
  <si>
    <t>Поправки для ТСН-2001 от 16.04.2024 г. доп.72</t>
  </si>
  <si>
    <t>Территориальные сметные нормативы для Москвы (ТСН-2001)</t>
  </si>
  <si>
    <t>ТЕР</t>
  </si>
  <si>
    <t>Пусконаладочные работы ТП</t>
  </si>
  <si>
    <t>)*1,2)*1,15</t>
  </si>
  <si>
    <t>Поправка: ТСН-2001.4. О.П. тб1. п.3  Поправка: ТСН-2001.4. О.П. тб1. п.2</t>
  </si>
  <si>
    <t>1</t>
  </si>
  <si>
    <t>5.10-32-3</t>
  </si>
  <si>
    <t>Блочная комплектная трансформаторная подстанция (БКТПу) двухтрансформаторная мощностью 2х630 кВА</t>
  </si>
  <si>
    <t>1 объект</t>
  </si>
  <si>
    <t>ТСН-2001.5. Доп. 1-42. Сб. 10, т. 32, поз. 3</t>
  </si>
  <si>
    <t>Поправка: Гл.5.Прил.2.2.п.2.2.23_05.00.01.37.001 Наименование: При выполнении монтажных и пусконаладочных работ по какому-либо оборудованию одним и тем же звеном (бригадой)</t>
  </si>
  <si>
    <t>*0,8</t>
  </si>
  <si>
    <t>Пусконаладочные работы</t>
  </si>
  <si>
    <t>ТСН-2001.5-10. 10-4...10-44</t>
  </si>
  <si>
    <t>ТСН-2001.5-10-1</t>
  </si>
  <si>
    <t>Поправка: Гл.5.Прил.2.2.п.2.2.23_05.00.01.37.001</t>
  </si>
  <si>
    <t>2</t>
  </si>
  <si>
    <t>2.1-8-3</t>
  </si>
  <si>
    <t>Автолаборатории</t>
  </si>
  <si>
    <t>маш.-ч</t>
  </si>
  <si>
    <t>ТСН-2001.2. Доп. 68. п.1-8-3 (085001)</t>
  </si>
  <si>
    <t>Механизмы</t>
  </si>
  <si>
    <t>ТСН-2001. Машины и механизмы</t>
  </si>
  <si>
    <t>ТСН-2001.2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</si>
  <si>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</si>
  <si>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</si>
  <si>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</si>
  <si>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</si>
  <si>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</si>
  <si>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</si>
  <si>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</si>
  <si>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</si>
  <si>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</si>
  <si>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</si>
  <si>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</si>
  <si>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</si>
  <si>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</si>
  <si>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</si>
  <si>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</si>
  <si>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</si>
  <si>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</si>
  <si>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</si>
  <si>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</si>
  <si>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</si>
  <si>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</si>
  <si>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</si>
  <si>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</si>
  <si>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</si>
  <si>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</si>
  <si>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</si>
  <si>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</si>
  <si>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</si>
  <si>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</si>
  <si>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</si>
  <si>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</si>
  <si>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</si>
  <si>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</si>
  <si>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</si>
  <si>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</si>
  <si>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</si>
  <si>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</si>
  <si>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</si>
  <si>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</si>
  <si>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</si>
  <si>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</si>
  <si>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</si>
  <si>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</si>
  <si>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</si>
  <si>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</si>
  <si>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</si>
  <si>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</si>
  <si>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</si>
  <si>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</si>
  <si>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</si>
  <si>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</si>
  <si>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</si>
  <si>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</si>
  <si>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</si>
  <si>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Инд_исп.Сводный</t>
  </si>
  <si>
    <t>Используется Индекс "по сводному"</t>
  </si>
  <si>
    <t>Уровень цен</t>
  </si>
  <si>
    <t>Сборник индексов</t>
  </si>
  <si>
    <t>Коэффициенты к ТСН-2001 МГЭ</t>
  </si>
  <si>
    <t>212</t>
  </si>
  <si>
    <t>_OBSM_</t>
  </si>
  <si>
    <t>9999990008</t>
  </si>
  <si>
    <t>Трудозатраты рабочих</t>
  </si>
  <si>
    <t>чел.-ч.</t>
  </si>
  <si>
    <t>Гл.5.Прил.2.2.п.2.2.23_05.00.01.37.001</t>
  </si>
  <si>
    <t>При выполнении монтажных и пусконаладочных работ по какому-либо оборудованию одним и тем же звеном (бригадой)</t>
  </si>
  <si>
    <t>Глава 5</t>
  </si>
  <si>
    <t>Поправка: ТСН-2001.4. О.П. тб1. п.3  Наименование: При выполнении работ в охранной зоне воздушных линий электропередачи, в местах прохода коммуникаций электроснабжения в действующих электроустановках, вблизи конструкций и предметов, находящихся под напряжением (в случаях, когда полное снятие напряжения по производственным условиям невозможно), если это связано с ограничением действий рабочих специальными требованиями техники безопасности  Поправка: ТСН-2001.4. О.П. тб1. п.2  Наименование: На предприятиях (в цехах на производственных площадях), остановленных для производства строительно-монтажных работ, а также в зданиях и сооружениях всех назначений при наличии в зоне производства работ загромоаждающих помещение предметов (станков, установок, аппаратов, эксплуатационного и лабораторного оборудования, оргтехники, мебели и т.п.)</t>
  </si>
  <si>
    <t>(наименование стройки и/или объекта)</t>
  </si>
  <si>
    <t>(наименование работ и затрат)</t>
  </si>
  <si>
    <t>В базисном уровне цен</t>
  </si>
  <si>
    <t>В текущем уровне цен</t>
  </si>
  <si>
    <t>Сметная стоимость</t>
  </si>
  <si>
    <t>Строительные работы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</si>
  <si>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</si>
  <si>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</si>
  <si>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</si>
  <si>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</si>
  <si>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</si>
  <si>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</si>
  <si>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</si>
  <si>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</si>
  <si>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</si>
  <si>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</si>
  <si>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</si>
  <si>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</si>
  <si>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</si>
  <si>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</si>
  <si>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Всего
затрат в
базисном
уровне цен,
руб.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</si>
  <si>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</si>
  <si>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</si>
  <si>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</si>
  <si>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Составлен(а) по ТСН-2001 с учетом Дополнения №: 73</t>
  </si>
  <si>
    <t>№ и период сборника коэффициентов (индексов) пересчета: Коэффициенты к ТСН-2001 МГЭ №212 III квартал 2024 года</t>
  </si>
  <si>
    <r>
      <t>5.10-32-3</t>
    </r>
    <r>
      <rPr>
        <i/>
        <sz val="10"/>
        <rFont val="Arial"/>
        <family val="2"/>
        <charset val="204"/>
      </rPr>
      <t xml:space="preserve">
Поправка: Гл.5.Прил.2.2.п.2.2.23_05.00.01.37.001</t>
    </r>
  </si>
  <si>
    <t>ЗП</t>
  </si>
  <si>
    <t>НР от ЗП</t>
  </si>
  <si>
    <t>%</t>
  </si>
  <si>
    <t>СП от ЗП</t>
  </si>
  <si>
    <t>ЗТР</t>
  </si>
  <si>
    <t>чел-ч</t>
  </si>
  <si>
    <t>ВСЕГО работ по позиции:</t>
  </si>
  <si>
    <t>ВСЕГО оборудование по позиции:</t>
  </si>
  <si>
    <t>ЭМ</t>
  </si>
  <si>
    <t>в т.ч. ЗПМ</t>
  </si>
  <si>
    <t>НР и СП от ЗПМ</t>
  </si>
  <si>
    <t>ВСЕГО по позиции:</t>
  </si>
  <si>
    <t xml:space="preserve">   Итого по ТСН-2001.16</t>
  </si>
  <si>
    <t xml:space="preserve">   Итого возвратных сумм</t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</si>
  <si>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</si>
  <si>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</si>
  <si>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</si>
  <si>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</si>
  <si>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ПИР, СМР, ПНР, материалы, оборудование (за исключением замков, предоставляемых Заказчиком) по титулу: Строительство ТП-10/0,4кВ с тр-ми 2х400кВА, 4КЛ-10кВ от ТП-10/0,4кВ луч А,Б до КЛ-10кВ направлением ТП-10/0,4кВ № № 21782 - ТП-10/0,4кВ № 24478 луч А,Б, 8КЛ-0,4кВ от ТП-10/0,4кВ до ВРЩ-0,4кВ №1-3, в т.ч. ПИР: г.Москва, ул.Феодосийская, з/у 7 для нужд МКС – филиала ПАО «Россети Московский регион»</t>
  </si>
  <si>
    <t>ЛОКАЛЬНАЯ СМЕТА № 09-01-01</t>
  </si>
  <si>
    <t>ПНР ТП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</si>
</sst>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;[Red]\-\ #,##0.00"/>
    <numFmt numFmtId="165" formatCode="General;\-General;"/>
  </numFmts>
  <fonts count="18" x14ac:knownFonts="1">
    <font>
      <sz val="10"/>
      <name val="Arial"/>
      <charset val="204"/>
    </font>
    <font>
      <b/>
      <sz val="10"/>
      <color indexed="12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i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10" fillId="0" borderId="0" xfId="0" applyFont="1" applyBorder="1" applyAlignment="1">
      <alignment horizontal="left" wrapText="1"/>
    </xf>
    <xf numFmtId="0" fontId="10" fillId="0" borderId="0" xfId="0" applyFont="1" applyAlignment="1">
      <alignment horizontal="center" vertical="top" wrapText="1"/>
    </xf>
    <xf numFmtId="164" fontId="14" fillId="0" borderId="0" xfId="0" applyNumberFormat="1" applyFont="1"/>
    <xf numFmtId="0" fontId="14" fillId="0" borderId="0" xfId="0" applyFont="1"/>
    <xf numFmtId="164" fontId="10" fillId="0" borderId="0" xfId="0" applyNumberFormat="1" applyFont="1"/>
    <xf numFmtId="0" fontId="10" fillId="0" borderId="0" xfId="0" applyFont="1" applyAlignment="1">
      <alignment horizontal="left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left" wrapText="1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right"/>
    </xf>
    <xf numFmtId="0" fontId="16" fillId="0" borderId="0" xfId="0" applyFont="1" applyAlignment="1">
      <alignment horizontal="right" wrapText="1"/>
    </xf>
    <xf numFmtId="165" fontId="10" fillId="0" borderId="0" xfId="0" applyNumberFormat="1" applyFont="1" applyAlignment="1">
      <alignment horizontal="right" wrapText="1"/>
    </xf>
    <xf numFmtId="164" fontId="10" fillId="0" borderId="0" xfId="0" applyNumberFormat="1" applyFont="1" applyAlignment="1">
      <alignment horizontal="right"/>
    </xf>
    <xf numFmtId="164" fontId="0" fillId="0" borderId="0" xfId="0" applyNumberFormat="1"/>
    <xf numFmtId="0" fontId="10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right" wrapText="1"/>
    </xf>
    <xf numFmtId="0" fontId="10" fillId="0" borderId="1" xfId="0" applyFont="1" applyBorder="1" applyAlignment="1">
      <alignment horizontal="right"/>
    </xf>
    <xf numFmtId="164" fontId="10" fillId="0" borderId="1" xfId="0" applyNumberFormat="1" applyFont="1" applyBorder="1" applyAlignment="1">
      <alignment horizontal="right"/>
    </xf>
    <xf numFmtId="165" fontId="10" fillId="0" borderId="1" xfId="0" applyNumberFormat="1" applyFont="1" applyBorder="1" applyAlignment="1">
      <alignment horizontal="right" wrapText="1"/>
    </xf>
    <xf numFmtId="164" fontId="16" fillId="0" borderId="0" xfId="0" applyNumberFormat="1" applyFont="1" applyAlignment="1">
      <alignment horizontal="right"/>
    </xf>
    <xf numFmtId="0" fontId="14" fillId="0" borderId="0" xfId="0" applyFont="1" applyAlignment="1">
      <alignment horizontal="left" wrapText="1"/>
    </xf>
    <xf numFmtId="0" fontId="10" fillId="0" borderId="1" xfId="0" applyFont="1" applyBorder="1"/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left"/>
    </xf>
    <xf numFmtId="0" fontId="9" fillId="0" borderId="2" xfId="0" applyFont="1" applyBorder="1" applyAlignment="1">
      <alignment horizontal="center"/>
    </xf>
    <xf numFmtId="164" fontId="14" fillId="0" borderId="2" xfId="0" applyNumberFormat="1" applyFont="1" applyBorder="1" applyAlignment="1">
      <alignment horizontal="right"/>
    </xf>
    <xf numFmtId="164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right"/>
    </xf>
    <xf numFmtId="0" fontId="14" fillId="0" borderId="0" xfId="0" applyFont="1" applyAlignment="1">
      <alignment horizontal="left" wrapText="1"/>
    </xf>
    <xf numFmtId="0" fontId="10" fillId="0" borderId="0" xfId="0" applyFont="1" applyFill="1" applyAlignment="1">
      <alignment horizontal="left"/>
    </xf>
    <xf numFmtId="0" fontId="10" fillId="0" borderId="0" xfId="1" applyFont="1" applyFill="1" applyAlignment="1">
      <alignment horizontal="left"/>
    </xf>
    <xf numFmtId="0" fontId="10" fillId="0" borderId="1" xfId="0" applyFont="1" applyBorder="1" applyAlignment="1">
      <alignment horizontal="left" wrapText="1"/>
    </xf>
    <xf numFmtId="0" fontId="10" fillId="0" borderId="0" xfId="0" applyFont="1" applyAlignment="1">
      <alignment horizontal="right"/>
    </xf>
    <xf numFmtId="0" fontId="15" fillId="0" borderId="0" xfId="0" applyFont="1" applyAlignment="1">
      <alignment horizontal="center" wrapText="1"/>
    </xf>
    <xf numFmtId="0" fontId="14" fillId="0" borderId="0" xfId="0" applyFont="1" applyAlignment="1">
      <alignment horizontal="left"/>
    </xf>
    <xf numFmtId="0" fontId="11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0" fillId="0" borderId="0" xfId="0" applyAlignment="1"/>
  </cellXfs>
  <cellStyles count="2">
    <cellStyle name="Обычный" xfId="0" builtinId="0"/>
    <cellStyle name="Обычный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2-01-01%20&#1057;&#1090;&#1088;&#1086;&#1080;&#1090;&#1077;&#1083;&#1100;&#1089;&#1090;&#1074;&#1086;%20&#1050;&#1051;%20-%2010%20&#1082;&#1042;%20&#1090;&#1088;&#1072;&#1085;&#1096;&#1077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ТСН-2001(с доп.67"/>
      <sheetName val="Source"/>
      <sheetName val="SourceObSm"/>
      <sheetName val="SmtRes"/>
      <sheetName val="EtalonRes"/>
      <sheetName val="SrcPoprs"/>
      <sheetName val="SrcKA"/>
    </sheetNames>
    <sheetDataSet>
      <sheetData sheetId="0"/>
      <sheetData sheetId="1">
        <row r="1">
          <cell r="B1" t="str">
            <v>Smeta.RU  (495) 974-1589</v>
          </cell>
        </row>
        <row r="12">
          <cell r="F12" t="str">
            <v>(ТСН-2001 (Мосгосэкспертиза)) (ТСН-2001 (Мосгосэкспертиза)) (ТСН-2001 (Мосгосэкспертиза))</v>
          </cell>
          <cell r="J12" t="str">
            <v/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59"/>
  <sheetViews>
    <sheetView tabSelected="1" topLeftCell="A38" zoomScaleNormal="100" workbookViewId="0">
      <selection activeCell="A50" sqref="A50:XFD50"/>
    </sheetView>
  </sheetViews>
  <sheetFormatPr defaultRowHeight="12.75" x14ac:dyDescent="0.2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8.140625" bestFit="1" customWidth="1"/>
    <col min="6" max="6" width="9" bestFit="1" customWidth="1"/>
    <col min="7" max="7" width="8.5703125" bestFit="1" customWidth="1"/>
    <col min="11" max="11" width="11.28515625" bestFit="1" customWidth="1"/>
    <col min="14" max="41" width="0" hidden="1" customWidth="1"/>
    <col min="42" max="42" width="129.7109375" hidden="1" customWidth="1"/>
    <col min="43" max="43" width="96" hidden="1" customWidth="1"/>
    <col min="44" max="47" width="0" hidden="1" customWidth="1"/>
  </cols>
  <sheetData>
    <row r="1" spans="1:42" x14ac:dyDescent="0.2">
      <c r="A1" s="8" t="str">
        <f>[1]Source!B1</f>
        <v>Smeta.RU  (495) 974-1589</v>
      </c>
    </row>
    <row r="2" spans="1:42" ht="14.25" x14ac:dyDescent="0.2">
      <c r="A2" s="9"/>
      <c r="B2" s="9"/>
      <c r="C2" s="9"/>
      <c r="D2" s="9"/>
      <c r="E2" s="9"/>
      <c r="F2" s="9"/>
      <c r="G2" s="9"/>
      <c r="H2" s="9"/>
      <c r="I2" s="9"/>
      <c r="J2" s="44" t="s">
        <v>128</v>
      </c>
      <c r="K2" s="44"/>
    </row>
    <row r="3" spans="1:42" ht="71.25" customHeight="1" x14ac:dyDescent="0.25">
      <c r="A3" s="47" t="s">
        <v>150</v>
      </c>
      <c r="B3" s="47"/>
      <c r="C3" s="47"/>
      <c r="D3" s="47"/>
      <c r="E3" s="47"/>
      <c r="F3" s="47"/>
      <c r="G3" s="47"/>
      <c r="H3" s="47"/>
      <c r="I3" s="47"/>
      <c r="J3" s="47"/>
      <c r="K3" s="47"/>
    </row>
    <row r="4" spans="1:42" x14ac:dyDescent="0.2">
      <c r="A4" s="36" t="s">
        <v>105</v>
      </c>
      <c r="B4" s="36"/>
      <c r="C4" s="36"/>
      <c r="D4" s="36"/>
      <c r="E4" s="36"/>
      <c r="F4" s="36"/>
      <c r="G4" s="36"/>
      <c r="H4" s="36"/>
      <c r="I4" s="36"/>
      <c r="J4" s="36"/>
      <c r="K4" s="36"/>
    </row>
    <row r="5" spans="1:42" ht="14.25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42" ht="31.5" x14ac:dyDescent="0.25">
      <c r="A6" s="47" t="s">
        <v>151</v>
      </c>
      <c r="B6" s="48"/>
      <c r="C6" s="48"/>
      <c r="D6" s="48"/>
      <c r="E6" s="48"/>
      <c r="F6" s="48"/>
      <c r="G6" s="48"/>
      <c r="H6" s="48"/>
      <c r="I6" s="48"/>
      <c r="J6" s="48"/>
      <c r="K6" s="48"/>
      <c r="AP6" s="18" t="str">
        <f>CONCATENATE( "ЛОКАЛЬНАЯ СМЕТА № ",IF([1]Source!F12&lt;&gt;"Новый объект", [1]Source!F12, ""))</f>
        <v>ЛОКАЛЬНАЯ СМЕТА № (ТСН-2001 (Мосгосэкспертиза)) (ТСН-2001 (Мосгосэкспертиза)) (ТСН-2001 (Мосгосэкспертиза))</v>
      </c>
    </row>
    <row r="7" spans="1:42" ht="14.25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42" ht="18" x14ac:dyDescent="0.25">
      <c r="A8" s="49" t="s">
        <v>152</v>
      </c>
      <c r="B8" s="49"/>
      <c r="C8" s="49"/>
      <c r="D8" s="49"/>
      <c r="E8" s="49"/>
      <c r="F8" s="49"/>
      <c r="G8" s="49"/>
      <c r="H8" s="49"/>
      <c r="I8" s="49"/>
      <c r="J8" s="49"/>
      <c r="K8" s="49"/>
    </row>
    <row r="9" spans="1:42" x14ac:dyDescent="0.2">
      <c r="A9" s="50" t="s">
        <v>106</v>
      </c>
      <c r="B9" s="51"/>
      <c r="C9" s="51"/>
      <c r="D9" s="51"/>
      <c r="E9" s="51"/>
      <c r="F9" s="51"/>
      <c r="G9" s="51"/>
      <c r="H9" s="51"/>
      <c r="I9" s="51"/>
      <c r="J9" s="51"/>
      <c r="K9" s="51"/>
    </row>
    <row r="10" spans="1:42" ht="14.25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42" ht="14.25" x14ac:dyDescent="0.2">
      <c r="A11" s="43" t="str">
        <f>CONCATENATE( "Основание: чертежи № ", [1]Source!J12)</f>
        <v xml:space="preserve">Основание: чертежи № 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</row>
    <row r="12" spans="1:42" ht="14.25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42" ht="71.25" x14ac:dyDescent="0.2">
      <c r="A13" s="9"/>
      <c r="B13" s="9"/>
      <c r="C13" s="9"/>
      <c r="D13" s="9"/>
      <c r="E13" s="9"/>
      <c r="F13" s="9"/>
      <c r="G13" s="9"/>
      <c r="H13" s="9"/>
      <c r="I13" s="11" t="s">
        <v>107</v>
      </c>
      <c r="J13" s="11" t="s">
        <v>108</v>
      </c>
      <c r="K13" s="9"/>
    </row>
    <row r="14" spans="1:42" ht="15" x14ac:dyDescent="0.25">
      <c r="A14" s="9"/>
      <c r="B14" s="9"/>
      <c r="C14" s="9"/>
      <c r="D14" s="9"/>
      <c r="E14" s="46" t="s">
        <v>109</v>
      </c>
      <c r="F14" s="46"/>
      <c r="G14" s="46"/>
      <c r="H14" s="46"/>
      <c r="I14" s="12">
        <f>I15+I16+I17+I18</f>
        <v>16.34</v>
      </c>
      <c r="J14" s="12">
        <f>J15+J16+J17+J18</f>
        <v>446.51</v>
      </c>
      <c r="K14" s="13" t="s">
        <v>146</v>
      </c>
    </row>
    <row r="15" spans="1:42" ht="14.25" x14ac:dyDescent="0.2">
      <c r="A15" s="9"/>
      <c r="B15" s="9"/>
      <c r="C15" s="9"/>
      <c r="D15" s="9"/>
      <c r="E15" s="35" t="s">
        <v>110</v>
      </c>
      <c r="F15" s="35"/>
      <c r="G15" s="35"/>
      <c r="H15" s="35"/>
      <c r="I15" s="14">
        <f>ROUND(SUM(X1:X52)/1000, 2)</f>
        <v>2.16</v>
      </c>
      <c r="J15" s="14">
        <f>ROUND((Source!F74)/1000, 2)</f>
        <v>25.15</v>
      </c>
      <c r="K15" s="9" t="s">
        <v>146</v>
      </c>
    </row>
    <row r="16" spans="1:42" ht="14.25" x14ac:dyDescent="0.2">
      <c r="A16" s="9"/>
      <c r="B16" s="9"/>
      <c r="C16" s="9"/>
      <c r="D16" s="9"/>
      <c r="E16" s="35" t="s">
        <v>111</v>
      </c>
      <c r="F16" s="35"/>
      <c r="G16" s="35"/>
      <c r="H16" s="35"/>
      <c r="I16" s="14">
        <f>ROUND(SUM(Y1:Y52)/1000, 2)</f>
        <v>0</v>
      </c>
      <c r="J16" s="14">
        <f>ROUND((Source!F75)/1000, 2)</f>
        <v>0</v>
      </c>
      <c r="K16" s="9" t="s">
        <v>146</v>
      </c>
    </row>
    <row r="17" spans="1:42" ht="14.25" x14ac:dyDescent="0.2">
      <c r="A17" s="9"/>
      <c r="B17" s="9"/>
      <c r="C17" s="9"/>
      <c r="D17" s="9"/>
      <c r="E17" s="35" t="s">
        <v>112</v>
      </c>
      <c r="F17" s="35"/>
      <c r="G17" s="35"/>
      <c r="H17" s="35"/>
      <c r="I17" s="14">
        <f>ROUND(SUM(Z1:Z52)/1000, 2)</f>
        <v>0</v>
      </c>
      <c r="J17" s="14">
        <f>ROUND((Source!F66)/1000, 2)</f>
        <v>0</v>
      </c>
      <c r="K17" s="9" t="s">
        <v>146</v>
      </c>
    </row>
    <row r="18" spans="1:42" ht="14.25" x14ac:dyDescent="0.2">
      <c r="A18" s="9"/>
      <c r="B18" s="9"/>
      <c r="C18" s="9"/>
      <c r="D18" s="9"/>
      <c r="E18" s="35" t="s">
        <v>113</v>
      </c>
      <c r="F18" s="35"/>
      <c r="G18" s="35"/>
      <c r="H18" s="35"/>
      <c r="I18" s="14">
        <f>ROUND(SUM(AA1:AA52)/1000, 2)</f>
        <v>14.18</v>
      </c>
      <c r="J18" s="14">
        <f>ROUND((Source!F76+Source!F77)/1000, 2)</f>
        <v>421.36</v>
      </c>
      <c r="K18" s="9" t="s">
        <v>146</v>
      </c>
    </row>
    <row r="19" spans="1:42" ht="14.25" x14ac:dyDescent="0.2">
      <c r="A19" s="9"/>
      <c r="B19" s="9"/>
      <c r="C19" s="9"/>
      <c r="D19" s="9"/>
      <c r="E19" s="35" t="s">
        <v>114</v>
      </c>
      <c r="F19" s="35"/>
      <c r="G19" s="35"/>
      <c r="H19" s="35"/>
      <c r="I19" s="14">
        <f>ROUND(SUM(W1:W52)/1000, 2)</f>
        <v>5.89</v>
      </c>
      <c r="J19" s="14">
        <f>(Source!F72+ Source!F71)/1000</f>
        <v>203.18142</v>
      </c>
      <c r="K19" s="9" t="s">
        <v>146</v>
      </c>
    </row>
    <row r="20" spans="1:42" ht="14.25" x14ac:dyDescent="0.2">
      <c r="A20" s="9"/>
      <c r="B20" s="9"/>
      <c r="C20" s="9"/>
      <c r="D20" s="9"/>
      <c r="E20" s="35" t="s">
        <v>115</v>
      </c>
      <c r="F20" s="35"/>
      <c r="G20" s="35"/>
      <c r="H20" s="35"/>
      <c r="I20" s="14">
        <f>SUM(AB1:AB52)</f>
        <v>363.20000000000005</v>
      </c>
      <c r="J20" s="14"/>
      <c r="K20" s="9" t="s">
        <v>100</v>
      </c>
    </row>
    <row r="21" spans="1:42" ht="14.25" hidden="1" x14ac:dyDescent="0.2">
      <c r="A21" s="9"/>
      <c r="B21" s="9"/>
      <c r="C21" s="9"/>
      <c r="D21" s="9"/>
      <c r="E21" s="41" t="s">
        <v>116</v>
      </c>
      <c r="F21" s="41"/>
      <c r="G21" s="41"/>
      <c r="H21" s="41"/>
      <c r="I21" s="14"/>
      <c r="J21" s="14"/>
      <c r="K21" s="9"/>
    </row>
    <row r="22" spans="1:42" ht="14.25" hidden="1" x14ac:dyDescent="0.2">
      <c r="A22" s="9"/>
      <c r="B22" s="9"/>
      <c r="C22" s="9"/>
      <c r="D22" s="9"/>
      <c r="E22" s="42" t="s">
        <v>76</v>
      </c>
      <c r="F22" s="42"/>
      <c r="G22" s="42"/>
      <c r="H22" s="42"/>
      <c r="I22" s="14">
        <f>ROUND(SUM(AE1:AE52)/1000, 2)</f>
        <v>0</v>
      </c>
      <c r="J22" s="14">
        <f>SUM(AF1:AF52)/1000</f>
        <v>0</v>
      </c>
      <c r="K22" s="9" t="s">
        <v>146</v>
      </c>
    </row>
    <row r="23" spans="1:42" ht="14.25" x14ac:dyDescent="0.2">
      <c r="A23" s="9"/>
      <c r="B23" s="9"/>
      <c r="C23" s="9"/>
      <c r="D23" s="9"/>
      <c r="E23" s="9"/>
      <c r="F23" s="15"/>
      <c r="G23" s="15"/>
      <c r="H23" s="15"/>
      <c r="I23" s="14"/>
      <c r="J23" s="14"/>
      <c r="K23" s="9"/>
    </row>
    <row r="24" spans="1:42" ht="14.25" x14ac:dyDescent="0.2">
      <c r="A24" s="9" t="s">
        <v>129</v>
      </c>
      <c r="B24" s="9"/>
      <c r="C24" s="9"/>
      <c r="D24" s="9"/>
      <c r="E24" s="9"/>
      <c r="F24" s="15"/>
      <c r="G24" s="15"/>
      <c r="H24" s="15"/>
      <c r="I24" s="14"/>
      <c r="J24" s="14"/>
      <c r="K24" s="9"/>
    </row>
    <row r="25" spans="1:42" ht="14.25" x14ac:dyDescent="0.2">
      <c r="A25" s="43" t="s">
        <v>130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AP25" s="19" t="s">
        <v>130</v>
      </c>
    </row>
    <row r="26" spans="1:42" ht="114" x14ac:dyDescent="0.2">
      <c r="A26" s="16" t="s">
        <v>117</v>
      </c>
      <c r="B26" s="16" t="s">
        <v>118</v>
      </c>
      <c r="C26" s="16" t="s">
        <v>119</v>
      </c>
      <c r="D26" s="16" t="s">
        <v>120</v>
      </c>
      <c r="E26" s="16" t="s">
        <v>121</v>
      </c>
      <c r="F26" s="16" t="s">
        <v>122</v>
      </c>
      <c r="G26" s="17" t="s">
        <v>123</v>
      </c>
      <c r="H26" s="17" t="s">
        <v>124</v>
      </c>
      <c r="I26" s="16" t="s">
        <v>125</v>
      </c>
      <c r="J26" s="16" t="s">
        <v>126</v>
      </c>
      <c r="K26" s="16" t="s">
        <v>127</v>
      </c>
    </row>
    <row r="27" spans="1:42" ht="14.25" x14ac:dyDescent="0.2">
      <c r="A27" s="16">
        <v>1</v>
      </c>
      <c r="B27" s="16">
        <v>2</v>
      </c>
      <c r="C27" s="16">
        <v>3</v>
      </c>
      <c r="D27" s="16">
        <v>4</v>
      </c>
      <c r="E27" s="16">
        <v>5</v>
      </c>
      <c r="F27" s="16">
        <v>6</v>
      </c>
      <c r="G27" s="16">
        <v>7</v>
      </c>
      <c r="H27" s="16">
        <v>8</v>
      </c>
      <c r="I27" s="16">
        <v>9</v>
      </c>
      <c r="J27" s="16">
        <v>10</v>
      </c>
      <c r="K27" s="16">
        <v>11</v>
      </c>
    </row>
    <row r="29" spans="1:42" ht="16.5" x14ac:dyDescent="0.25">
      <c r="A29" s="45" t="str">
        <f>CONCATENATE("Локальная смета: ",IF(Source!G20&lt;&gt;"Новая локальная смета", Source!G20, ""))</f>
        <v>Локальная смета: Пусконаладочные работы ТП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</row>
    <row r="30" spans="1:42" ht="78" x14ac:dyDescent="0.2">
      <c r="A30" s="20">
        <v>1</v>
      </c>
      <c r="B30" s="20" t="s">
        <v>131</v>
      </c>
      <c r="C30" s="20" t="s">
        <v>20</v>
      </c>
      <c r="D30" s="22" t="str">
        <f>Source!H24</f>
        <v>1 объект</v>
      </c>
      <c r="E30" s="21">
        <f>Source!I24</f>
        <v>1</v>
      </c>
      <c r="F30" s="24"/>
      <c r="G30" s="23"/>
      <c r="H30" s="21"/>
      <c r="I30" s="24"/>
      <c r="J30" s="21"/>
      <c r="K30" s="24"/>
      <c r="Q30">
        <f>ROUND((Source!DN24/100)*ROUND((ROUND((Source!AF24*Source!AV24*Source!I24),2)),2), 2)</f>
        <v>4339.99</v>
      </c>
      <c r="R30">
        <f>Source!X24</f>
        <v>139788.1</v>
      </c>
      <c r="S30">
        <f>ROUND((Source!DO24/100)*ROUND((ROUND((Source!AF24*Source!AV24*Source!I24),2)),2), 2)</f>
        <v>4050.66</v>
      </c>
      <c r="T30">
        <f>Source!Y24</f>
        <v>81875.89</v>
      </c>
      <c r="U30">
        <f>ROUND((175/100)*ROUND((ROUND((Source!AE24*Source!AV24*Source!I24),2)),2), 2)</f>
        <v>0</v>
      </c>
      <c r="V30">
        <f>ROUND((160/100)*ROUND(ROUND((ROUND((Source!AE24*Source!AV24*Source!I24),2)*Source!BS24),2), 2), 2)</f>
        <v>0</v>
      </c>
      <c r="AI30">
        <v>0</v>
      </c>
    </row>
    <row r="31" spans="1:42" ht="14.25" x14ac:dyDescent="0.2">
      <c r="A31" s="20"/>
      <c r="B31" s="20"/>
      <c r="C31" s="20" t="s">
        <v>132</v>
      </c>
      <c r="D31" s="22"/>
      <c r="E31" s="21"/>
      <c r="F31" s="24">
        <f>Source!AO24</f>
        <v>7233.31</v>
      </c>
      <c r="G31" s="23" t="str">
        <f>Source!DG24</f>
        <v>*0,8</v>
      </c>
      <c r="H31" s="21">
        <f>Source!AV24</f>
        <v>1</v>
      </c>
      <c r="I31" s="24">
        <f>ROUND((ROUND((Source!AF24*Source!AV24*Source!I24),2)),2)</f>
        <v>5786.65</v>
      </c>
      <c r="J31" s="21">
        <f>IF(Source!BA24&lt;&gt; 0, Source!BA24, 1)</f>
        <v>34.51</v>
      </c>
      <c r="K31" s="24">
        <f>Source!S24</f>
        <v>199697.29</v>
      </c>
      <c r="W31">
        <f>I31</f>
        <v>5786.65</v>
      </c>
    </row>
    <row r="32" spans="1:42" ht="14.25" x14ac:dyDescent="0.2">
      <c r="A32" s="20"/>
      <c r="B32" s="20"/>
      <c r="C32" s="20" t="s">
        <v>133</v>
      </c>
      <c r="D32" s="22" t="s">
        <v>134</v>
      </c>
      <c r="E32" s="21">
        <f>Source!DN24</f>
        <v>75</v>
      </c>
      <c r="F32" s="24"/>
      <c r="G32" s="23"/>
      <c r="H32" s="21"/>
      <c r="I32" s="24">
        <f>SUM(Q30:Q31)</f>
        <v>4339.99</v>
      </c>
      <c r="J32" s="21">
        <f>Source!BZ24</f>
        <v>70</v>
      </c>
      <c r="K32" s="24">
        <f>SUM(R30:R31)</f>
        <v>139788.1</v>
      </c>
    </row>
    <row r="33" spans="1:35" ht="14.25" x14ac:dyDescent="0.2">
      <c r="A33" s="20"/>
      <c r="B33" s="20"/>
      <c r="C33" s="20" t="s">
        <v>135</v>
      </c>
      <c r="D33" s="22" t="s">
        <v>134</v>
      </c>
      <c r="E33" s="21">
        <f>Source!DO24</f>
        <v>70</v>
      </c>
      <c r="F33" s="24"/>
      <c r="G33" s="23"/>
      <c r="H33" s="21"/>
      <c r="I33" s="24">
        <f>SUM(S30:S32)</f>
        <v>4050.66</v>
      </c>
      <c r="J33" s="21">
        <f>Source!CA24</f>
        <v>41</v>
      </c>
      <c r="K33" s="24">
        <f>SUM(T30:T32)</f>
        <v>81875.89</v>
      </c>
    </row>
    <row r="34" spans="1:35" ht="14.25" x14ac:dyDescent="0.2">
      <c r="A34" s="26"/>
      <c r="B34" s="26"/>
      <c r="C34" s="26" t="s">
        <v>136</v>
      </c>
      <c r="D34" s="27" t="s">
        <v>137</v>
      </c>
      <c r="E34" s="28">
        <f>Source!AQ24</f>
        <v>454</v>
      </c>
      <c r="F34" s="29"/>
      <c r="G34" s="30" t="str">
        <f>Source!DI24</f>
        <v>*0,8</v>
      </c>
      <c r="H34" s="28">
        <f>Source!AV24</f>
        <v>1</v>
      </c>
      <c r="I34" s="29">
        <f>Source!U24</f>
        <v>363.20000000000005</v>
      </c>
      <c r="J34" s="28"/>
      <c r="K34" s="29"/>
      <c r="AB34" s="25">
        <f>I34</f>
        <v>363.20000000000005</v>
      </c>
    </row>
    <row r="35" spans="1:35" ht="15" x14ac:dyDescent="0.25">
      <c r="C35" s="13" t="s">
        <v>138</v>
      </c>
      <c r="H35" s="37">
        <f>I31+I32+I33+0-0-0</f>
        <v>14177.3</v>
      </c>
      <c r="I35" s="37"/>
      <c r="J35" s="37">
        <f>K31+K32+K33+0-0-0</f>
        <v>421361.28</v>
      </c>
      <c r="K35" s="37"/>
    </row>
    <row r="36" spans="1:35" ht="15" x14ac:dyDescent="0.25">
      <c r="C36" s="13" t="s">
        <v>139</v>
      </c>
      <c r="H36" s="38">
        <f>0+0</f>
        <v>0</v>
      </c>
      <c r="I36" s="38"/>
      <c r="J36" s="38">
        <f>0+0</f>
        <v>0</v>
      </c>
      <c r="K36" s="38"/>
    </row>
    <row r="37" spans="1:35" ht="15" x14ac:dyDescent="0.25">
      <c r="H37" s="38"/>
      <c r="I37" s="38"/>
      <c r="J37" s="38"/>
      <c r="K37" s="38"/>
      <c r="O37" s="25">
        <f>I31+I32+I33+0</f>
        <v>14177.3</v>
      </c>
      <c r="P37" s="25">
        <f>K31+K32+K33+0</f>
        <v>421361.28</v>
      </c>
      <c r="X37">
        <f>IF(Source!BI24&lt;=1,I31+I32+I33-0, 0)</f>
        <v>0</v>
      </c>
      <c r="Y37">
        <f>IF(Source!BI24=2,I31+I32+I33-0, 0)</f>
        <v>0</v>
      </c>
      <c r="Z37">
        <f>IF(Source!BI24=3,I31+I32+I33-0, 0)</f>
        <v>0</v>
      </c>
      <c r="AA37">
        <f>IF(Source!BI24=4,I31+I32+I33,0)</f>
        <v>14177.3</v>
      </c>
    </row>
    <row r="39" spans="1:35" ht="14.25" x14ac:dyDescent="0.2">
      <c r="A39" s="20">
        <v>2</v>
      </c>
      <c r="B39" s="20" t="str">
        <f>Source!F25</f>
        <v>2.1-8-3</v>
      </c>
      <c r="C39" s="20" t="s">
        <v>31</v>
      </c>
      <c r="D39" s="22" t="str">
        <f>Source!H25</f>
        <v>маш.-ч</v>
      </c>
      <c r="E39" s="21">
        <f>Source!I25</f>
        <v>8</v>
      </c>
      <c r="F39" s="24"/>
      <c r="G39" s="23"/>
      <c r="H39" s="21"/>
      <c r="I39" s="24"/>
      <c r="J39" s="21"/>
      <c r="K39" s="24"/>
      <c r="Q39">
        <f>ROUND((Source!DN25/100)*ROUND((ROUND((Source!AF25*Source!AV25*Source!I25),2)),2), 2)</f>
        <v>0</v>
      </c>
      <c r="R39">
        <f>Source!X25</f>
        <v>0</v>
      </c>
      <c r="S39">
        <f>ROUND((Source!DO25/100)*ROUND((ROUND((Source!AF25*Source!AV25*Source!I25),2)),2), 2)</f>
        <v>0</v>
      </c>
      <c r="T39">
        <f>Source!Y25</f>
        <v>0</v>
      </c>
      <c r="U39">
        <f>ROUND((175/100)*ROUND((ROUND((Source!AE25*Source!AV25*Source!I25),2)),2), 2)</f>
        <v>176.68</v>
      </c>
      <c r="V39">
        <f>ROUND((160/100)*ROUND(ROUND((ROUND((Source!AE25*Source!AV25*Source!I25),2)*Source!BS25),2), 2), 2)</f>
        <v>5574.61</v>
      </c>
      <c r="AI39">
        <v>2</v>
      </c>
    </row>
    <row r="40" spans="1:35" ht="14.25" x14ac:dyDescent="0.2">
      <c r="A40" s="20"/>
      <c r="B40" s="20"/>
      <c r="C40" s="20" t="s">
        <v>140</v>
      </c>
      <c r="D40" s="22"/>
      <c r="E40" s="21"/>
      <c r="F40" s="24">
        <f>Source!AM25</f>
        <v>247.38</v>
      </c>
      <c r="G40" s="23" t="str">
        <f>Source!DE25</f>
        <v/>
      </c>
      <c r="H40" s="21">
        <f>Source!AV25</f>
        <v>1</v>
      </c>
      <c r="I40" s="24">
        <f>(ROUND((ROUND(((Source!ET25)*Source!AV25*Source!I25),2)),2)+ROUND((ROUND(((Source!AE25-(Source!EU25))*Source!AV25*Source!I25),2)),2))</f>
        <v>1979.04</v>
      </c>
      <c r="J40" s="21">
        <f>IF(Source!BB25&lt;&gt; 0, Source!BB25, 1)</f>
        <v>9.89</v>
      </c>
      <c r="K40" s="24">
        <f>Source!Q25</f>
        <v>19572.71</v>
      </c>
    </row>
    <row r="41" spans="1:35" ht="14.25" x14ac:dyDescent="0.2">
      <c r="A41" s="20"/>
      <c r="B41" s="20"/>
      <c r="C41" s="20" t="s">
        <v>141</v>
      </c>
      <c r="D41" s="22"/>
      <c r="E41" s="21"/>
      <c r="F41" s="24">
        <f>Source!AN25</f>
        <v>12.62</v>
      </c>
      <c r="G41" s="23" t="str">
        <f>Source!DF25</f>
        <v/>
      </c>
      <c r="H41" s="21">
        <f>Source!AV25</f>
        <v>1</v>
      </c>
      <c r="I41" s="31">
        <f>ROUND((ROUND((Source!AE25*Source!AV25*Source!I25),2)),2)</f>
        <v>100.96</v>
      </c>
      <c r="J41" s="21">
        <f>IF(Source!BS25&lt;&gt; 0, Source!BS25, 1)</f>
        <v>34.51</v>
      </c>
      <c r="K41" s="31">
        <f>Source!R25</f>
        <v>3484.13</v>
      </c>
      <c r="W41">
        <f>I41</f>
        <v>100.96</v>
      </c>
    </row>
    <row r="42" spans="1:35" ht="14.25" x14ac:dyDescent="0.2">
      <c r="A42" s="26"/>
      <c r="B42" s="26"/>
      <c r="C42" s="26" t="s">
        <v>142</v>
      </c>
      <c r="D42" s="27" t="s">
        <v>134</v>
      </c>
      <c r="E42" s="28">
        <f>175</f>
        <v>175</v>
      </c>
      <c r="F42" s="29"/>
      <c r="G42" s="30"/>
      <c r="H42" s="28"/>
      <c r="I42" s="29">
        <f>SUM(U39:U41)</f>
        <v>176.68</v>
      </c>
      <c r="J42" s="28">
        <f>160</f>
        <v>160</v>
      </c>
      <c r="K42" s="29">
        <f>SUM(V39:V41)</f>
        <v>5574.61</v>
      </c>
    </row>
    <row r="43" spans="1:35" ht="15" x14ac:dyDescent="0.25">
      <c r="C43" s="13" t="s">
        <v>143</v>
      </c>
      <c r="H43" s="37">
        <f>I40+I42+0</f>
        <v>2155.7199999999998</v>
      </c>
      <c r="I43" s="37"/>
      <c r="J43" s="37">
        <f>K40+K42+0</f>
        <v>25147.32</v>
      </c>
      <c r="K43" s="37"/>
      <c r="O43" s="25">
        <f>I40+I42+0</f>
        <v>2155.7199999999998</v>
      </c>
      <c r="P43" s="25">
        <f>K40+K42+0</f>
        <v>25147.32</v>
      </c>
      <c r="X43">
        <f>IF(Source!BI25&lt;=1,I40+I42-0, 0)</f>
        <v>2155.7199999999998</v>
      </c>
      <c r="Y43">
        <f>IF(Source!BI25=2,I40+I42-0, 0)</f>
        <v>0</v>
      </c>
      <c r="Z43">
        <f>IF(Source!BI25=3,I40+I42-0, 0)</f>
        <v>0</v>
      </c>
      <c r="AA43">
        <f>IF(Source!BI25=4,I40+I42,0)</f>
        <v>0</v>
      </c>
    </row>
    <row r="46" spans="1:35" ht="15" x14ac:dyDescent="0.25">
      <c r="A46" s="40" t="str">
        <f>CONCATENATE("Итого по локальной смете: ",IF(Source!G27&lt;&gt;"Новая локальная смета", Source!G27, ""))</f>
        <v>Итого по локальной смете: Пусконаладочные работы ТП</v>
      </c>
      <c r="B46" s="40"/>
      <c r="C46" s="40"/>
      <c r="D46" s="40"/>
      <c r="E46" s="40"/>
      <c r="F46" s="40"/>
      <c r="G46" s="40"/>
      <c r="H46" s="38">
        <f>SUM(O29:O45)</f>
        <v>16333.019999999999</v>
      </c>
      <c r="I46" s="39"/>
      <c r="J46" s="38">
        <f>SUM(P29:P45)</f>
        <v>446508.60000000003</v>
      </c>
      <c r="K46" s="39"/>
    </row>
    <row r="47" spans="1:35" hidden="1" x14ac:dyDescent="0.2">
      <c r="A47" t="s">
        <v>144</v>
      </c>
      <c r="H47">
        <f>SUM(AC29:AC46)</f>
        <v>0</v>
      </c>
      <c r="J47">
        <f>SUM(AD29:AD46)</f>
        <v>0</v>
      </c>
    </row>
    <row r="48" spans="1:35" hidden="1" x14ac:dyDescent="0.2">
      <c r="A48" t="s">
        <v>145</v>
      </c>
      <c r="H48">
        <f>SUM(AE29:AE47)</f>
        <v>0</v>
      </c>
      <c r="J48">
        <f>SUM(AF29:AF47)</f>
        <v>0</v>
      </c>
    </row>
    <row r="50" spans="1:43" ht="30" hidden="1" x14ac:dyDescent="0.25">
      <c r="A50" s="40" t="str">
        <f>CONCATENATE("Итого по смете: ",IF(Source!G57&lt;&gt;"Новый объект", Source!G57, ""))</f>
        <v>Итого по смете: 09-01-01. ПНР ТП (ТСН-2001 (Мосгосэкспертиза)) (ТСН-2001 (Мосгосэкспертиза))</v>
      </c>
      <c r="B50" s="40"/>
      <c r="C50" s="40"/>
      <c r="D50" s="40"/>
      <c r="E50" s="40"/>
      <c r="F50" s="40"/>
      <c r="G50" s="40"/>
      <c r="H50" s="38">
        <f>SUM(O1:O49)</f>
        <v>16333.019999999999</v>
      </c>
      <c r="I50" s="39"/>
      <c r="J50" s="38">
        <f>SUM(P1:P49)</f>
        <v>446508.60000000003</v>
      </c>
      <c r="K50" s="39"/>
      <c r="AQ50" s="32" t="str">
        <f>CONCATENATE("Итого по смете: ",IF(Source!G57&lt;&gt;"Новый объект", Source!G57, ""))</f>
        <v>Итого по смете: 09-01-01. ПНР ТП (ТСН-2001 (Мосгосэкспертиза)) (ТСН-2001 (Мосгосэкспертиза))</v>
      </c>
    </row>
    <row r="51" spans="1:43" hidden="1" x14ac:dyDescent="0.2">
      <c r="A51" t="s">
        <v>144</v>
      </c>
      <c r="H51">
        <f>SUM(AC1:AC50)</f>
        <v>0</v>
      </c>
      <c r="J51">
        <f>SUM(AD1:AD50)</f>
        <v>0</v>
      </c>
    </row>
    <row r="52" spans="1:43" hidden="1" x14ac:dyDescent="0.2">
      <c r="A52" t="s">
        <v>145</v>
      </c>
      <c r="H52">
        <f>SUM(AE1:AE51)</f>
        <v>0</v>
      </c>
      <c r="J52">
        <f>SUM(AF1:AF51)</f>
        <v>0</v>
      </c>
    </row>
    <row r="55" spans="1:43" ht="14.25" x14ac:dyDescent="0.2">
      <c r="A55" s="34" t="s">
        <v>147</v>
      </c>
      <c r="B55" s="34"/>
      <c r="C55" s="33" t="str">
        <f>IF(Source!AC12&lt;&gt;"", Source!AC12," ")</f>
        <v>Инженер-сметчик ООО "СМК"</v>
      </c>
      <c r="D55" s="33"/>
      <c r="E55" s="33"/>
      <c r="F55" s="33"/>
      <c r="G55" s="33"/>
      <c r="H55" s="35" t="str">
        <f>IF(Source!AB12&lt;&gt;"", Source!AB12," ")</f>
        <v>Ефанова В.А.</v>
      </c>
      <c r="I55" s="35"/>
      <c r="J55" s="35"/>
      <c r="K55" s="35"/>
    </row>
    <row r="56" spans="1:43" ht="14.25" x14ac:dyDescent="0.2">
      <c r="A56" s="9"/>
      <c r="B56" s="9"/>
      <c r="C56" s="36" t="s">
        <v>148</v>
      </c>
      <c r="D56" s="36"/>
      <c r="E56" s="36"/>
      <c r="F56" s="36"/>
      <c r="G56" s="36"/>
      <c r="H56" s="9"/>
      <c r="I56" s="9"/>
      <c r="J56" s="9"/>
      <c r="K56" s="9"/>
    </row>
    <row r="57" spans="1:43" ht="14.25" x14ac:dyDescent="0.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</row>
    <row r="58" spans="1:43" ht="14.25" x14ac:dyDescent="0.2">
      <c r="A58" s="34" t="s">
        <v>149</v>
      </c>
      <c r="B58" s="34"/>
      <c r="C58" s="33" t="str">
        <f>IF(Source!AE12&lt;&gt;"", Source!AE12," ")</f>
        <v xml:space="preserve"> </v>
      </c>
      <c r="D58" s="33"/>
      <c r="E58" s="33"/>
      <c r="F58" s="33"/>
      <c r="G58" s="33"/>
      <c r="H58" s="35" t="str">
        <f>IF(Source!AD12&lt;&gt;"", Source!AD12," ")</f>
        <v xml:space="preserve"> </v>
      </c>
      <c r="I58" s="35"/>
      <c r="J58" s="35"/>
      <c r="K58" s="35"/>
    </row>
    <row r="59" spans="1:43" ht="14.25" x14ac:dyDescent="0.2">
      <c r="A59" s="9"/>
      <c r="B59" s="9"/>
      <c r="C59" s="36" t="s">
        <v>148</v>
      </c>
      <c r="D59" s="36"/>
      <c r="E59" s="36"/>
      <c r="F59" s="36"/>
      <c r="G59" s="36"/>
      <c r="H59" s="9"/>
      <c r="I59" s="9"/>
      <c r="J59" s="9"/>
      <c r="K59" s="9"/>
    </row>
  </sheetData>
  <mergeCells count="38">
    <mergeCell ref="A29:K29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A25:K25"/>
    <mergeCell ref="J2:K2"/>
    <mergeCell ref="A3:K3"/>
    <mergeCell ref="A4:K4"/>
    <mergeCell ref="A6:K6"/>
    <mergeCell ref="A8:K8"/>
    <mergeCell ref="A9:K9"/>
    <mergeCell ref="A11:K11"/>
    <mergeCell ref="H35:I35"/>
    <mergeCell ref="J35:K35"/>
    <mergeCell ref="H36:I36"/>
    <mergeCell ref="J36:K36"/>
    <mergeCell ref="J37:K37"/>
    <mergeCell ref="H37:I37"/>
    <mergeCell ref="C59:G59"/>
    <mergeCell ref="H43:I43"/>
    <mergeCell ref="J43:K43"/>
    <mergeCell ref="J46:K46"/>
    <mergeCell ref="H46:I46"/>
    <mergeCell ref="A46:G46"/>
    <mergeCell ref="J50:K50"/>
    <mergeCell ref="H50:I50"/>
    <mergeCell ref="A50:G50"/>
    <mergeCell ref="A55:B55"/>
    <mergeCell ref="H55:K55"/>
    <mergeCell ref="C56:G56"/>
    <mergeCell ref="A58:B58"/>
    <mergeCell ref="H58:K58"/>
  </mergeCells>
  <pageMargins left="0.4" right="0.2" top="0.2" bottom="0.4" header="0.2" footer="0.2"/>
  <pageSetup paperSize="9" scale="73" fitToHeight="0" orientation="portrait" verticalDpi="0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K99"/>
  <sheetViews>
    <sheetView workbookViewId="0">
      <selection activeCell="A95" sqref="A95:AX95"/>
    </sheetView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47858</v>
      </c>
      <c r="M1">
        <v>10</v>
      </c>
      <c r="N1">
        <v>11</v>
      </c>
      <c r="O1">
        <v>14</v>
      </c>
      <c r="P1">
        <v>0</v>
      </c>
      <c r="Q1">
        <v>1</v>
      </c>
    </row>
    <row r="12" spans="1:133" x14ac:dyDescent="0.2">
      <c r="A12" s="1">
        <v>1</v>
      </c>
      <c r="B12" s="1">
        <v>94</v>
      </c>
      <c r="C12" s="1">
        <v>0</v>
      </c>
      <c r="D12" s="1">
        <f>ROW(A57)</f>
        <v>57</v>
      </c>
      <c r="E12" s="1">
        <v>0</v>
      </c>
      <c r="F12" s="1" t="s">
        <v>4</v>
      </c>
      <c r="G12" s="1" t="s">
        <v>5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160</v>
      </c>
      <c r="S12" s="1"/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6</v>
      </c>
      <c r="AC12" s="1" t="s">
        <v>7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10</v>
      </c>
      <c r="CA12" s="1" t="s">
        <v>11</v>
      </c>
      <c r="CB12" s="1" t="s">
        <v>11</v>
      </c>
      <c r="CC12" s="1" t="s">
        <v>11</v>
      </c>
      <c r="CD12" s="1" t="s">
        <v>11</v>
      </c>
      <c r="CE12" s="1" t="s">
        <v>12</v>
      </c>
      <c r="CF12" s="1">
        <v>0</v>
      </c>
      <c r="CG12" s="1">
        <v>0</v>
      </c>
      <c r="CH12" s="1">
        <v>8</v>
      </c>
      <c r="CI12" s="1" t="s">
        <v>3</v>
      </c>
      <c r="CJ12" s="1" t="s">
        <v>3</v>
      </c>
      <c r="CK12" s="1">
        <v>77</v>
      </c>
      <c r="CL12" s="1"/>
      <c r="CM12" s="1"/>
      <c r="CN12" s="1"/>
      <c r="CO12" s="1"/>
      <c r="CP12" s="1"/>
      <c r="CQ12" s="1" t="s">
        <v>13</v>
      </c>
      <c r="CR12" s="1" t="s">
        <v>14</v>
      </c>
      <c r="CS12" s="1">
        <v>41660</v>
      </c>
      <c r="CT12" s="1">
        <v>1</v>
      </c>
      <c r="CU12" s="1">
        <v>73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5" spans="1:133" x14ac:dyDescent="0.2">
      <c r="A15" s="1">
        <v>15</v>
      </c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8" spans="1:245" x14ac:dyDescent="0.2">
      <c r="A18" s="2">
        <v>52</v>
      </c>
      <c r="B18" s="2">
        <f t="shared" ref="B18:G18" si="0">B57</f>
        <v>94</v>
      </c>
      <c r="C18" s="2">
        <f t="shared" si="0"/>
        <v>1</v>
      </c>
      <c r="D18" s="2">
        <f t="shared" si="0"/>
        <v>12</v>
      </c>
      <c r="E18" s="2">
        <f t="shared" si="0"/>
        <v>0</v>
      </c>
      <c r="F18" s="2" t="str">
        <f t="shared" si="0"/>
        <v>09-01-01._(Копия) (ТСН-2001 (Мосгосэкспертиза)) (ТСН-2001 (Мосгосэкспертиза)) (ТСН-2001 (Мосгосэкспертиза)) (ТСН-2001 (Мосгосэкспертиза))</v>
      </c>
      <c r="G18" s="2" t="str">
        <f t="shared" si="0"/>
        <v>09-01-01. ПНР ТП (ТСН-2001 (Мосгосэкспертиза)) (ТСН-2001 (Мосгосэкспертиза))</v>
      </c>
      <c r="H18" s="2"/>
      <c r="I18" s="2"/>
      <c r="J18" s="2"/>
      <c r="K18" s="2"/>
      <c r="L18" s="2"/>
      <c r="M18" s="2"/>
      <c r="N18" s="2"/>
      <c r="O18" s="2">
        <f t="shared" ref="O18:AT18" si="1">O57</f>
        <v>219270</v>
      </c>
      <c r="P18" s="2">
        <f t="shared" si="1"/>
        <v>0</v>
      </c>
      <c r="Q18" s="2">
        <f t="shared" si="1"/>
        <v>19572.71</v>
      </c>
      <c r="R18" s="2">
        <f t="shared" si="1"/>
        <v>3484.13</v>
      </c>
      <c r="S18" s="2">
        <f t="shared" si="1"/>
        <v>199697.29</v>
      </c>
      <c r="T18" s="2">
        <f t="shared" si="1"/>
        <v>0</v>
      </c>
      <c r="U18" s="2">
        <f t="shared" si="1"/>
        <v>363.20000000000005</v>
      </c>
      <c r="V18" s="2">
        <f t="shared" si="1"/>
        <v>0</v>
      </c>
      <c r="W18" s="2">
        <f t="shared" si="1"/>
        <v>0</v>
      </c>
      <c r="X18" s="2">
        <f t="shared" si="1"/>
        <v>139788.1</v>
      </c>
      <c r="Y18" s="2">
        <f t="shared" si="1"/>
        <v>81875.89</v>
      </c>
      <c r="Z18" s="2">
        <f t="shared" si="1"/>
        <v>0</v>
      </c>
      <c r="AA18" s="2">
        <f t="shared" si="1"/>
        <v>0</v>
      </c>
      <c r="AB18" s="2">
        <f t="shared" si="1"/>
        <v>0</v>
      </c>
      <c r="AC18" s="2">
        <f t="shared" si="1"/>
        <v>0</v>
      </c>
      <c r="AD18" s="2">
        <f t="shared" si="1"/>
        <v>0</v>
      </c>
      <c r="AE18" s="2">
        <f t="shared" si="1"/>
        <v>0</v>
      </c>
      <c r="AF18" s="2">
        <f t="shared" si="1"/>
        <v>0</v>
      </c>
      <c r="AG18" s="2">
        <f t="shared" si="1"/>
        <v>0</v>
      </c>
      <c r="AH18" s="2">
        <f t="shared" si="1"/>
        <v>0</v>
      </c>
      <c r="AI18" s="2">
        <f t="shared" si="1"/>
        <v>0</v>
      </c>
      <c r="AJ18" s="2">
        <f t="shared" si="1"/>
        <v>0</v>
      </c>
      <c r="AK18" s="2">
        <f t="shared" si="1"/>
        <v>0</v>
      </c>
      <c r="AL18" s="2">
        <f t="shared" si="1"/>
        <v>0</v>
      </c>
      <c r="AM18" s="2">
        <f t="shared" si="1"/>
        <v>0</v>
      </c>
      <c r="AN18" s="2">
        <f t="shared" si="1"/>
        <v>0</v>
      </c>
      <c r="AO18" s="2">
        <f t="shared" si="1"/>
        <v>0</v>
      </c>
      <c r="AP18" s="2">
        <f t="shared" si="1"/>
        <v>0</v>
      </c>
      <c r="AQ18" s="2">
        <f t="shared" si="1"/>
        <v>0</v>
      </c>
      <c r="AR18" s="2">
        <f t="shared" si="1"/>
        <v>446508.6</v>
      </c>
      <c r="AS18" s="2">
        <f t="shared" si="1"/>
        <v>25147.32</v>
      </c>
      <c r="AT18" s="2">
        <f t="shared" si="1"/>
        <v>0</v>
      </c>
      <c r="AU18" s="2">
        <f t="shared" ref="AU18:BZ18" si="2">AU57</f>
        <v>421361.28</v>
      </c>
      <c r="AV18" s="2">
        <f t="shared" si="2"/>
        <v>0</v>
      </c>
      <c r="AW18" s="2">
        <f t="shared" si="2"/>
        <v>0</v>
      </c>
      <c r="AX18" s="2">
        <f t="shared" si="2"/>
        <v>0</v>
      </c>
      <c r="AY18" s="2">
        <f t="shared" si="2"/>
        <v>0</v>
      </c>
      <c r="AZ18" s="2">
        <f t="shared" si="2"/>
        <v>0</v>
      </c>
      <c r="BA18" s="2">
        <f t="shared" si="2"/>
        <v>0</v>
      </c>
      <c r="BB18" s="2">
        <f t="shared" si="2"/>
        <v>0</v>
      </c>
      <c r="BC18" s="2">
        <f t="shared" si="2"/>
        <v>0</v>
      </c>
      <c r="BD18" s="2">
        <f t="shared" si="2"/>
        <v>0</v>
      </c>
      <c r="BE18" s="2">
        <f t="shared" si="2"/>
        <v>0</v>
      </c>
      <c r="BF18" s="2">
        <f t="shared" si="2"/>
        <v>0</v>
      </c>
      <c r="BG18" s="2">
        <f t="shared" si="2"/>
        <v>0</v>
      </c>
      <c r="BH18" s="2">
        <f t="shared" si="2"/>
        <v>0</v>
      </c>
      <c r="BI18" s="2">
        <f t="shared" si="2"/>
        <v>0</v>
      </c>
      <c r="BJ18" s="2">
        <f t="shared" si="2"/>
        <v>0</v>
      </c>
      <c r="BK18" s="2">
        <f t="shared" si="2"/>
        <v>0</v>
      </c>
      <c r="BL18" s="2">
        <f t="shared" si="2"/>
        <v>0</v>
      </c>
      <c r="BM18" s="2">
        <f t="shared" si="2"/>
        <v>0</v>
      </c>
      <c r="BN18" s="2">
        <f t="shared" si="2"/>
        <v>0</v>
      </c>
      <c r="BO18" s="2">
        <f t="shared" si="2"/>
        <v>0</v>
      </c>
      <c r="BP18" s="2">
        <f t="shared" si="2"/>
        <v>0</v>
      </c>
      <c r="BQ18" s="2">
        <f t="shared" si="2"/>
        <v>0</v>
      </c>
      <c r="BR18" s="2">
        <f t="shared" si="2"/>
        <v>0</v>
      </c>
      <c r="BS18" s="2">
        <f t="shared" si="2"/>
        <v>0</v>
      </c>
      <c r="BT18" s="2">
        <f t="shared" si="2"/>
        <v>0</v>
      </c>
      <c r="BU18" s="2">
        <f t="shared" si="2"/>
        <v>0</v>
      </c>
      <c r="BV18" s="2">
        <f t="shared" si="2"/>
        <v>0</v>
      </c>
      <c r="BW18" s="2">
        <f t="shared" si="2"/>
        <v>0</v>
      </c>
      <c r="BX18" s="2">
        <f t="shared" si="2"/>
        <v>0</v>
      </c>
      <c r="BY18" s="2">
        <f t="shared" si="2"/>
        <v>0</v>
      </c>
      <c r="BZ18" s="2">
        <f t="shared" si="2"/>
        <v>0</v>
      </c>
      <c r="CA18" s="2">
        <f t="shared" ref="CA18:DF18" si="3">CA57</f>
        <v>0</v>
      </c>
      <c r="CB18" s="2">
        <f t="shared" si="3"/>
        <v>0</v>
      </c>
      <c r="CC18" s="2">
        <f t="shared" si="3"/>
        <v>0</v>
      </c>
      <c r="CD18" s="2">
        <f t="shared" si="3"/>
        <v>0</v>
      </c>
      <c r="CE18" s="2">
        <f t="shared" si="3"/>
        <v>0</v>
      </c>
      <c r="CF18" s="2">
        <f t="shared" si="3"/>
        <v>0</v>
      </c>
      <c r="CG18" s="2">
        <f t="shared" si="3"/>
        <v>0</v>
      </c>
      <c r="CH18" s="2">
        <f t="shared" si="3"/>
        <v>0</v>
      </c>
      <c r="CI18" s="2">
        <f t="shared" si="3"/>
        <v>0</v>
      </c>
      <c r="CJ18" s="2">
        <f t="shared" si="3"/>
        <v>0</v>
      </c>
      <c r="CK18" s="2">
        <f t="shared" si="3"/>
        <v>0</v>
      </c>
      <c r="CL18" s="2">
        <f t="shared" si="3"/>
        <v>0</v>
      </c>
      <c r="CM18" s="2">
        <f t="shared" si="3"/>
        <v>0</v>
      </c>
      <c r="CN18" s="2">
        <f t="shared" si="3"/>
        <v>0</v>
      </c>
      <c r="CO18" s="2">
        <f t="shared" si="3"/>
        <v>0</v>
      </c>
      <c r="CP18" s="2">
        <f t="shared" si="3"/>
        <v>0</v>
      </c>
      <c r="CQ18" s="2">
        <f t="shared" si="3"/>
        <v>0</v>
      </c>
      <c r="CR18" s="2">
        <f t="shared" si="3"/>
        <v>0</v>
      </c>
      <c r="CS18" s="2">
        <f t="shared" si="3"/>
        <v>0</v>
      </c>
      <c r="CT18" s="2">
        <f t="shared" si="3"/>
        <v>0</v>
      </c>
      <c r="CU18" s="2">
        <f t="shared" si="3"/>
        <v>0</v>
      </c>
      <c r="CV18" s="2">
        <f t="shared" si="3"/>
        <v>0</v>
      </c>
      <c r="CW18" s="2">
        <f t="shared" si="3"/>
        <v>0</v>
      </c>
      <c r="CX18" s="2">
        <f t="shared" si="3"/>
        <v>0</v>
      </c>
      <c r="CY18" s="2">
        <f t="shared" si="3"/>
        <v>0</v>
      </c>
      <c r="CZ18" s="2">
        <f t="shared" si="3"/>
        <v>0</v>
      </c>
      <c r="DA18" s="2">
        <f t="shared" si="3"/>
        <v>0</v>
      </c>
      <c r="DB18" s="2">
        <f t="shared" si="3"/>
        <v>0</v>
      </c>
      <c r="DC18" s="2">
        <f t="shared" si="3"/>
        <v>0</v>
      </c>
      <c r="DD18" s="2">
        <f t="shared" si="3"/>
        <v>0</v>
      </c>
      <c r="DE18" s="2">
        <f t="shared" si="3"/>
        <v>0</v>
      </c>
      <c r="DF18" s="2">
        <f t="shared" si="3"/>
        <v>0</v>
      </c>
      <c r="DG18" s="3">
        <f t="shared" ref="DG18:EL18" si="4">DG57</f>
        <v>0</v>
      </c>
      <c r="DH18" s="3">
        <f t="shared" si="4"/>
        <v>0</v>
      </c>
      <c r="DI18" s="3">
        <f t="shared" si="4"/>
        <v>0</v>
      </c>
      <c r="DJ18" s="3">
        <f t="shared" si="4"/>
        <v>0</v>
      </c>
      <c r="DK18" s="3">
        <f t="shared" si="4"/>
        <v>0</v>
      </c>
      <c r="DL18" s="3">
        <f t="shared" si="4"/>
        <v>0</v>
      </c>
      <c r="DM18" s="3">
        <f t="shared" si="4"/>
        <v>0</v>
      </c>
      <c r="DN18" s="3">
        <f t="shared" si="4"/>
        <v>0</v>
      </c>
      <c r="DO18" s="3">
        <f t="shared" si="4"/>
        <v>0</v>
      </c>
      <c r="DP18" s="3">
        <f t="shared" si="4"/>
        <v>0</v>
      </c>
      <c r="DQ18" s="3">
        <f t="shared" si="4"/>
        <v>0</v>
      </c>
      <c r="DR18" s="3">
        <f t="shared" si="4"/>
        <v>0</v>
      </c>
      <c r="DS18" s="3">
        <f t="shared" si="4"/>
        <v>0</v>
      </c>
      <c r="DT18" s="3">
        <f t="shared" si="4"/>
        <v>0</v>
      </c>
      <c r="DU18" s="3">
        <f t="shared" si="4"/>
        <v>0</v>
      </c>
      <c r="DV18" s="3">
        <f t="shared" si="4"/>
        <v>0</v>
      </c>
      <c r="DW18" s="3">
        <f t="shared" si="4"/>
        <v>0</v>
      </c>
      <c r="DX18" s="3">
        <f t="shared" si="4"/>
        <v>0</v>
      </c>
      <c r="DY18" s="3">
        <f t="shared" si="4"/>
        <v>0</v>
      </c>
      <c r="DZ18" s="3">
        <f t="shared" si="4"/>
        <v>0</v>
      </c>
      <c r="EA18" s="3">
        <f t="shared" si="4"/>
        <v>0</v>
      </c>
      <c r="EB18" s="3">
        <f t="shared" si="4"/>
        <v>0</v>
      </c>
      <c r="EC18" s="3">
        <f t="shared" si="4"/>
        <v>0</v>
      </c>
      <c r="ED18" s="3">
        <f t="shared" si="4"/>
        <v>0</v>
      </c>
      <c r="EE18" s="3">
        <f t="shared" si="4"/>
        <v>0</v>
      </c>
      <c r="EF18" s="3">
        <f t="shared" si="4"/>
        <v>0</v>
      </c>
      <c r="EG18" s="3">
        <f t="shared" si="4"/>
        <v>0</v>
      </c>
      <c r="EH18" s="3">
        <f t="shared" si="4"/>
        <v>0</v>
      </c>
      <c r="EI18" s="3">
        <f t="shared" si="4"/>
        <v>0</v>
      </c>
      <c r="EJ18" s="3">
        <f t="shared" si="4"/>
        <v>0</v>
      </c>
      <c r="EK18" s="3">
        <f t="shared" si="4"/>
        <v>0</v>
      </c>
      <c r="EL18" s="3">
        <f t="shared" si="4"/>
        <v>0</v>
      </c>
      <c r="EM18" s="3">
        <f t="shared" ref="EM18:FR18" si="5">EM57</f>
        <v>0</v>
      </c>
      <c r="EN18" s="3">
        <f t="shared" si="5"/>
        <v>0</v>
      </c>
      <c r="EO18" s="3">
        <f t="shared" si="5"/>
        <v>0</v>
      </c>
      <c r="EP18" s="3">
        <f t="shared" si="5"/>
        <v>0</v>
      </c>
      <c r="EQ18" s="3">
        <f t="shared" si="5"/>
        <v>0</v>
      </c>
      <c r="ER18" s="3">
        <f t="shared" si="5"/>
        <v>0</v>
      </c>
      <c r="ES18" s="3">
        <f t="shared" si="5"/>
        <v>0</v>
      </c>
      <c r="ET18" s="3">
        <f t="shared" si="5"/>
        <v>0</v>
      </c>
      <c r="EU18" s="3">
        <f t="shared" si="5"/>
        <v>0</v>
      </c>
      <c r="EV18" s="3">
        <f t="shared" si="5"/>
        <v>0</v>
      </c>
      <c r="EW18" s="3">
        <f t="shared" si="5"/>
        <v>0</v>
      </c>
      <c r="EX18" s="3">
        <f t="shared" si="5"/>
        <v>0</v>
      </c>
      <c r="EY18" s="3">
        <f t="shared" si="5"/>
        <v>0</v>
      </c>
      <c r="EZ18" s="3">
        <f t="shared" si="5"/>
        <v>0</v>
      </c>
      <c r="FA18" s="3">
        <f t="shared" si="5"/>
        <v>0</v>
      </c>
      <c r="FB18" s="3">
        <f t="shared" si="5"/>
        <v>0</v>
      </c>
      <c r="FC18" s="3">
        <f t="shared" si="5"/>
        <v>0</v>
      </c>
      <c r="FD18" s="3">
        <f t="shared" si="5"/>
        <v>0</v>
      </c>
      <c r="FE18" s="3">
        <f t="shared" si="5"/>
        <v>0</v>
      </c>
      <c r="FF18" s="3">
        <f t="shared" si="5"/>
        <v>0</v>
      </c>
      <c r="FG18" s="3">
        <f t="shared" si="5"/>
        <v>0</v>
      </c>
      <c r="FH18" s="3">
        <f t="shared" si="5"/>
        <v>0</v>
      </c>
      <c r="FI18" s="3">
        <f t="shared" si="5"/>
        <v>0</v>
      </c>
      <c r="FJ18" s="3">
        <f t="shared" si="5"/>
        <v>0</v>
      </c>
      <c r="FK18" s="3">
        <f t="shared" si="5"/>
        <v>0</v>
      </c>
      <c r="FL18" s="3">
        <f t="shared" si="5"/>
        <v>0</v>
      </c>
      <c r="FM18" s="3">
        <f t="shared" si="5"/>
        <v>0</v>
      </c>
      <c r="FN18" s="3">
        <f t="shared" si="5"/>
        <v>0</v>
      </c>
      <c r="FO18" s="3">
        <f t="shared" si="5"/>
        <v>0</v>
      </c>
      <c r="FP18" s="3">
        <f t="shared" si="5"/>
        <v>0</v>
      </c>
      <c r="FQ18" s="3">
        <f t="shared" si="5"/>
        <v>0</v>
      </c>
      <c r="FR18" s="3">
        <f t="shared" si="5"/>
        <v>0</v>
      </c>
      <c r="FS18" s="3">
        <f t="shared" ref="FS18:GX18" si="6">FS57</f>
        <v>0</v>
      </c>
      <c r="FT18" s="3">
        <f t="shared" si="6"/>
        <v>0</v>
      </c>
      <c r="FU18" s="3">
        <f t="shared" si="6"/>
        <v>0</v>
      </c>
      <c r="FV18" s="3">
        <f t="shared" si="6"/>
        <v>0</v>
      </c>
      <c r="FW18" s="3">
        <f t="shared" si="6"/>
        <v>0</v>
      </c>
      <c r="FX18" s="3">
        <f t="shared" si="6"/>
        <v>0</v>
      </c>
      <c r="FY18" s="3">
        <f t="shared" si="6"/>
        <v>0</v>
      </c>
      <c r="FZ18" s="3">
        <f t="shared" si="6"/>
        <v>0</v>
      </c>
      <c r="GA18" s="3">
        <f t="shared" si="6"/>
        <v>0</v>
      </c>
      <c r="GB18" s="3">
        <f t="shared" si="6"/>
        <v>0</v>
      </c>
      <c r="GC18" s="3">
        <f t="shared" si="6"/>
        <v>0</v>
      </c>
      <c r="GD18" s="3">
        <f t="shared" si="6"/>
        <v>0</v>
      </c>
      <c r="GE18" s="3">
        <f t="shared" si="6"/>
        <v>0</v>
      </c>
      <c r="GF18" s="3">
        <f t="shared" si="6"/>
        <v>0</v>
      </c>
      <c r="GG18" s="3">
        <f t="shared" si="6"/>
        <v>0</v>
      </c>
      <c r="GH18" s="3">
        <f t="shared" si="6"/>
        <v>0</v>
      </c>
      <c r="GI18" s="3">
        <f t="shared" si="6"/>
        <v>0</v>
      </c>
      <c r="GJ18" s="3">
        <f t="shared" si="6"/>
        <v>0</v>
      </c>
      <c r="GK18" s="3">
        <f t="shared" si="6"/>
        <v>0</v>
      </c>
      <c r="GL18" s="3">
        <f t="shared" si="6"/>
        <v>0</v>
      </c>
      <c r="GM18" s="3">
        <f t="shared" si="6"/>
        <v>0</v>
      </c>
      <c r="GN18" s="3">
        <f t="shared" si="6"/>
        <v>0</v>
      </c>
      <c r="GO18" s="3">
        <f t="shared" si="6"/>
        <v>0</v>
      </c>
      <c r="GP18" s="3">
        <f t="shared" si="6"/>
        <v>0</v>
      </c>
      <c r="GQ18" s="3">
        <f t="shared" si="6"/>
        <v>0</v>
      </c>
      <c r="GR18" s="3">
        <f t="shared" si="6"/>
        <v>0</v>
      </c>
      <c r="GS18" s="3">
        <f t="shared" si="6"/>
        <v>0</v>
      </c>
      <c r="GT18" s="3">
        <f t="shared" si="6"/>
        <v>0</v>
      </c>
      <c r="GU18" s="3">
        <f t="shared" si="6"/>
        <v>0</v>
      </c>
      <c r="GV18" s="3">
        <f t="shared" si="6"/>
        <v>0</v>
      </c>
      <c r="GW18" s="3">
        <f t="shared" si="6"/>
        <v>0</v>
      </c>
      <c r="GX18" s="3">
        <f t="shared" si="6"/>
        <v>0</v>
      </c>
    </row>
    <row r="20" spans="1:245" x14ac:dyDescent="0.2">
      <c r="A20" s="1">
        <v>3</v>
      </c>
      <c r="B20" s="1">
        <v>1</v>
      </c>
      <c r="C20" s="1"/>
      <c r="D20" s="1">
        <f>ROW(A27)</f>
        <v>27</v>
      </c>
      <c r="E20" s="1"/>
      <c r="F20" s="1" t="s">
        <v>3</v>
      </c>
      <c r="G20" s="1" t="s">
        <v>15</v>
      </c>
      <c r="H20" s="1" t="s">
        <v>3</v>
      </c>
      <c r="I20" s="1">
        <v>0</v>
      </c>
      <c r="J20" s="1" t="s">
        <v>3</v>
      </c>
      <c r="K20" s="1">
        <v>-1</v>
      </c>
      <c r="L20" s="1" t="s">
        <v>3</v>
      </c>
      <c r="M20" s="1" t="s">
        <v>3</v>
      </c>
      <c r="N20" s="1"/>
      <c r="O20" s="1"/>
      <c r="P20" s="1"/>
      <c r="Q20" s="1"/>
      <c r="R20" s="1"/>
      <c r="S20" s="1">
        <v>0</v>
      </c>
      <c r="T20" s="1"/>
      <c r="U20" s="1" t="s">
        <v>3</v>
      </c>
      <c r="V20" s="1">
        <v>0</v>
      </c>
      <c r="W20" s="1"/>
      <c r="X20" s="1"/>
      <c r="Y20" s="1"/>
      <c r="Z20" s="1"/>
      <c r="AA20" s="1"/>
      <c r="AB20" s="1" t="s">
        <v>3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/>
      <c r="AI20" s="1"/>
      <c r="AJ20" s="1"/>
      <c r="AK20" s="1"/>
      <c r="AL20" s="1"/>
      <c r="AM20" s="1"/>
      <c r="AN20" s="1"/>
      <c r="AO20" s="1"/>
      <c r="AP20" s="1" t="s">
        <v>3</v>
      </c>
      <c r="AQ20" s="1" t="s">
        <v>3</v>
      </c>
      <c r="AR20" s="1" t="s">
        <v>3</v>
      </c>
      <c r="AS20" s="1"/>
      <c r="AT20" s="1"/>
      <c r="AU20" s="1"/>
      <c r="AV20" s="1"/>
      <c r="AW20" s="1"/>
      <c r="AX20" s="1"/>
      <c r="AY20" s="1"/>
      <c r="AZ20" s="1" t="s">
        <v>3</v>
      </c>
      <c r="BA20" s="1"/>
      <c r="BB20" s="1" t="s">
        <v>3</v>
      </c>
      <c r="BC20" s="1" t="s">
        <v>3</v>
      </c>
      <c r="BD20" s="1" t="s">
        <v>16</v>
      </c>
      <c r="BE20" s="1" t="s">
        <v>16</v>
      </c>
      <c r="BF20" s="1" t="s">
        <v>16</v>
      </c>
      <c r="BG20" s="1" t="s">
        <v>3</v>
      </c>
      <c r="BH20" s="1" t="s">
        <v>16</v>
      </c>
      <c r="BI20" s="1" t="s">
        <v>16</v>
      </c>
      <c r="BJ20" s="1" t="s">
        <v>3</v>
      </c>
      <c r="BK20" s="1" t="s">
        <v>3</v>
      </c>
      <c r="BL20" s="1" t="s">
        <v>3</v>
      </c>
      <c r="BM20" s="1" t="s">
        <v>3</v>
      </c>
      <c r="BN20" s="1" t="s">
        <v>16</v>
      </c>
      <c r="BO20" s="1" t="s">
        <v>104</v>
      </c>
      <c r="BP20" s="1" t="s">
        <v>17</v>
      </c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>
        <v>0</v>
      </c>
      <c r="CG20" s="1">
        <v>0</v>
      </c>
      <c r="CH20" s="1"/>
      <c r="CI20" s="1" t="s">
        <v>3</v>
      </c>
      <c r="CJ20" s="1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</row>
    <row r="22" spans="1:245" x14ac:dyDescent="0.2">
      <c r="A22" s="2">
        <v>52</v>
      </c>
      <c r="B22" s="2">
        <f t="shared" ref="B22:G22" si="7">B27</f>
        <v>1</v>
      </c>
      <c r="C22" s="2">
        <f t="shared" si="7"/>
        <v>3</v>
      </c>
      <c r="D22" s="2">
        <f t="shared" si="7"/>
        <v>20</v>
      </c>
      <c r="E22" s="2">
        <f t="shared" si="7"/>
        <v>0</v>
      </c>
      <c r="F22" s="2" t="str">
        <f t="shared" si="7"/>
        <v/>
      </c>
      <c r="G22" s="2" t="str">
        <f t="shared" si="7"/>
        <v>Пусконаладочные работы ТП</v>
      </c>
      <c r="H22" s="2"/>
      <c r="I22" s="2"/>
      <c r="J22" s="2"/>
      <c r="K22" s="2"/>
      <c r="L22" s="2"/>
      <c r="M22" s="2"/>
      <c r="N22" s="2"/>
      <c r="O22" s="2">
        <f t="shared" ref="O22:AT22" si="8">O27</f>
        <v>219270</v>
      </c>
      <c r="P22" s="2">
        <f t="shared" si="8"/>
        <v>0</v>
      </c>
      <c r="Q22" s="2">
        <f t="shared" si="8"/>
        <v>19572.71</v>
      </c>
      <c r="R22" s="2">
        <f t="shared" si="8"/>
        <v>3484.13</v>
      </c>
      <c r="S22" s="2">
        <f t="shared" si="8"/>
        <v>199697.29</v>
      </c>
      <c r="T22" s="2">
        <f t="shared" si="8"/>
        <v>0</v>
      </c>
      <c r="U22" s="2">
        <f t="shared" si="8"/>
        <v>363.20000000000005</v>
      </c>
      <c r="V22" s="2">
        <f t="shared" si="8"/>
        <v>0</v>
      </c>
      <c r="W22" s="2">
        <f t="shared" si="8"/>
        <v>0</v>
      </c>
      <c r="X22" s="2">
        <f t="shared" si="8"/>
        <v>139788.1</v>
      </c>
      <c r="Y22" s="2">
        <f t="shared" si="8"/>
        <v>81875.89</v>
      </c>
      <c r="Z22" s="2">
        <f t="shared" si="8"/>
        <v>0</v>
      </c>
      <c r="AA22" s="2">
        <f t="shared" si="8"/>
        <v>0</v>
      </c>
      <c r="AB22" s="2">
        <f t="shared" si="8"/>
        <v>219270</v>
      </c>
      <c r="AC22" s="2">
        <f t="shared" si="8"/>
        <v>0</v>
      </c>
      <c r="AD22" s="2">
        <f t="shared" si="8"/>
        <v>19572.71</v>
      </c>
      <c r="AE22" s="2">
        <f t="shared" si="8"/>
        <v>3484.13</v>
      </c>
      <c r="AF22" s="2">
        <f t="shared" si="8"/>
        <v>199697.29</v>
      </c>
      <c r="AG22" s="2">
        <f t="shared" si="8"/>
        <v>0</v>
      </c>
      <c r="AH22" s="2">
        <f t="shared" si="8"/>
        <v>363.20000000000005</v>
      </c>
      <c r="AI22" s="2">
        <f t="shared" si="8"/>
        <v>0</v>
      </c>
      <c r="AJ22" s="2">
        <f t="shared" si="8"/>
        <v>0</v>
      </c>
      <c r="AK22" s="2">
        <f t="shared" si="8"/>
        <v>139788.1</v>
      </c>
      <c r="AL22" s="2">
        <f t="shared" si="8"/>
        <v>81875.89</v>
      </c>
      <c r="AM22" s="2">
        <f t="shared" si="8"/>
        <v>0</v>
      </c>
      <c r="AN22" s="2">
        <f t="shared" si="8"/>
        <v>0</v>
      </c>
      <c r="AO22" s="2">
        <f t="shared" si="8"/>
        <v>0</v>
      </c>
      <c r="AP22" s="2">
        <f t="shared" si="8"/>
        <v>0</v>
      </c>
      <c r="AQ22" s="2">
        <f t="shared" si="8"/>
        <v>0</v>
      </c>
      <c r="AR22" s="2">
        <f t="shared" si="8"/>
        <v>446508.6</v>
      </c>
      <c r="AS22" s="2">
        <f t="shared" si="8"/>
        <v>25147.32</v>
      </c>
      <c r="AT22" s="2">
        <f t="shared" si="8"/>
        <v>0</v>
      </c>
      <c r="AU22" s="2">
        <f t="shared" ref="AU22:BZ22" si="9">AU27</f>
        <v>421361.28</v>
      </c>
      <c r="AV22" s="2">
        <f t="shared" si="9"/>
        <v>0</v>
      </c>
      <c r="AW22" s="2">
        <f t="shared" si="9"/>
        <v>0</v>
      </c>
      <c r="AX22" s="2">
        <f t="shared" si="9"/>
        <v>0</v>
      </c>
      <c r="AY22" s="2">
        <f t="shared" si="9"/>
        <v>0</v>
      </c>
      <c r="AZ22" s="2">
        <f t="shared" si="9"/>
        <v>0</v>
      </c>
      <c r="BA22" s="2">
        <f t="shared" si="9"/>
        <v>0</v>
      </c>
      <c r="BB22" s="2">
        <f t="shared" si="9"/>
        <v>0</v>
      </c>
      <c r="BC22" s="2">
        <f t="shared" si="9"/>
        <v>0</v>
      </c>
      <c r="BD22" s="2">
        <f t="shared" si="9"/>
        <v>0</v>
      </c>
      <c r="BE22" s="2">
        <f t="shared" si="9"/>
        <v>0</v>
      </c>
      <c r="BF22" s="2">
        <f t="shared" si="9"/>
        <v>0</v>
      </c>
      <c r="BG22" s="2">
        <f t="shared" si="9"/>
        <v>0</v>
      </c>
      <c r="BH22" s="2">
        <f t="shared" si="9"/>
        <v>0</v>
      </c>
      <c r="BI22" s="2">
        <f t="shared" si="9"/>
        <v>0</v>
      </c>
      <c r="BJ22" s="2">
        <f t="shared" si="9"/>
        <v>0</v>
      </c>
      <c r="BK22" s="2">
        <f t="shared" si="9"/>
        <v>0</v>
      </c>
      <c r="BL22" s="2">
        <f t="shared" si="9"/>
        <v>0</v>
      </c>
      <c r="BM22" s="2">
        <f t="shared" si="9"/>
        <v>0</v>
      </c>
      <c r="BN22" s="2">
        <f t="shared" si="9"/>
        <v>0</v>
      </c>
      <c r="BO22" s="2">
        <f t="shared" si="9"/>
        <v>0</v>
      </c>
      <c r="BP22" s="2">
        <f t="shared" si="9"/>
        <v>0</v>
      </c>
      <c r="BQ22" s="2">
        <f t="shared" si="9"/>
        <v>0</v>
      </c>
      <c r="BR22" s="2">
        <f t="shared" si="9"/>
        <v>0</v>
      </c>
      <c r="BS22" s="2">
        <f t="shared" si="9"/>
        <v>0</v>
      </c>
      <c r="BT22" s="2">
        <f t="shared" si="9"/>
        <v>0</v>
      </c>
      <c r="BU22" s="2">
        <f t="shared" si="9"/>
        <v>0</v>
      </c>
      <c r="BV22" s="2">
        <f t="shared" si="9"/>
        <v>0</v>
      </c>
      <c r="BW22" s="2">
        <f t="shared" si="9"/>
        <v>0</v>
      </c>
      <c r="BX22" s="2">
        <f t="shared" si="9"/>
        <v>0</v>
      </c>
      <c r="BY22" s="2">
        <f t="shared" si="9"/>
        <v>0</v>
      </c>
      <c r="BZ22" s="2">
        <f t="shared" si="9"/>
        <v>0</v>
      </c>
      <c r="CA22" s="2">
        <f t="shared" ref="CA22:DF22" si="10">CA27</f>
        <v>446508.6</v>
      </c>
      <c r="CB22" s="2">
        <f t="shared" si="10"/>
        <v>25147.32</v>
      </c>
      <c r="CC22" s="2">
        <f t="shared" si="10"/>
        <v>0</v>
      </c>
      <c r="CD22" s="2">
        <f t="shared" si="10"/>
        <v>421361.28</v>
      </c>
      <c r="CE22" s="2">
        <f t="shared" si="10"/>
        <v>0</v>
      </c>
      <c r="CF22" s="2">
        <f t="shared" si="10"/>
        <v>0</v>
      </c>
      <c r="CG22" s="2">
        <f t="shared" si="10"/>
        <v>0</v>
      </c>
      <c r="CH22" s="2">
        <f t="shared" si="10"/>
        <v>0</v>
      </c>
      <c r="CI22" s="2">
        <f t="shared" si="10"/>
        <v>0</v>
      </c>
      <c r="CJ22" s="2">
        <f t="shared" si="10"/>
        <v>0</v>
      </c>
      <c r="CK22" s="2">
        <f t="shared" si="10"/>
        <v>0</v>
      </c>
      <c r="CL22" s="2">
        <f t="shared" si="10"/>
        <v>0</v>
      </c>
      <c r="CM22" s="2">
        <f t="shared" si="10"/>
        <v>0</v>
      </c>
      <c r="CN22" s="2">
        <f t="shared" si="10"/>
        <v>0</v>
      </c>
      <c r="CO22" s="2">
        <f t="shared" si="10"/>
        <v>0</v>
      </c>
      <c r="CP22" s="2">
        <f t="shared" si="10"/>
        <v>0</v>
      </c>
      <c r="CQ22" s="2">
        <f t="shared" si="10"/>
        <v>0</v>
      </c>
      <c r="CR22" s="2">
        <f t="shared" si="10"/>
        <v>0</v>
      </c>
      <c r="CS22" s="2">
        <f t="shared" si="10"/>
        <v>0</v>
      </c>
      <c r="CT22" s="2">
        <f t="shared" si="10"/>
        <v>0</v>
      </c>
      <c r="CU22" s="2">
        <f t="shared" si="10"/>
        <v>0</v>
      </c>
      <c r="CV22" s="2">
        <f t="shared" si="10"/>
        <v>0</v>
      </c>
      <c r="CW22" s="2">
        <f t="shared" si="10"/>
        <v>0</v>
      </c>
      <c r="CX22" s="2">
        <f t="shared" si="10"/>
        <v>0</v>
      </c>
      <c r="CY22" s="2">
        <f t="shared" si="10"/>
        <v>0</v>
      </c>
      <c r="CZ22" s="2">
        <f t="shared" si="10"/>
        <v>0</v>
      </c>
      <c r="DA22" s="2">
        <f t="shared" si="10"/>
        <v>0</v>
      </c>
      <c r="DB22" s="2">
        <f t="shared" si="10"/>
        <v>0</v>
      </c>
      <c r="DC22" s="2">
        <f t="shared" si="10"/>
        <v>0</v>
      </c>
      <c r="DD22" s="2">
        <f t="shared" si="10"/>
        <v>0</v>
      </c>
      <c r="DE22" s="2">
        <f t="shared" si="10"/>
        <v>0</v>
      </c>
      <c r="DF22" s="2">
        <f t="shared" si="10"/>
        <v>0</v>
      </c>
      <c r="DG22" s="3">
        <f t="shared" ref="DG22:EL22" si="11">DG27</f>
        <v>0</v>
      </c>
      <c r="DH22" s="3">
        <f t="shared" si="11"/>
        <v>0</v>
      </c>
      <c r="DI22" s="3">
        <f t="shared" si="11"/>
        <v>0</v>
      </c>
      <c r="DJ22" s="3">
        <f t="shared" si="11"/>
        <v>0</v>
      </c>
      <c r="DK22" s="3">
        <f t="shared" si="11"/>
        <v>0</v>
      </c>
      <c r="DL22" s="3">
        <f t="shared" si="11"/>
        <v>0</v>
      </c>
      <c r="DM22" s="3">
        <f t="shared" si="11"/>
        <v>0</v>
      </c>
      <c r="DN22" s="3">
        <f t="shared" si="11"/>
        <v>0</v>
      </c>
      <c r="DO22" s="3">
        <f t="shared" si="11"/>
        <v>0</v>
      </c>
      <c r="DP22" s="3">
        <f t="shared" si="11"/>
        <v>0</v>
      </c>
      <c r="DQ22" s="3">
        <f t="shared" si="11"/>
        <v>0</v>
      </c>
      <c r="DR22" s="3">
        <f t="shared" si="11"/>
        <v>0</v>
      </c>
      <c r="DS22" s="3">
        <f t="shared" si="11"/>
        <v>0</v>
      </c>
      <c r="DT22" s="3">
        <f t="shared" si="11"/>
        <v>0</v>
      </c>
      <c r="DU22" s="3">
        <f t="shared" si="11"/>
        <v>0</v>
      </c>
      <c r="DV22" s="3">
        <f t="shared" si="11"/>
        <v>0</v>
      </c>
      <c r="DW22" s="3">
        <f t="shared" si="11"/>
        <v>0</v>
      </c>
      <c r="DX22" s="3">
        <f t="shared" si="11"/>
        <v>0</v>
      </c>
      <c r="DY22" s="3">
        <f t="shared" si="11"/>
        <v>0</v>
      </c>
      <c r="DZ22" s="3">
        <f t="shared" si="11"/>
        <v>0</v>
      </c>
      <c r="EA22" s="3">
        <f t="shared" si="11"/>
        <v>0</v>
      </c>
      <c r="EB22" s="3">
        <f t="shared" si="11"/>
        <v>0</v>
      </c>
      <c r="EC22" s="3">
        <f t="shared" si="11"/>
        <v>0</v>
      </c>
      <c r="ED22" s="3">
        <f t="shared" si="11"/>
        <v>0</v>
      </c>
      <c r="EE22" s="3">
        <f t="shared" si="11"/>
        <v>0</v>
      </c>
      <c r="EF22" s="3">
        <f t="shared" si="11"/>
        <v>0</v>
      </c>
      <c r="EG22" s="3">
        <f t="shared" si="11"/>
        <v>0</v>
      </c>
      <c r="EH22" s="3">
        <f t="shared" si="11"/>
        <v>0</v>
      </c>
      <c r="EI22" s="3">
        <f t="shared" si="11"/>
        <v>0</v>
      </c>
      <c r="EJ22" s="3">
        <f t="shared" si="11"/>
        <v>0</v>
      </c>
      <c r="EK22" s="3">
        <f t="shared" si="11"/>
        <v>0</v>
      </c>
      <c r="EL22" s="3">
        <f t="shared" si="11"/>
        <v>0</v>
      </c>
      <c r="EM22" s="3">
        <f t="shared" ref="EM22:FR22" si="12">EM27</f>
        <v>0</v>
      </c>
      <c r="EN22" s="3">
        <f t="shared" si="12"/>
        <v>0</v>
      </c>
      <c r="EO22" s="3">
        <f t="shared" si="12"/>
        <v>0</v>
      </c>
      <c r="EP22" s="3">
        <f t="shared" si="12"/>
        <v>0</v>
      </c>
      <c r="EQ22" s="3">
        <f t="shared" si="12"/>
        <v>0</v>
      </c>
      <c r="ER22" s="3">
        <f t="shared" si="12"/>
        <v>0</v>
      </c>
      <c r="ES22" s="3">
        <f t="shared" si="12"/>
        <v>0</v>
      </c>
      <c r="ET22" s="3">
        <f t="shared" si="12"/>
        <v>0</v>
      </c>
      <c r="EU22" s="3">
        <f t="shared" si="12"/>
        <v>0</v>
      </c>
      <c r="EV22" s="3">
        <f t="shared" si="12"/>
        <v>0</v>
      </c>
      <c r="EW22" s="3">
        <f t="shared" si="12"/>
        <v>0</v>
      </c>
      <c r="EX22" s="3">
        <f t="shared" si="12"/>
        <v>0</v>
      </c>
      <c r="EY22" s="3">
        <f t="shared" si="12"/>
        <v>0</v>
      </c>
      <c r="EZ22" s="3">
        <f t="shared" si="12"/>
        <v>0</v>
      </c>
      <c r="FA22" s="3">
        <f t="shared" si="12"/>
        <v>0</v>
      </c>
      <c r="FB22" s="3">
        <f t="shared" si="12"/>
        <v>0</v>
      </c>
      <c r="FC22" s="3">
        <f t="shared" si="12"/>
        <v>0</v>
      </c>
      <c r="FD22" s="3">
        <f t="shared" si="12"/>
        <v>0</v>
      </c>
      <c r="FE22" s="3">
        <f t="shared" si="12"/>
        <v>0</v>
      </c>
      <c r="FF22" s="3">
        <f t="shared" si="12"/>
        <v>0</v>
      </c>
      <c r="FG22" s="3">
        <f t="shared" si="12"/>
        <v>0</v>
      </c>
      <c r="FH22" s="3">
        <f t="shared" si="12"/>
        <v>0</v>
      </c>
      <c r="FI22" s="3">
        <f t="shared" si="12"/>
        <v>0</v>
      </c>
      <c r="FJ22" s="3">
        <f t="shared" si="12"/>
        <v>0</v>
      </c>
      <c r="FK22" s="3">
        <f t="shared" si="12"/>
        <v>0</v>
      </c>
      <c r="FL22" s="3">
        <f t="shared" si="12"/>
        <v>0</v>
      </c>
      <c r="FM22" s="3">
        <f t="shared" si="12"/>
        <v>0</v>
      </c>
      <c r="FN22" s="3">
        <f t="shared" si="12"/>
        <v>0</v>
      </c>
      <c r="FO22" s="3">
        <f t="shared" si="12"/>
        <v>0</v>
      </c>
      <c r="FP22" s="3">
        <f t="shared" si="12"/>
        <v>0</v>
      </c>
      <c r="FQ22" s="3">
        <f t="shared" si="12"/>
        <v>0</v>
      </c>
      <c r="FR22" s="3">
        <f t="shared" si="12"/>
        <v>0</v>
      </c>
      <c r="FS22" s="3">
        <f t="shared" ref="FS22:GX22" si="13">FS27</f>
        <v>0</v>
      </c>
      <c r="FT22" s="3">
        <f t="shared" si="13"/>
        <v>0</v>
      </c>
      <c r="FU22" s="3">
        <f t="shared" si="13"/>
        <v>0</v>
      </c>
      <c r="FV22" s="3">
        <f t="shared" si="13"/>
        <v>0</v>
      </c>
      <c r="FW22" s="3">
        <f t="shared" si="13"/>
        <v>0</v>
      </c>
      <c r="FX22" s="3">
        <f t="shared" si="13"/>
        <v>0</v>
      </c>
      <c r="FY22" s="3">
        <f t="shared" si="13"/>
        <v>0</v>
      </c>
      <c r="FZ22" s="3">
        <f t="shared" si="13"/>
        <v>0</v>
      </c>
      <c r="GA22" s="3">
        <f t="shared" si="13"/>
        <v>0</v>
      </c>
      <c r="GB22" s="3">
        <f t="shared" si="13"/>
        <v>0</v>
      </c>
      <c r="GC22" s="3">
        <f t="shared" si="13"/>
        <v>0</v>
      </c>
      <c r="GD22" s="3">
        <f t="shared" si="13"/>
        <v>0</v>
      </c>
      <c r="GE22" s="3">
        <f t="shared" si="13"/>
        <v>0</v>
      </c>
      <c r="GF22" s="3">
        <f t="shared" si="13"/>
        <v>0</v>
      </c>
      <c r="GG22" s="3">
        <f t="shared" si="13"/>
        <v>0</v>
      </c>
      <c r="GH22" s="3">
        <f t="shared" si="13"/>
        <v>0</v>
      </c>
      <c r="GI22" s="3">
        <f t="shared" si="13"/>
        <v>0</v>
      </c>
      <c r="GJ22" s="3">
        <f t="shared" si="13"/>
        <v>0</v>
      </c>
      <c r="GK22" s="3">
        <f t="shared" si="13"/>
        <v>0</v>
      </c>
      <c r="GL22" s="3">
        <f t="shared" si="13"/>
        <v>0</v>
      </c>
      <c r="GM22" s="3">
        <f t="shared" si="13"/>
        <v>0</v>
      </c>
      <c r="GN22" s="3">
        <f t="shared" si="13"/>
        <v>0</v>
      </c>
      <c r="GO22" s="3">
        <f t="shared" si="13"/>
        <v>0</v>
      </c>
      <c r="GP22" s="3">
        <f t="shared" si="13"/>
        <v>0</v>
      </c>
      <c r="GQ22" s="3">
        <f t="shared" si="13"/>
        <v>0</v>
      </c>
      <c r="GR22" s="3">
        <f t="shared" si="13"/>
        <v>0</v>
      </c>
      <c r="GS22" s="3">
        <f t="shared" si="13"/>
        <v>0</v>
      </c>
      <c r="GT22" s="3">
        <f t="shared" si="13"/>
        <v>0</v>
      </c>
      <c r="GU22" s="3">
        <f t="shared" si="13"/>
        <v>0</v>
      </c>
      <c r="GV22" s="3">
        <f t="shared" si="13"/>
        <v>0</v>
      </c>
      <c r="GW22" s="3">
        <f t="shared" si="13"/>
        <v>0</v>
      </c>
      <c r="GX22" s="3">
        <f t="shared" si="13"/>
        <v>0</v>
      </c>
    </row>
    <row r="24" spans="1:245" x14ac:dyDescent="0.2">
      <c r="A24">
        <v>17</v>
      </c>
      <c r="B24">
        <v>1</v>
      </c>
      <c r="D24">
        <f>ROW(EtalonRes!A1)</f>
        <v>1</v>
      </c>
      <c r="E24" t="s">
        <v>18</v>
      </c>
      <c r="F24" t="s">
        <v>19</v>
      </c>
      <c r="G24" t="s">
        <v>20</v>
      </c>
      <c r="H24" t="s">
        <v>21</v>
      </c>
      <c r="I24">
        <f>ROUND(1,9)</f>
        <v>1</v>
      </c>
      <c r="J24">
        <v>0</v>
      </c>
      <c r="K24">
        <f>ROUND(1,9)</f>
        <v>1</v>
      </c>
      <c r="O24">
        <f>ROUND(CP24,2)</f>
        <v>199697.29</v>
      </c>
      <c r="P24">
        <f>ROUND((ROUND((AC24*AW24*I24),2)*BC24),2)</f>
        <v>0</v>
      </c>
      <c r="Q24">
        <f>(ROUND((ROUND(((ET24)*AV24*I24),2)*BB24),2)+ROUND((ROUND(((AE24-(EU24))*AV24*I24),2)*BS24),2))</f>
        <v>0</v>
      </c>
      <c r="R24">
        <f>ROUND((ROUND((AE24*AV24*I24),2)*BS24),2)</f>
        <v>0</v>
      </c>
      <c r="S24">
        <f>ROUND((ROUND((AF24*AV24*I24),2)*BA24),2)</f>
        <v>199697.29</v>
      </c>
      <c r="T24">
        <f>ROUND(CU24*I24,2)</f>
        <v>0</v>
      </c>
      <c r="U24">
        <f>CV24*I24</f>
        <v>363.20000000000005</v>
      </c>
      <c r="V24">
        <f>CW24*I24</f>
        <v>0</v>
      </c>
      <c r="W24">
        <f>ROUND(CX24*I24,2)</f>
        <v>0</v>
      </c>
      <c r="X24">
        <f>ROUND(CY24,2)</f>
        <v>139788.1</v>
      </c>
      <c r="Y24">
        <f>ROUND(CZ24,2)</f>
        <v>81875.89</v>
      </c>
      <c r="AA24">
        <v>55810629</v>
      </c>
      <c r="AB24">
        <f>ROUND((AC24+AD24+AF24),6)</f>
        <v>5786.6480000000001</v>
      </c>
      <c r="AC24">
        <f>ROUND((ES24),6)</f>
        <v>0</v>
      </c>
      <c r="AD24">
        <f>ROUND((((ET24)-(EU24))+AE24),6)</f>
        <v>0</v>
      </c>
      <c r="AE24">
        <f>ROUND((EU24),6)</f>
        <v>0</v>
      </c>
      <c r="AF24">
        <f>ROUND(((EV24*0.8)),6)</f>
        <v>5786.6480000000001</v>
      </c>
      <c r="AG24">
        <f>ROUND((AP24),6)</f>
        <v>0</v>
      </c>
      <c r="AH24">
        <f>((EW24*0.8))</f>
        <v>363.20000000000005</v>
      </c>
      <c r="AI24">
        <f>(EX24)</f>
        <v>0</v>
      </c>
      <c r="AJ24">
        <f>(AS24)</f>
        <v>0</v>
      </c>
      <c r="AK24">
        <v>7233.31</v>
      </c>
      <c r="AL24">
        <v>0</v>
      </c>
      <c r="AM24">
        <v>0</v>
      </c>
      <c r="AN24">
        <v>0</v>
      </c>
      <c r="AO24">
        <v>7233.31</v>
      </c>
      <c r="AP24">
        <v>0</v>
      </c>
      <c r="AQ24">
        <v>454</v>
      </c>
      <c r="AR24">
        <v>0</v>
      </c>
      <c r="AS24">
        <v>0</v>
      </c>
      <c r="AT24">
        <v>70</v>
      </c>
      <c r="AU24">
        <v>41</v>
      </c>
      <c r="AV24">
        <v>1</v>
      </c>
      <c r="AW24">
        <v>1</v>
      </c>
      <c r="AZ24">
        <v>1</v>
      </c>
      <c r="BA24">
        <v>34.51</v>
      </c>
      <c r="BB24">
        <v>1</v>
      </c>
      <c r="BC24">
        <v>1</v>
      </c>
      <c r="BD24" t="s">
        <v>3</v>
      </c>
      <c r="BE24" t="s">
        <v>3</v>
      </c>
      <c r="BF24" t="s">
        <v>3</v>
      </c>
      <c r="BG24" t="s">
        <v>3</v>
      </c>
      <c r="BH24">
        <v>0</v>
      </c>
      <c r="BI24">
        <v>4</v>
      </c>
      <c r="BJ24" t="s">
        <v>22</v>
      </c>
      <c r="BM24">
        <v>388</v>
      </c>
      <c r="BN24">
        <v>51696011</v>
      </c>
      <c r="BO24" t="s">
        <v>3</v>
      </c>
      <c r="BP24">
        <v>0</v>
      </c>
      <c r="BQ24">
        <v>50</v>
      </c>
      <c r="BR24">
        <v>0</v>
      </c>
      <c r="BS24">
        <v>34.51</v>
      </c>
      <c r="BT24">
        <v>1</v>
      </c>
      <c r="BU24">
        <v>1</v>
      </c>
      <c r="BV24">
        <v>1</v>
      </c>
      <c r="BW24">
        <v>1</v>
      </c>
      <c r="BX24">
        <v>1</v>
      </c>
      <c r="BY24" t="s">
        <v>3</v>
      </c>
      <c r="BZ24">
        <v>70</v>
      </c>
      <c r="CA24">
        <v>41</v>
      </c>
      <c r="CB24" t="s">
        <v>3</v>
      </c>
      <c r="CE24">
        <v>30</v>
      </c>
      <c r="CF24">
        <v>0</v>
      </c>
      <c r="CG24">
        <v>0</v>
      </c>
      <c r="CM24">
        <v>0</v>
      </c>
      <c r="CN24" t="s">
        <v>23</v>
      </c>
      <c r="CO24">
        <v>0</v>
      </c>
      <c r="CP24">
        <f>(P24+Q24+S24)</f>
        <v>199697.29</v>
      </c>
      <c r="CQ24">
        <f>ROUND((ROUND((AC24*AW24*1),2)*BC24),2)</f>
        <v>0</v>
      </c>
      <c r="CR24">
        <f>(ROUND((ROUND(((ET24)*AV24*1),2)*BB24),2)+ROUND((ROUND(((AE24-(EU24))*AV24*1),2)*BS24),2))</f>
        <v>0</v>
      </c>
      <c r="CS24">
        <f>ROUND((ROUND((AE24*AV24*1),2)*BS24),2)</f>
        <v>0</v>
      </c>
      <c r="CT24">
        <f>ROUND((ROUND((AF24*AV24*1),2)*BA24),2)</f>
        <v>199697.29</v>
      </c>
      <c r="CU24">
        <f>AG24</f>
        <v>0</v>
      </c>
      <c r="CV24">
        <f>(AH24*AV24)</f>
        <v>363.20000000000005</v>
      </c>
      <c r="CW24">
        <f>AI24</f>
        <v>0</v>
      </c>
      <c r="CX24">
        <f>AJ24</f>
        <v>0</v>
      </c>
      <c r="CY24">
        <f>S24*(BZ24/100)</f>
        <v>139788.103</v>
      </c>
      <c r="CZ24">
        <f>S24*(CA24/100)</f>
        <v>81875.888900000005</v>
      </c>
      <c r="DB24">
        <v>1</v>
      </c>
      <c r="DC24" t="s">
        <v>3</v>
      </c>
      <c r="DD24" t="s">
        <v>3</v>
      </c>
      <c r="DE24" t="s">
        <v>3</v>
      </c>
      <c r="DF24" t="s">
        <v>3</v>
      </c>
      <c r="DG24" t="s">
        <v>24</v>
      </c>
      <c r="DH24" t="s">
        <v>3</v>
      </c>
      <c r="DI24" t="s">
        <v>24</v>
      </c>
      <c r="DJ24" t="s">
        <v>3</v>
      </c>
      <c r="DK24" t="s">
        <v>3</v>
      </c>
      <c r="DL24" t="s">
        <v>3</v>
      </c>
      <c r="DM24" t="s">
        <v>3</v>
      </c>
      <c r="DN24">
        <v>75</v>
      </c>
      <c r="DO24">
        <v>70</v>
      </c>
      <c r="DP24">
        <v>1</v>
      </c>
      <c r="DQ24">
        <v>1</v>
      </c>
      <c r="DU24">
        <v>1013</v>
      </c>
      <c r="DV24" t="s">
        <v>21</v>
      </c>
      <c r="DW24" t="s">
        <v>21</v>
      </c>
      <c r="DX24">
        <v>1</v>
      </c>
      <c r="DZ24" t="s">
        <v>3</v>
      </c>
      <c r="EA24" t="s">
        <v>3</v>
      </c>
      <c r="EB24" t="s">
        <v>3</v>
      </c>
      <c r="EC24" t="s">
        <v>3</v>
      </c>
      <c r="EE24">
        <v>51696427</v>
      </c>
      <c r="EF24">
        <v>50</v>
      </c>
      <c r="EG24" t="s">
        <v>25</v>
      </c>
      <c r="EH24">
        <v>0</v>
      </c>
      <c r="EI24" t="s">
        <v>3</v>
      </c>
      <c r="EJ24">
        <v>4</v>
      </c>
      <c r="EK24">
        <v>388</v>
      </c>
      <c r="EL24" t="s">
        <v>26</v>
      </c>
      <c r="EM24" t="s">
        <v>27</v>
      </c>
      <c r="EO24" t="s">
        <v>28</v>
      </c>
      <c r="EQ24">
        <v>1441792</v>
      </c>
      <c r="ER24">
        <v>7233.31</v>
      </c>
      <c r="ES24">
        <v>0</v>
      </c>
      <c r="ET24">
        <v>0</v>
      </c>
      <c r="EU24">
        <v>0</v>
      </c>
      <c r="EV24">
        <v>7233.31</v>
      </c>
      <c r="EW24">
        <v>454</v>
      </c>
      <c r="EX24">
        <v>0</v>
      </c>
      <c r="EY24">
        <v>0</v>
      </c>
      <c r="FQ24">
        <v>0</v>
      </c>
      <c r="FR24">
        <v>0</v>
      </c>
      <c r="FS24">
        <v>0</v>
      </c>
      <c r="FX24">
        <v>75</v>
      </c>
      <c r="FY24">
        <v>70</v>
      </c>
      <c r="GA24" t="s">
        <v>3</v>
      </c>
      <c r="GD24">
        <v>0</v>
      </c>
      <c r="GF24">
        <v>-1121463885</v>
      </c>
      <c r="GG24">
        <v>2</v>
      </c>
      <c r="GH24">
        <v>1</v>
      </c>
      <c r="GI24">
        <v>2</v>
      </c>
      <c r="GJ24">
        <v>0</v>
      </c>
      <c r="GK24">
        <f>ROUND(R24*(R12)/100,2)</f>
        <v>0</v>
      </c>
      <c r="GL24">
        <f>ROUND(IF(AND(BH24=3,BI24=3,FS24&lt;&gt;0),P24,0),2)</f>
        <v>0</v>
      </c>
      <c r="GM24">
        <f>ROUND(O24+X24+Y24+GK24,2)+GX24</f>
        <v>421361.28</v>
      </c>
      <c r="GN24">
        <f>IF(OR(BI24=0,BI24=1),GM24-GX24,0)</f>
        <v>0</v>
      </c>
      <c r="GO24">
        <f>IF(BI24=2,GM24-GX24,0)</f>
        <v>0</v>
      </c>
      <c r="GP24">
        <f>IF(BI24=4,GM24-GX24,0)</f>
        <v>421361.28</v>
      </c>
      <c r="GR24">
        <v>0</v>
      </c>
      <c r="GS24">
        <v>3</v>
      </c>
      <c r="GT24">
        <v>0</v>
      </c>
      <c r="GU24" t="s">
        <v>3</v>
      </c>
      <c r="GV24">
        <f>ROUND((GT24),6)</f>
        <v>0</v>
      </c>
      <c r="GW24">
        <v>1</v>
      </c>
      <c r="GX24">
        <f>ROUND(HC24*I24,2)</f>
        <v>0</v>
      </c>
      <c r="HA24">
        <v>0</v>
      </c>
      <c r="HB24">
        <v>0</v>
      </c>
      <c r="HC24">
        <f>GV24*GW24</f>
        <v>0</v>
      </c>
      <c r="HE24" t="s">
        <v>3</v>
      </c>
      <c r="HF24" t="s">
        <v>3</v>
      </c>
      <c r="HM24" t="s">
        <v>3</v>
      </c>
      <c r="HN24" t="s">
        <v>3</v>
      </c>
      <c r="HO24" t="s">
        <v>3</v>
      </c>
      <c r="HP24" t="s">
        <v>3</v>
      </c>
      <c r="HQ24" t="s">
        <v>3</v>
      </c>
      <c r="HS24">
        <v>0</v>
      </c>
      <c r="IK24">
        <v>0</v>
      </c>
    </row>
    <row r="25" spans="1:245" x14ac:dyDescent="0.2">
      <c r="A25">
        <v>17</v>
      </c>
      <c r="B25">
        <v>1</v>
      </c>
      <c r="E25" t="s">
        <v>29</v>
      </c>
      <c r="F25" t="s">
        <v>30</v>
      </c>
      <c r="G25" t="s">
        <v>31</v>
      </c>
      <c r="H25" t="s">
        <v>32</v>
      </c>
      <c r="I25">
        <f>ROUND(8,9)</f>
        <v>8</v>
      </c>
      <c r="J25">
        <v>0</v>
      </c>
      <c r="K25">
        <f>ROUND(8,9)</f>
        <v>8</v>
      </c>
      <c r="O25">
        <f>ROUND(CP25,2)</f>
        <v>19572.71</v>
      </c>
      <c r="P25">
        <f>ROUND((ROUND((AC25*AW25*I25),2)*BC25),2)</f>
        <v>0</v>
      </c>
      <c r="Q25">
        <f>(ROUND((ROUND(((ET25)*AV25*I25),2)*BB25),2)+ROUND((ROUND(((AE25-(EU25))*AV25*I25),2)*BS25),2))</f>
        <v>19572.71</v>
      </c>
      <c r="R25">
        <f>ROUND((ROUND((AE25*AV25*I25),2)*BS25),2)</f>
        <v>3484.13</v>
      </c>
      <c r="S25">
        <f>ROUND((ROUND((AF25*AV25*I25),2)*BA25),2)</f>
        <v>0</v>
      </c>
      <c r="T25">
        <f>ROUND(CU25*I25,2)</f>
        <v>0</v>
      </c>
      <c r="U25">
        <f>CV25*I25</f>
        <v>0</v>
      </c>
      <c r="V25">
        <f>CW25*I25</f>
        <v>0</v>
      </c>
      <c r="W25">
        <f>ROUND(CX25*I25,2)</f>
        <v>0</v>
      </c>
      <c r="X25">
        <f>ROUND(CY25,2)</f>
        <v>0</v>
      </c>
      <c r="Y25">
        <f>ROUND(CZ25,2)</f>
        <v>0</v>
      </c>
      <c r="AA25">
        <v>55810629</v>
      </c>
      <c r="AB25">
        <f>ROUND((AC25+AD25+AF25),6)</f>
        <v>247.38</v>
      </c>
      <c r="AC25">
        <f>ROUND((ES25),6)</f>
        <v>0</v>
      </c>
      <c r="AD25">
        <f>ROUND((((ET25)-(EU25))+AE25),6)</f>
        <v>247.38</v>
      </c>
      <c r="AE25">
        <f>ROUND((EU25),6)</f>
        <v>12.62</v>
      </c>
      <c r="AF25">
        <f>ROUND((EV25),6)</f>
        <v>0</v>
      </c>
      <c r="AG25">
        <f>ROUND((AP25),6)</f>
        <v>0</v>
      </c>
      <c r="AH25">
        <f>(EW25)</f>
        <v>0</v>
      </c>
      <c r="AI25">
        <f>(EX25)</f>
        <v>0</v>
      </c>
      <c r="AJ25">
        <f>(AS25)</f>
        <v>0</v>
      </c>
      <c r="AK25">
        <v>247.38</v>
      </c>
      <c r="AL25">
        <v>0</v>
      </c>
      <c r="AM25">
        <v>247.38</v>
      </c>
      <c r="AN25">
        <v>12.62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1</v>
      </c>
      <c r="AZ25">
        <v>1</v>
      </c>
      <c r="BA25">
        <v>1</v>
      </c>
      <c r="BB25">
        <v>9.89</v>
      </c>
      <c r="BC25">
        <v>1</v>
      </c>
      <c r="BD25" t="s">
        <v>3</v>
      </c>
      <c r="BE25" t="s">
        <v>3</v>
      </c>
      <c r="BF25" t="s">
        <v>3</v>
      </c>
      <c r="BG25" t="s">
        <v>3</v>
      </c>
      <c r="BH25">
        <v>2</v>
      </c>
      <c r="BI25">
        <v>1</v>
      </c>
      <c r="BJ25" t="s">
        <v>33</v>
      </c>
      <c r="BM25">
        <v>400001</v>
      </c>
      <c r="BN25">
        <v>51696011</v>
      </c>
      <c r="BO25" t="s">
        <v>30</v>
      </c>
      <c r="BP25">
        <v>1</v>
      </c>
      <c r="BQ25">
        <v>190</v>
      </c>
      <c r="BR25">
        <v>0</v>
      </c>
      <c r="BS25">
        <v>34.51</v>
      </c>
      <c r="BT25">
        <v>1</v>
      </c>
      <c r="BU25">
        <v>1</v>
      </c>
      <c r="BV25">
        <v>1</v>
      </c>
      <c r="BW25">
        <v>1</v>
      </c>
      <c r="BX25">
        <v>1</v>
      </c>
      <c r="BY25" t="s">
        <v>3</v>
      </c>
      <c r="BZ25">
        <v>0</v>
      </c>
      <c r="CA25">
        <v>0</v>
      </c>
      <c r="CB25" t="s">
        <v>3</v>
      </c>
      <c r="CE25">
        <v>30</v>
      </c>
      <c r="CF25">
        <v>0</v>
      </c>
      <c r="CG25">
        <v>0</v>
      </c>
      <c r="CM25">
        <v>0</v>
      </c>
      <c r="CN25" t="s">
        <v>3</v>
      </c>
      <c r="CO25">
        <v>0</v>
      </c>
      <c r="CP25">
        <f>(P25+Q25+S25)</f>
        <v>19572.71</v>
      </c>
      <c r="CQ25">
        <f>ROUND((ROUND((AC25*AW25*1),2)*BC25),2)</f>
        <v>0</v>
      </c>
      <c r="CR25">
        <f>(ROUND((ROUND(((ET25)*AV25*1),2)*BB25),2)+ROUND((ROUND(((AE25-(EU25))*AV25*1),2)*BS25),2))</f>
        <v>2446.59</v>
      </c>
      <c r="CS25">
        <f>ROUND((ROUND((AE25*AV25*1),2)*BS25),2)</f>
        <v>435.52</v>
      </c>
      <c r="CT25">
        <f>ROUND((ROUND((AF25*AV25*1),2)*BA25),2)</f>
        <v>0</v>
      </c>
      <c r="CU25">
        <f>AG25</f>
        <v>0</v>
      </c>
      <c r="CV25">
        <f>(AH25*AV25)</f>
        <v>0</v>
      </c>
      <c r="CW25">
        <f>AI25</f>
        <v>0</v>
      </c>
      <c r="CX25">
        <f>AJ25</f>
        <v>0</v>
      </c>
      <c r="CY25">
        <f>S25*(BZ25/100)</f>
        <v>0</v>
      </c>
      <c r="CZ25">
        <f>S25*(CA25/100)</f>
        <v>0</v>
      </c>
      <c r="DC25" t="s">
        <v>3</v>
      </c>
      <c r="DD25" t="s">
        <v>3</v>
      </c>
      <c r="DE25" t="s">
        <v>3</v>
      </c>
      <c r="DF25" t="s">
        <v>3</v>
      </c>
      <c r="DG25" t="s">
        <v>3</v>
      </c>
      <c r="DH25" t="s">
        <v>3</v>
      </c>
      <c r="DI25" t="s">
        <v>3</v>
      </c>
      <c r="DJ25" t="s">
        <v>3</v>
      </c>
      <c r="DK25" t="s">
        <v>3</v>
      </c>
      <c r="DL25" t="s">
        <v>3</v>
      </c>
      <c r="DM25" t="s">
        <v>3</v>
      </c>
      <c r="DN25">
        <v>0</v>
      </c>
      <c r="DO25">
        <v>0</v>
      </c>
      <c r="DP25">
        <v>1</v>
      </c>
      <c r="DQ25">
        <v>1</v>
      </c>
      <c r="DU25">
        <v>1011</v>
      </c>
      <c r="DV25" t="s">
        <v>32</v>
      </c>
      <c r="DW25" t="s">
        <v>32</v>
      </c>
      <c r="DX25">
        <v>1</v>
      </c>
      <c r="DZ25" t="s">
        <v>3</v>
      </c>
      <c r="EA25" t="s">
        <v>3</v>
      </c>
      <c r="EB25" t="s">
        <v>3</v>
      </c>
      <c r="EC25" t="s">
        <v>3</v>
      </c>
      <c r="EE25">
        <v>51697852</v>
      </c>
      <c r="EF25">
        <v>190</v>
      </c>
      <c r="EG25" t="s">
        <v>34</v>
      </c>
      <c r="EH25">
        <v>0</v>
      </c>
      <c r="EI25" t="s">
        <v>3</v>
      </c>
      <c r="EJ25">
        <v>1</v>
      </c>
      <c r="EK25">
        <v>400001</v>
      </c>
      <c r="EL25" t="s">
        <v>35</v>
      </c>
      <c r="EM25" t="s">
        <v>36</v>
      </c>
      <c r="EO25" t="s">
        <v>3</v>
      </c>
      <c r="EQ25">
        <v>1179648</v>
      </c>
      <c r="ER25">
        <v>247.38</v>
      </c>
      <c r="ES25">
        <v>0</v>
      </c>
      <c r="ET25">
        <v>247.38</v>
      </c>
      <c r="EU25">
        <v>12.62</v>
      </c>
      <c r="EV25">
        <v>0</v>
      </c>
      <c r="EW25">
        <v>0</v>
      </c>
      <c r="EX25">
        <v>0</v>
      </c>
      <c r="EY25">
        <v>0</v>
      </c>
      <c r="FQ25">
        <v>0</v>
      </c>
      <c r="FR25">
        <v>0</v>
      </c>
      <c r="FS25">
        <v>0</v>
      </c>
      <c r="FX25">
        <v>0</v>
      </c>
      <c r="FY25">
        <v>0</v>
      </c>
      <c r="GA25" t="s">
        <v>3</v>
      </c>
      <c r="GD25">
        <v>0</v>
      </c>
      <c r="GF25">
        <v>464312783</v>
      </c>
      <c r="GG25">
        <v>2</v>
      </c>
      <c r="GH25">
        <v>1</v>
      </c>
      <c r="GI25">
        <v>2</v>
      </c>
      <c r="GJ25">
        <v>0</v>
      </c>
      <c r="GK25">
        <f>ROUND(R25*(R12)/100,2)</f>
        <v>5574.61</v>
      </c>
      <c r="GL25">
        <f>ROUND(IF(AND(BH25=3,BI25=3,FS25&lt;&gt;0),P25,0),2)</f>
        <v>0</v>
      </c>
      <c r="GM25">
        <f>ROUND(O25+X25+Y25+GK25,2)+GX25</f>
        <v>25147.32</v>
      </c>
      <c r="GN25">
        <f>IF(OR(BI25=0,BI25=1),GM25-GX25,0)</f>
        <v>25147.32</v>
      </c>
      <c r="GO25">
        <f>IF(BI25=2,GM25-GX25,0)</f>
        <v>0</v>
      </c>
      <c r="GP25">
        <f>IF(BI25=4,GM25-GX25,0)</f>
        <v>0</v>
      </c>
      <c r="GR25">
        <v>0</v>
      </c>
      <c r="GS25">
        <v>3</v>
      </c>
      <c r="GT25">
        <v>0</v>
      </c>
      <c r="GU25" t="s">
        <v>3</v>
      </c>
      <c r="GV25">
        <f>ROUND((GT25),6)</f>
        <v>0</v>
      </c>
      <c r="GW25">
        <v>1</v>
      </c>
      <c r="GX25">
        <f>ROUND(HC25*I25,2)</f>
        <v>0</v>
      </c>
      <c r="HA25">
        <v>0</v>
      </c>
      <c r="HB25">
        <v>0</v>
      </c>
      <c r="HC25">
        <f>GV25*GW25</f>
        <v>0</v>
      </c>
      <c r="HE25" t="s">
        <v>3</v>
      </c>
      <c r="HF25" t="s">
        <v>3</v>
      </c>
      <c r="HM25" t="s">
        <v>3</v>
      </c>
      <c r="HN25" t="s">
        <v>3</v>
      </c>
      <c r="HO25" t="s">
        <v>3</v>
      </c>
      <c r="HP25" t="s">
        <v>3</v>
      </c>
      <c r="HQ25" t="s">
        <v>3</v>
      </c>
      <c r="HS25">
        <v>0</v>
      </c>
      <c r="IK25">
        <v>0</v>
      </c>
    </row>
    <row r="27" spans="1:245" x14ac:dyDescent="0.2">
      <c r="A27" s="2">
        <v>51</v>
      </c>
      <c r="B27" s="2">
        <f>B20</f>
        <v>1</v>
      </c>
      <c r="C27" s="2">
        <f>A20</f>
        <v>3</v>
      </c>
      <c r="D27" s="2">
        <f>ROW(A20)</f>
        <v>20</v>
      </c>
      <c r="E27" s="2"/>
      <c r="F27" s="2" t="str">
        <f>IF(F20&lt;&gt;"",F20,"")</f>
        <v/>
      </c>
      <c r="G27" s="2" t="str">
        <f>IF(G20&lt;&gt;"",G20,"")</f>
        <v>Пусконаладочные работы ТП</v>
      </c>
      <c r="H27" s="2">
        <v>0</v>
      </c>
      <c r="I27" s="2"/>
      <c r="J27" s="2"/>
      <c r="K27" s="2"/>
      <c r="L27" s="2"/>
      <c r="M27" s="2"/>
      <c r="N27" s="2"/>
      <c r="O27" s="2">
        <f t="shared" ref="O27:T27" si="14">ROUND(AB27,2)</f>
        <v>219270</v>
      </c>
      <c r="P27" s="2">
        <f t="shared" si="14"/>
        <v>0</v>
      </c>
      <c r="Q27" s="2">
        <f t="shared" si="14"/>
        <v>19572.71</v>
      </c>
      <c r="R27" s="2">
        <f t="shared" si="14"/>
        <v>3484.13</v>
      </c>
      <c r="S27" s="2">
        <f t="shared" si="14"/>
        <v>199697.29</v>
      </c>
      <c r="T27" s="2">
        <f t="shared" si="14"/>
        <v>0</v>
      </c>
      <c r="U27" s="2">
        <f>AH27</f>
        <v>363.20000000000005</v>
      </c>
      <c r="V27" s="2">
        <f>AI27</f>
        <v>0</v>
      </c>
      <c r="W27" s="2">
        <f>ROUND(AJ27,2)</f>
        <v>0</v>
      </c>
      <c r="X27" s="2">
        <f>ROUND(AK27,2)</f>
        <v>139788.1</v>
      </c>
      <c r="Y27" s="2">
        <f>ROUND(AL27,2)</f>
        <v>81875.89</v>
      </c>
      <c r="Z27" s="2"/>
      <c r="AA27" s="2"/>
      <c r="AB27" s="2">
        <f>ROUND(SUMIF(AA24:AA25,"=55810629",O24:O25),2)</f>
        <v>219270</v>
      </c>
      <c r="AC27" s="2">
        <f>ROUND(SUMIF(AA24:AA25,"=55810629",P24:P25),2)</f>
        <v>0</v>
      </c>
      <c r="AD27" s="2">
        <f>ROUND(SUMIF(AA24:AA25,"=55810629",Q24:Q25),2)</f>
        <v>19572.71</v>
      </c>
      <c r="AE27" s="2">
        <f>ROUND(SUMIF(AA24:AA25,"=55810629",R24:R25),2)</f>
        <v>3484.13</v>
      </c>
      <c r="AF27" s="2">
        <f>ROUND(SUMIF(AA24:AA25,"=55810629",S24:S25),2)</f>
        <v>199697.29</v>
      </c>
      <c r="AG27" s="2">
        <f>ROUND(SUMIF(AA24:AA25,"=55810629",T24:T25),2)</f>
        <v>0</v>
      </c>
      <c r="AH27" s="2">
        <f>SUMIF(AA24:AA25,"=55810629",U24:U25)</f>
        <v>363.20000000000005</v>
      </c>
      <c r="AI27" s="2">
        <f>SUMIF(AA24:AA25,"=55810629",V24:V25)</f>
        <v>0</v>
      </c>
      <c r="AJ27" s="2">
        <f>ROUND(SUMIF(AA24:AA25,"=55810629",W24:W25),2)</f>
        <v>0</v>
      </c>
      <c r="AK27" s="2">
        <f>ROUND(SUMIF(AA24:AA25,"=55810629",X24:X25),2)</f>
        <v>139788.1</v>
      </c>
      <c r="AL27" s="2">
        <f>ROUND(SUMIF(AA24:AA25,"=55810629",Y24:Y25),2)</f>
        <v>81875.89</v>
      </c>
      <c r="AM27" s="2"/>
      <c r="AN27" s="2"/>
      <c r="AO27" s="2">
        <f t="shared" ref="AO27:BD27" si="15">ROUND(BX27,2)</f>
        <v>0</v>
      </c>
      <c r="AP27" s="2">
        <f t="shared" si="15"/>
        <v>0</v>
      </c>
      <c r="AQ27" s="2">
        <f t="shared" si="15"/>
        <v>0</v>
      </c>
      <c r="AR27" s="2">
        <f t="shared" si="15"/>
        <v>446508.6</v>
      </c>
      <c r="AS27" s="2">
        <f t="shared" si="15"/>
        <v>25147.32</v>
      </c>
      <c r="AT27" s="2">
        <f t="shared" si="15"/>
        <v>0</v>
      </c>
      <c r="AU27" s="2">
        <f t="shared" si="15"/>
        <v>421361.28</v>
      </c>
      <c r="AV27" s="2">
        <f t="shared" si="15"/>
        <v>0</v>
      </c>
      <c r="AW27" s="2">
        <f t="shared" si="15"/>
        <v>0</v>
      </c>
      <c r="AX27" s="2">
        <f t="shared" si="15"/>
        <v>0</v>
      </c>
      <c r="AY27" s="2">
        <f t="shared" si="15"/>
        <v>0</v>
      </c>
      <c r="AZ27" s="2">
        <f t="shared" si="15"/>
        <v>0</v>
      </c>
      <c r="BA27" s="2">
        <f t="shared" si="15"/>
        <v>0</v>
      </c>
      <c r="BB27" s="2">
        <f t="shared" si="15"/>
        <v>0</v>
      </c>
      <c r="BC27" s="2">
        <f t="shared" si="15"/>
        <v>0</v>
      </c>
      <c r="BD27" s="2">
        <f t="shared" si="15"/>
        <v>0</v>
      </c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>
        <f>ROUND(SUMIF(AA24:AA25,"=55810629",FQ24:FQ25),2)</f>
        <v>0</v>
      </c>
      <c r="BY27" s="2">
        <f>ROUND(SUMIF(AA24:AA25,"=55810629",FR24:FR25),2)</f>
        <v>0</v>
      </c>
      <c r="BZ27" s="2">
        <f>ROUND(SUMIF(AA24:AA25,"=55810629",GL24:GL25),2)</f>
        <v>0</v>
      </c>
      <c r="CA27" s="2">
        <f>ROUND(SUMIF(AA24:AA25,"=55810629",GM24:GM25),2)</f>
        <v>446508.6</v>
      </c>
      <c r="CB27" s="2">
        <f>ROUND(SUMIF(AA24:AA25,"=55810629",GN24:GN25),2)</f>
        <v>25147.32</v>
      </c>
      <c r="CC27" s="2">
        <f>ROUND(SUMIF(AA24:AA25,"=55810629",GO24:GO25),2)</f>
        <v>0</v>
      </c>
      <c r="CD27" s="2">
        <f>ROUND(SUMIF(AA24:AA25,"=55810629",GP24:GP25),2)</f>
        <v>421361.28</v>
      </c>
      <c r="CE27" s="2">
        <f>AC27-BX27</f>
        <v>0</v>
      </c>
      <c r="CF27" s="2">
        <f>AC27-BY27</f>
        <v>0</v>
      </c>
      <c r="CG27" s="2">
        <f>BX27-BZ27</f>
        <v>0</v>
      </c>
      <c r="CH27" s="2">
        <f>AC27-BX27-BY27+BZ27</f>
        <v>0</v>
      </c>
      <c r="CI27" s="2">
        <f>BY27-BZ27</f>
        <v>0</v>
      </c>
      <c r="CJ27" s="2">
        <f>ROUND(SUMIF(AA24:AA25,"=55810629",GX24:GX25),2)</f>
        <v>0</v>
      </c>
      <c r="CK27" s="2">
        <f>ROUND(SUMIF(AA24:AA25,"=55810629",GY24:GY25),2)</f>
        <v>0</v>
      </c>
      <c r="CL27" s="2">
        <f>ROUND(SUMIF(AA24:AA25,"=55810629",GZ24:GZ25),2)</f>
        <v>0</v>
      </c>
      <c r="CM27" s="2">
        <f>ROUND(SUMIF(AA24:AA25,"=55810629",HD24:HD25),2)</f>
        <v>0</v>
      </c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>
        <v>0</v>
      </c>
    </row>
    <row r="29" spans="1:245" x14ac:dyDescent="0.2">
      <c r="A29" s="4">
        <v>50</v>
      </c>
      <c r="B29" s="4">
        <v>0</v>
      </c>
      <c r="C29" s="4">
        <v>0</v>
      </c>
      <c r="D29" s="4">
        <v>1</v>
      </c>
      <c r="E29" s="4">
        <v>201</v>
      </c>
      <c r="F29" s="4">
        <f>ROUND(Source!O27,O29)</f>
        <v>219270</v>
      </c>
      <c r="G29" s="4" t="s">
        <v>37</v>
      </c>
      <c r="H29" s="4" t="s">
        <v>38</v>
      </c>
      <c r="I29" s="4"/>
      <c r="J29" s="4"/>
      <c r="K29" s="4">
        <v>201</v>
      </c>
      <c r="L29" s="4">
        <v>1</v>
      </c>
      <c r="M29" s="4">
        <v>3</v>
      </c>
      <c r="N29" s="4" t="s">
        <v>3</v>
      </c>
      <c r="O29" s="4">
        <v>2</v>
      </c>
      <c r="P29" s="4"/>
      <c r="Q29" s="4"/>
      <c r="R29" s="4"/>
      <c r="S29" s="4"/>
      <c r="T29" s="4"/>
      <c r="U29" s="4"/>
      <c r="V29" s="4"/>
      <c r="W29" s="4">
        <v>219270</v>
      </c>
      <c r="X29" s="4">
        <v>1</v>
      </c>
      <c r="Y29" s="4">
        <v>219270</v>
      </c>
      <c r="Z29" s="4"/>
      <c r="AA29" s="4"/>
      <c r="AB29" s="4"/>
    </row>
    <row r="30" spans="1:245" x14ac:dyDescent="0.2">
      <c r="A30" s="4">
        <v>50</v>
      </c>
      <c r="B30" s="4">
        <v>0</v>
      </c>
      <c r="C30" s="4">
        <v>0</v>
      </c>
      <c r="D30" s="4">
        <v>1</v>
      </c>
      <c r="E30" s="4">
        <v>202</v>
      </c>
      <c r="F30" s="4">
        <f>ROUND(Source!P27,O30)</f>
        <v>0</v>
      </c>
      <c r="G30" s="4" t="s">
        <v>39</v>
      </c>
      <c r="H30" s="4" t="s">
        <v>40</v>
      </c>
      <c r="I30" s="4"/>
      <c r="J30" s="4"/>
      <c r="K30" s="4">
        <v>202</v>
      </c>
      <c r="L30" s="4">
        <v>2</v>
      </c>
      <c r="M30" s="4">
        <v>3</v>
      </c>
      <c r="N30" s="4" t="s">
        <v>3</v>
      </c>
      <c r="O30" s="4">
        <v>2</v>
      </c>
      <c r="P30" s="4"/>
      <c r="Q30" s="4"/>
      <c r="R30" s="4"/>
      <c r="S30" s="4"/>
      <c r="T30" s="4"/>
      <c r="U30" s="4"/>
      <c r="V30" s="4"/>
      <c r="W30" s="4">
        <v>0</v>
      </c>
      <c r="X30" s="4">
        <v>1</v>
      </c>
      <c r="Y30" s="4">
        <v>0</v>
      </c>
      <c r="Z30" s="4"/>
      <c r="AA30" s="4"/>
      <c r="AB30" s="4"/>
    </row>
    <row r="31" spans="1:245" x14ac:dyDescent="0.2">
      <c r="A31" s="4">
        <v>50</v>
      </c>
      <c r="B31" s="4">
        <v>0</v>
      </c>
      <c r="C31" s="4">
        <v>0</v>
      </c>
      <c r="D31" s="4">
        <v>1</v>
      </c>
      <c r="E31" s="4">
        <v>222</v>
      </c>
      <c r="F31" s="4">
        <f>ROUND(Source!AO27,O31)</f>
        <v>0</v>
      </c>
      <c r="G31" s="4" t="s">
        <v>41</v>
      </c>
      <c r="H31" s="4" t="s">
        <v>42</v>
      </c>
      <c r="I31" s="4"/>
      <c r="J31" s="4"/>
      <c r="K31" s="4">
        <v>222</v>
      </c>
      <c r="L31" s="4">
        <v>3</v>
      </c>
      <c r="M31" s="4">
        <v>3</v>
      </c>
      <c r="N31" s="4" t="s">
        <v>3</v>
      </c>
      <c r="O31" s="4">
        <v>2</v>
      </c>
      <c r="P31" s="4"/>
      <c r="Q31" s="4"/>
      <c r="R31" s="4"/>
      <c r="S31" s="4"/>
      <c r="T31" s="4"/>
      <c r="U31" s="4"/>
      <c r="V31" s="4"/>
      <c r="W31" s="4">
        <v>0</v>
      </c>
      <c r="X31" s="4">
        <v>1</v>
      </c>
      <c r="Y31" s="4">
        <v>0</v>
      </c>
      <c r="Z31" s="4"/>
      <c r="AA31" s="4"/>
      <c r="AB31" s="4"/>
    </row>
    <row r="32" spans="1:245" x14ac:dyDescent="0.2">
      <c r="A32" s="4">
        <v>50</v>
      </c>
      <c r="B32" s="4">
        <v>0</v>
      </c>
      <c r="C32" s="4">
        <v>0</v>
      </c>
      <c r="D32" s="4">
        <v>1</v>
      </c>
      <c r="E32" s="4">
        <v>225</v>
      </c>
      <c r="F32" s="4">
        <f>ROUND(Source!AV27,O32)</f>
        <v>0</v>
      </c>
      <c r="G32" s="4" t="s">
        <v>43</v>
      </c>
      <c r="H32" s="4" t="s">
        <v>44</v>
      </c>
      <c r="I32" s="4"/>
      <c r="J32" s="4"/>
      <c r="K32" s="4">
        <v>225</v>
      </c>
      <c r="L32" s="4">
        <v>4</v>
      </c>
      <c r="M32" s="4">
        <v>3</v>
      </c>
      <c r="N32" s="4" t="s">
        <v>3</v>
      </c>
      <c r="O32" s="4">
        <v>2</v>
      </c>
      <c r="P32" s="4"/>
      <c r="Q32" s="4"/>
      <c r="R32" s="4"/>
      <c r="S32" s="4"/>
      <c r="T32" s="4"/>
      <c r="U32" s="4"/>
      <c r="V32" s="4"/>
      <c r="W32" s="4">
        <v>0</v>
      </c>
      <c r="X32" s="4">
        <v>1</v>
      </c>
      <c r="Y32" s="4">
        <v>0</v>
      </c>
      <c r="Z32" s="4"/>
      <c r="AA32" s="4"/>
      <c r="AB32" s="4"/>
    </row>
    <row r="33" spans="1:28" x14ac:dyDescent="0.2">
      <c r="A33" s="4">
        <v>50</v>
      </c>
      <c r="B33" s="4">
        <v>0</v>
      </c>
      <c r="C33" s="4">
        <v>0</v>
      </c>
      <c r="D33" s="4">
        <v>1</v>
      </c>
      <c r="E33" s="4">
        <v>226</v>
      </c>
      <c r="F33" s="4">
        <f>ROUND(Source!AW27,O33)</f>
        <v>0</v>
      </c>
      <c r="G33" s="4" t="s">
        <v>45</v>
      </c>
      <c r="H33" s="4" t="s">
        <v>46</v>
      </c>
      <c r="I33" s="4"/>
      <c r="J33" s="4"/>
      <c r="K33" s="4">
        <v>226</v>
      </c>
      <c r="L33" s="4">
        <v>5</v>
      </c>
      <c r="M33" s="4">
        <v>3</v>
      </c>
      <c r="N33" s="4" t="s">
        <v>3</v>
      </c>
      <c r="O33" s="4">
        <v>2</v>
      </c>
      <c r="P33" s="4"/>
      <c r="Q33" s="4"/>
      <c r="R33" s="4"/>
      <c r="S33" s="4"/>
      <c r="T33" s="4"/>
      <c r="U33" s="4"/>
      <c r="V33" s="4"/>
      <c r="W33" s="4">
        <v>0</v>
      </c>
      <c r="X33" s="4">
        <v>1</v>
      </c>
      <c r="Y33" s="4">
        <v>0</v>
      </c>
      <c r="Z33" s="4"/>
      <c r="AA33" s="4"/>
      <c r="AB33" s="4"/>
    </row>
    <row r="34" spans="1:28" x14ac:dyDescent="0.2">
      <c r="A34" s="4">
        <v>50</v>
      </c>
      <c r="B34" s="4">
        <v>0</v>
      </c>
      <c r="C34" s="4">
        <v>0</v>
      </c>
      <c r="D34" s="4">
        <v>1</v>
      </c>
      <c r="E34" s="4">
        <v>227</v>
      </c>
      <c r="F34" s="4">
        <f>ROUND(Source!AX27,O34)</f>
        <v>0</v>
      </c>
      <c r="G34" s="4" t="s">
        <v>47</v>
      </c>
      <c r="H34" s="4" t="s">
        <v>48</v>
      </c>
      <c r="I34" s="4"/>
      <c r="J34" s="4"/>
      <c r="K34" s="4">
        <v>227</v>
      </c>
      <c r="L34" s="4">
        <v>6</v>
      </c>
      <c r="M34" s="4">
        <v>3</v>
      </c>
      <c r="N34" s="4" t="s">
        <v>3</v>
      </c>
      <c r="O34" s="4">
        <v>2</v>
      </c>
      <c r="P34" s="4"/>
      <c r="Q34" s="4"/>
      <c r="R34" s="4"/>
      <c r="S34" s="4"/>
      <c r="T34" s="4"/>
      <c r="U34" s="4"/>
      <c r="V34" s="4"/>
      <c r="W34" s="4">
        <v>0</v>
      </c>
      <c r="X34" s="4">
        <v>1</v>
      </c>
      <c r="Y34" s="4">
        <v>0</v>
      </c>
      <c r="Z34" s="4"/>
      <c r="AA34" s="4"/>
      <c r="AB34" s="4"/>
    </row>
    <row r="35" spans="1:28" x14ac:dyDescent="0.2">
      <c r="A35" s="4">
        <v>50</v>
      </c>
      <c r="B35" s="4">
        <v>0</v>
      </c>
      <c r="C35" s="4">
        <v>0</v>
      </c>
      <c r="D35" s="4">
        <v>1</v>
      </c>
      <c r="E35" s="4">
        <v>228</v>
      </c>
      <c r="F35" s="4">
        <f>ROUND(Source!AY27,O35)</f>
        <v>0</v>
      </c>
      <c r="G35" s="4" t="s">
        <v>49</v>
      </c>
      <c r="H35" s="4" t="s">
        <v>50</v>
      </c>
      <c r="I35" s="4"/>
      <c r="J35" s="4"/>
      <c r="K35" s="4">
        <v>228</v>
      </c>
      <c r="L35" s="4">
        <v>7</v>
      </c>
      <c r="M35" s="4">
        <v>3</v>
      </c>
      <c r="N35" s="4" t="s">
        <v>3</v>
      </c>
      <c r="O35" s="4">
        <v>2</v>
      </c>
      <c r="P35" s="4"/>
      <c r="Q35" s="4"/>
      <c r="R35" s="4"/>
      <c r="S35" s="4"/>
      <c r="T35" s="4"/>
      <c r="U35" s="4"/>
      <c r="V35" s="4"/>
      <c r="W35" s="4">
        <v>0</v>
      </c>
      <c r="X35" s="4">
        <v>1</v>
      </c>
      <c r="Y35" s="4">
        <v>0</v>
      </c>
      <c r="Z35" s="4"/>
      <c r="AA35" s="4"/>
      <c r="AB35" s="4"/>
    </row>
    <row r="36" spans="1:28" x14ac:dyDescent="0.2">
      <c r="A36" s="4">
        <v>50</v>
      </c>
      <c r="B36" s="4">
        <v>0</v>
      </c>
      <c r="C36" s="4">
        <v>0</v>
      </c>
      <c r="D36" s="4">
        <v>1</v>
      </c>
      <c r="E36" s="4">
        <v>216</v>
      </c>
      <c r="F36" s="4">
        <f>ROUND(Source!AP27,O36)</f>
        <v>0</v>
      </c>
      <c r="G36" s="4" t="s">
        <v>51</v>
      </c>
      <c r="H36" s="4" t="s">
        <v>52</v>
      </c>
      <c r="I36" s="4"/>
      <c r="J36" s="4"/>
      <c r="K36" s="4">
        <v>216</v>
      </c>
      <c r="L36" s="4">
        <v>8</v>
      </c>
      <c r="M36" s="4">
        <v>3</v>
      </c>
      <c r="N36" s="4" t="s">
        <v>3</v>
      </c>
      <c r="O36" s="4">
        <v>2</v>
      </c>
      <c r="P36" s="4"/>
      <c r="Q36" s="4"/>
      <c r="R36" s="4"/>
      <c r="S36" s="4"/>
      <c r="T36" s="4"/>
      <c r="U36" s="4"/>
      <c r="V36" s="4"/>
      <c r="W36" s="4">
        <v>0</v>
      </c>
      <c r="X36" s="4">
        <v>1</v>
      </c>
      <c r="Y36" s="4">
        <v>0</v>
      </c>
      <c r="Z36" s="4"/>
      <c r="AA36" s="4"/>
      <c r="AB36" s="4"/>
    </row>
    <row r="37" spans="1:28" x14ac:dyDescent="0.2">
      <c r="A37" s="4">
        <v>50</v>
      </c>
      <c r="B37" s="4">
        <v>0</v>
      </c>
      <c r="C37" s="4">
        <v>0</v>
      </c>
      <c r="D37" s="4">
        <v>1</v>
      </c>
      <c r="E37" s="4">
        <v>223</v>
      </c>
      <c r="F37" s="4">
        <f>ROUND(Source!AQ27,O37)</f>
        <v>0</v>
      </c>
      <c r="G37" s="4" t="s">
        <v>53</v>
      </c>
      <c r="H37" s="4" t="s">
        <v>54</v>
      </c>
      <c r="I37" s="4"/>
      <c r="J37" s="4"/>
      <c r="K37" s="4">
        <v>223</v>
      </c>
      <c r="L37" s="4">
        <v>9</v>
      </c>
      <c r="M37" s="4">
        <v>3</v>
      </c>
      <c r="N37" s="4" t="s">
        <v>3</v>
      </c>
      <c r="O37" s="4">
        <v>2</v>
      </c>
      <c r="P37" s="4"/>
      <c r="Q37" s="4"/>
      <c r="R37" s="4"/>
      <c r="S37" s="4"/>
      <c r="T37" s="4"/>
      <c r="U37" s="4"/>
      <c r="V37" s="4"/>
      <c r="W37" s="4">
        <v>0</v>
      </c>
      <c r="X37" s="4">
        <v>1</v>
      </c>
      <c r="Y37" s="4">
        <v>0</v>
      </c>
      <c r="Z37" s="4"/>
      <c r="AA37" s="4"/>
      <c r="AB37" s="4"/>
    </row>
    <row r="38" spans="1:28" x14ac:dyDescent="0.2">
      <c r="A38" s="4">
        <v>50</v>
      </c>
      <c r="B38" s="4">
        <v>0</v>
      </c>
      <c r="C38" s="4">
        <v>0</v>
      </c>
      <c r="D38" s="4">
        <v>1</v>
      </c>
      <c r="E38" s="4">
        <v>229</v>
      </c>
      <c r="F38" s="4">
        <f>ROUND(Source!AZ27,O38)</f>
        <v>0</v>
      </c>
      <c r="G38" s="4" t="s">
        <v>55</v>
      </c>
      <c r="H38" s="4" t="s">
        <v>56</v>
      </c>
      <c r="I38" s="4"/>
      <c r="J38" s="4"/>
      <c r="K38" s="4">
        <v>229</v>
      </c>
      <c r="L38" s="4">
        <v>10</v>
      </c>
      <c r="M38" s="4">
        <v>3</v>
      </c>
      <c r="N38" s="4" t="s">
        <v>3</v>
      </c>
      <c r="O38" s="4">
        <v>2</v>
      </c>
      <c r="P38" s="4"/>
      <c r="Q38" s="4"/>
      <c r="R38" s="4"/>
      <c r="S38" s="4"/>
      <c r="T38" s="4"/>
      <c r="U38" s="4"/>
      <c r="V38" s="4"/>
      <c r="W38" s="4">
        <v>0</v>
      </c>
      <c r="X38" s="4">
        <v>1</v>
      </c>
      <c r="Y38" s="4">
        <v>0</v>
      </c>
      <c r="Z38" s="4"/>
      <c r="AA38" s="4"/>
      <c r="AB38" s="4"/>
    </row>
    <row r="39" spans="1:28" x14ac:dyDescent="0.2">
      <c r="A39" s="4">
        <v>50</v>
      </c>
      <c r="B39" s="4">
        <v>0</v>
      </c>
      <c r="C39" s="4">
        <v>0</v>
      </c>
      <c r="D39" s="4">
        <v>1</v>
      </c>
      <c r="E39" s="4">
        <v>203</v>
      </c>
      <c r="F39" s="4">
        <f>ROUND(Source!Q27,O39)</f>
        <v>19572.71</v>
      </c>
      <c r="G39" s="4" t="s">
        <v>57</v>
      </c>
      <c r="H39" s="4" t="s">
        <v>58</v>
      </c>
      <c r="I39" s="4"/>
      <c r="J39" s="4"/>
      <c r="K39" s="4">
        <v>203</v>
      </c>
      <c r="L39" s="4">
        <v>11</v>
      </c>
      <c r="M39" s="4">
        <v>3</v>
      </c>
      <c r="N39" s="4" t="s">
        <v>3</v>
      </c>
      <c r="O39" s="4">
        <v>2</v>
      </c>
      <c r="P39" s="4"/>
      <c r="Q39" s="4"/>
      <c r="R39" s="4"/>
      <c r="S39" s="4"/>
      <c r="T39" s="4"/>
      <c r="U39" s="4"/>
      <c r="V39" s="4"/>
      <c r="W39" s="4">
        <v>19572.71</v>
      </c>
      <c r="X39" s="4">
        <v>1</v>
      </c>
      <c r="Y39" s="4">
        <v>19572.71</v>
      </c>
      <c r="Z39" s="4"/>
      <c r="AA39" s="4"/>
      <c r="AB39" s="4"/>
    </row>
    <row r="40" spans="1:28" x14ac:dyDescent="0.2">
      <c r="A40" s="4">
        <v>50</v>
      </c>
      <c r="B40" s="4">
        <v>0</v>
      </c>
      <c r="C40" s="4">
        <v>0</v>
      </c>
      <c r="D40" s="4">
        <v>1</v>
      </c>
      <c r="E40" s="4">
        <v>231</v>
      </c>
      <c r="F40" s="4">
        <f>ROUND(Source!BB27,O40)</f>
        <v>0</v>
      </c>
      <c r="G40" s="4" t="s">
        <v>59</v>
      </c>
      <c r="H40" s="4" t="s">
        <v>60</v>
      </c>
      <c r="I40" s="4"/>
      <c r="J40" s="4"/>
      <c r="K40" s="4">
        <v>231</v>
      </c>
      <c r="L40" s="4">
        <v>12</v>
      </c>
      <c r="M40" s="4">
        <v>3</v>
      </c>
      <c r="N40" s="4" t="s">
        <v>3</v>
      </c>
      <c r="O40" s="4">
        <v>2</v>
      </c>
      <c r="P40" s="4"/>
      <c r="Q40" s="4"/>
      <c r="R40" s="4"/>
      <c r="S40" s="4"/>
      <c r="T40" s="4"/>
      <c r="U40" s="4"/>
      <c r="V40" s="4"/>
      <c r="W40" s="4">
        <v>0</v>
      </c>
      <c r="X40" s="4">
        <v>1</v>
      </c>
      <c r="Y40" s="4">
        <v>0</v>
      </c>
      <c r="Z40" s="4"/>
      <c r="AA40" s="4"/>
      <c r="AB40" s="4"/>
    </row>
    <row r="41" spans="1:28" x14ac:dyDescent="0.2">
      <c r="A41" s="4">
        <v>50</v>
      </c>
      <c r="B41" s="4">
        <v>0</v>
      </c>
      <c r="C41" s="4">
        <v>0</v>
      </c>
      <c r="D41" s="4">
        <v>1</v>
      </c>
      <c r="E41" s="4">
        <v>204</v>
      </c>
      <c r="F41" s="4">
        <f>ROUND(Source!R27,O41)</f>
        <v>3484.13</v>
      </c>
      <c r="G41" s="4" t="s">
        <v>61</v>
      </c>
      <c r="H41" s="4" t="s">
        <v>62</v>
      </c>
      <c r="I41" s="4"/>
      <c r="J41" s="4"/>
      <c r="K41" s="4">
        <v>204</v>
      </c>
      <c r="L41" s="4">
        <v>13</v>
      </c>
      <c r="M41" s="4">
        <v>3</v>
      </c>
      <c r="N41" s="4" t="s">
        <v>3</v>
      </c>
      <c r="O41" s="4">
        <v>2</v>
      </c>
      <c r="P41" s="4"/>
      <c r="Q41" s="4"/>
      <c r="R41" s="4"/>
      <c r="S41" s="4"/>
      <c r="T41" s="4"/>
      <c r="U41" s="4"/>
      <c r="V41" s="4"/>
      <c r="W41" s="4">
        <v>3484.13</v>
      </c>
      <c r="X41" s="4">
        <v>1</v>
      </c>
      <c r="Y41" s="4">
        <v>3484.13</v>
      </c>
      <c r="Z41" s="4"/>
      <c r="AA41" s="4"/>
      <c r="AB41" s="4"/>
    </row>
    <row r="42" spans="1:28" x14ac:dyDescent="0.2">
      <c r="A42" s="4">
        <v>50</v>
      </c>
      <c r="B42" s="4">
        <v>0</v>
      </c>
      <c r="C42" s="4">
        <v>0</v>
      </c>
      <c r="D42" s="4">
        <v>1</v>
      </c>
      <c r="E42" s="4">
        <v>205</v>
      </c>
      <c r="F42" s="4">
        <f>ROUND(Source!S27,O42)</f>
        <v>199697.29</v>
      </c>
      <c r="G42" s="4" t="s">
        <v>63</v>
      </c>
      <c r="H42" s="4" t="s">
        <v>64</v>
      </c>
      <c r="I42" s="4"/>
      <c r="J42" s="4"/>
      <c r="K42" s="4">
        <v>205</v>
      </c>
      <c r="L42" s="4">
        <v>14</v>
      </c>
      <c r="M42" s="4">
        <v>3</v>
      </c>
      <c r="N42" s="4" t="s">
        <v>3</v>
      </c>
      <c r="O42" s="4">
        <v>2</v>
      </c>
      <c r="P42" s="4"/>
      <c r="Q42" s="4"/>
      <c r="R42" s="4"/>
      <c r="S42" s="4"/>
      <c r="T42" s="4"/>
      <c r="U42" s="4"/>
      <c r="V42" s="4"/>
      <c r="W42" s="4">
        <v>199697.29</v>
      </c>
      <c r="X42" s="4">
        <v>1</v>
      </c>
      <c r="Y42" s="4">
        <v>199697.29</v>
      </c>
      <c r="Z42" s="4"/>
      <c r="AA42" s="4"/>
      <c r="AB42" s="4"/>
    </row>
    <row r="43" spans="1:28" x14ac:dyDescent="0.2">
      <c r="A43" s="4">
        <v>50</v>
      </c>
      <c r="B43" s="4">
        <v>0</v>
      </c>
      <c r="C43" s="4">
        <v>0</v>
      </c>
      <c r="D43" s="4">
        <v>1</v>
      </c>
      <c r="E43" s="4">
        <v>232</v>
      </c>
      <c r="F43" s="4">
        <f>ROUND(Source!BC27,O43)</f>
        <v>0</v>
      </c>
      <c r="G43" s="4" t="s">
        <v>65</v>
      </c>
      <c r="H43" s="4" t="s">
        <v>66</v>
      </c>
      <c r="I43" s="4"/>
      <c r="J43" s="4"/>
      <c r="K43" s="4">
        <v>232</v>
      </c>
      <c r="L43" s="4">
        <v>15</v>
      </c>
      <c r="M43" s="4">
        <v>3</v>
      </c>
      <c r="N43" s="4" t="s">
        <v>3</v>
      </c>
      <c r="O43" s="4">
        <v>2</v>
      </c>
      <c r="P43" s="4"/>
      <c r="Q43" s="4"/>
      <c r="R43" s="4"/>
      <c r="S43" s="4"/>
      <c r="T43" s="4"/>
      <c r="U43" s="4"/>
      <c r="V43" s="4"/>
      <c r="W43" s="4">
        <v>0</v>
      </c>
      <c r="X43" s="4">
        <v>1</v>
      </c>
      <c r="Y43" s="4">
        <v>0</v>
      </c>
      <c r="Z43" s="4"/>
      <c r="AA43" s="4"/>
      <c r="AB43" s="4"/>
    </row>
    <row r="44" spans="1:28" x14ac:dyDescent="0.2">
      <c r="A44" s="4">
        <v>50</v>
      </c>
      <c r="B44" s="4">
        <v>0</v>
      </c>
      <c r="C44" s="4">
        <v>0</v>
      </c>
      <c r="D44" s="4">
        <v>1</v>
      </c>
      <c r="E44" s="4">
        <v>214</v>
      </c>
      <c r="F44" s="4">
        <f>ROUND(Source!AS27,O44)</f>
        <v>25147.32</v>
      </c>
      <c r="G44" s="4" t="s">
        <v>67</v>
      </c>
      <c r="H44" s="4" t="s">
        <v>68</v>
      </c>
      <c r="I44" s="4"/>
      <c r="J44" s="4"/>
      <c r="K44" s="4">
        <v>214</v>
      </c>
      <c r="L44" s="4">
        <v>16</v>
      </c>
      <c r="M44" s="4">
        <v>3</v>
      </c>
      <c r="N44" s="4" t="s">
        <v>3</v>
      </c>
      <c r="O44" s="4">
        <v>2</v>
      </c>
      <c r="P44" s="4"/>
      <c r="Q44" s="4"/>
      <c r="R44" s="4"/>
      <c r="S44" s="4"/>
      <c r="T44" s="4"/>
      <c r="U44" s="4"/>
      <c r="V44" s="4"/>
      <c r="W44" s="4">
        <v>25147.32</v>
      </c>
      <c r="X44" s="4">
        <v>1</v>
      </c>
      <c r="Y44" s="4">
        <v>25147.32</v>
      </c>
      <c r="Z44" s="4"/>
      <c r="AA44" s="4"/>
      <c r="AB44" s="4"/>
    </row>
    <row r="45" spans="1:28" x14ac:dyDescent="0.2">
      <c r="A45" s="4">
        <v>50</v>
      </c>
      <c r="B45" s="4">
        <v>0</v>
      </c>
      <c r="C45" s="4">
        <v>0</v>
      </c>
      <c r="D45" s="4">
        <v>1</v>
      </c>
      <c r="E45" s="4">
        <v>215</v>
      </c>
      <c r="F45" s="4">
        <f>ROUND(Source!AT27,O45)</f>
        <v>0</v>
      </c>
      <c r="G45" s="4" t="s">
        <v>69</v>
      </c>
      <c r="H45" s="4" t="s">
        <v>70</v>
      </c>
      <c r="I45" s="4"/>
      <c r="J45" s="4"/>
      <c r="K45" s="4">
        <v>215</v>
      </c>
      <c r="L45" s="4">
        <v>17</v>
      </c>
      <c r="M45" s="4">
        <v>3</v>
      </c>
      <c r="N45" s="4" t="s">
        <v>3</v>
      </c>
      <c r="O45" s="4">
        <v>2</v>
      </c>
      <c r="P45" s="4"/>
      <c r="Q45" s="4"/>
      <c r="R45" s="4"/>
      <c r="S45" s="4"/>
      <c r="T45" s="4"/>
      <c r="U45" s="4"/>
      <c r="V45" s="4"/>
      <c r="W45" s="4">
        <v>0</v>
      </c>
      <c r="X45" s="4">
        <v>1</v>
      </c>
      <c r="Y45" s="4">
        <v>0</v>
      </c>
      <c r="Z45" s="4"/>
      <c r="AA45" s="4"/>
      <c r="AB45" s="4"/>
    </row>
    <row r="46" spans="1:28" x14ac:dyDescent="0.2">
      <c r="A46" s="4">
        <v>50</v>
      </c>
      <c r="B46" s="4">
        <v>0</v>
      </c>
      <c r="C46" s="4">
        <v>0</v>
      </c>
      <c r="D46" s="4">
        <v>1</v>
      </c>
      <c r="E46" s="4">
        <v>217</v>
      </c>
      <c r="F46" s="4">
        <f>ROUND(Source!AU27,O46)</f>
        <v>421361.28</v>
      </c>
      <c r="G46" s="4" t="s">
        <v>71</v>
      </c>
      <c r="H46" s="4" t="s">
        <v>72</v>
      </c>
      <c r="I46" s="4"/>
      <c r="J46" s="4"/>
      <c r="K46" s="4">
        <v>217</v>
      </c>
      <c r="L46" s="4">
        <v>18</v>
      </c>
      <c r="M46" s="4">
        <v>3</v>
      </c>
      <c r="N46" s="4" t="s">
        <v>3</v>
      </c>
      <c r="O46" s="4">
        <v>2</v>
      </c>
      <c r="P46" s="4"/>
      <c r="Q46" s="4"/>
      <c r="R46" s="4"/>
      <c r="S46" s="4"/>
      <c r="T46" s="4"/>
      <c r="U46" s="4"/>
      <c r="V46" s="4"/>
      <c r="W46" s="4">
        <v>421361.28</v>
      </c>
      <c r="X46" s="4">
        <v>1</v>
      </c>
      <c r="Y46" s="4">
        <v>421361.28</v>
      </c>
      <c r="Z46" s="4"/>
      <c r="AA46" s="4"/>
      <c r="AB46" s="4"/>
    </row>
    <row r="47" spans="1:28" x14ac:dyDescent="0.2">
      <c r="A47" s="4">
        <v>50</v>
      </c>
      <c r="B47" s="4">
        <v>0</v>
      </c>
      <c r="C47" s="4">
        <v>0</v>
      </c>
      <c r="D47" s="4">
        <v>1</v>
      </c>
      <c r="E47" s="4">
        <v>230</v>
      </c>
      <c r="F47" s="4">
        <f>ROUND(Source!BA27,O47)</f>
        <v>0</v>
      </c>
      <c r="G47" s="4" t="s">
        <v>73</v>
      </c>
      <c r="H47" s="4" t="s">
        <v>74</v>
      </c>
      <c r="I47" s="4"/>
      <c r="J47" s="4"/>
      <c r="K47" s="4">
        <v>230</v>
      </c>
      <c r="L47" s="4">
        <v>19</v>
      </c>
      <c r="M47" s="4">
        <v>3</v>
      </c>
      <c r="N47" s="4" t="s">
        <v>3</v>
      </c>
      <c r="O47" s="4">
        <v>2</v>
      </c>
      <c r="P47" s="4"/>
      <c r="Q47" s="4"/>
      <c r="R47" s="4"/>
      <c r="S47" s="4"/>
      <c r="T47" s="4"/>
      <c r="U47" s="4"/>
      <c r="V47" s="4"/>
      <c r="W47" s="4">
        <v>0</v>
      </c>
      <c r="X47" s="4">
        <v>1</v>
      </c>
      <c r="Y47" s="4">
        <v>0</v>
      </c>
      <c r="Z47" s="4"/>
      <c r="AA47" s="4"/>
      <c r="AB47" s="4"/>
    </row>
    <row r="48" spans="1:28" x14ac:dyDescent="0.2">
      <c r="A48" s="4">
        <v>50</v>
      </c>
      <c r="B48" s="4">
        <v>0</v>
      </c>
      <c r="C48" s="4">
        <v>0</v>
      </c>
      <c r="D48" s="4">
        <v>1</v>
      </c>
      <c r="E48" s="4">
        <v>206</v>
      </c>
      <c r="F48" s="4">
        <f>ROUND(Source!T27,O48)</f>
        <v>0</v>
      </c>
      <c r="G48" s="4" t="s">
        <v>75</v>
      </c>
      <c r="H48" s="4" t="s">
        <v>76</v>
      </c>
      <c r="I48" s="4"/>
      <c r="J48" s="4"/>
      <c r="K48" s="4">
        <v>206</v>
      </c>
      <c r="L48" s="4">
        <v>20</v>
      </c>
      <c r="M48" s="4">
        <v>3</v>
      </c>
      <c r="N48" s="4" t="s">
        <v>3</v>
      </c>
      <c r="O48" s="4">
        <v>2</v>
      </c>
      <c r="P48" s="4"/>
      <c r="Q48" s="4"/>
      <c r="R48" s="4"/>
      <c r="S48" s="4"/>
      <c r="T48" s="4"/>
      <c r="U48" s="4"/>
      <c r="V48" s="4"/>
      <c r="W48" s="4">
        <v>0</v>
      </c>
      <c r="X48" s="4">
        <v>1</v>
      </c>
      <c r="Y48" s="4">
        <v>0</v>
      </c>
      <c r="Z48" s="4"/>
      <c r="AA48" s="4"/>
      <c r="AB48" s="4"/>
    </row>
    <row r="49" spans="1:206" x14ac:dyDescent="0.2">
      <c r="A49" s="4">
        <v>50</v>
      </c>
      <c r="B49" s="4">
        <v>0</v>
      </c>
      <c r="C49" s="4">
        <v>0</v>
      </c>
      <c r="D49" s="4">
        <v>1</v>
      </c>
      <c r="E49" s="4">
        <v>207</v>
      </c>
      <c r="F49" s="4">
        <f>Source!U27</f>
        <v>363.20000000000005</v>
      </c>
      <c r="G49" s="4" t="s">
        <v>77</v>
      </c>
      <c r="H49" s="4" t="s">
        <v>78</v>
      </c>
      <c r="I49" s="4"/>
      <c r="J49" s="4"/>
      <c r="K49" s="4">
        <v>207</v>
      </c>
      <c r="L49" s="4">
        <v>21</v>
      </c>
      <c r="M49" s="4">
        <v>3</v>
      </c>
      <c r="N49" s="4" t="s">
        <v>3</v>
      </c>
      <c r="O49" s="4">
        <v>-1</v>
      </c>
      <c r="P49" s="4"/>
      <c r="Q49" s="4"/>
      <c r="R49" s="4"/>
      <c r="S49" s="4"/>
      <c r="T49" s="4"/>
      <c r="U49" s="4"/>
      <c r="V49" s="4"/>
      <c r="W49" s="4">
        <v>363.2</v>
      </c>
      <c r="X49" s="4">
        <v>1</v>
      </c>
      <c r="Y49" s="4">
        <v>363.2</v>
      </c>
      <c r="Z49" s="4"/>
      <c r="AA49" s="4"/>
      <c r="AB49" s="4"/>
    </row>
    <row r="50" spans="1:206" x14ac:dyDescent="0.2">
      <c r="A50" s="4">
        <v>50</v>
      </c>
      <c r="B50" s="4">
        <v>0</v>
      </c>
      <c r="C50" s="4">
        <v>0</v>
      </c>
      <c r="D50" s="4">
        <v>1</v>
      </c>
      <c r="E50" s="4">
        <v>208</v>
      </c>
      <c r="F50" s="4">
        <f>Source!V27</f>
        <v>0</v>
      </c>
      <c r="G50" s="4" t="s">
        <v>79</v>
      </c>
      <c r="H50" s="4" t="s">
        <v>80</v>
      </c>
      <c r="I50" s="4"/>
      <c r="J50" s="4"/>
      <c r="K50" s="4">
        <v>208</v>
      </c>
      <c r="L50" s="4">
        <v>22</v>
      </c>
      <c r="M50" s="4">
        <v>3</v>
      </c>
      <c r="N50" s="4" t="s">
        <v>3</v>
      </c>
      <c r="O50" s="4">
        <v>-1</v>
      </c>
      <c r="P50" s="4"/>
      <c r="Q50" s="4"/>
      <c r="R50" s="4"/>
      <c r="S50" s="4"/>
      <c r="T50" s="4"/>
      <c r="U50" s="4"/>
      <c r="V50" s="4"/>
      <c r="W50" s="4">
        <v>0</v>
      </c>
      <c r="X50" s="4">
        <v>1</v>
      </c>
      <c r="Y50" s="4">
        <v>0</v>
      </c>
      <c r="Z50" s="4"/>
      <c r="AA50" s="4"/>
      <c r="AB50" s="4"/>
    </row>
    <row r="51" spans="1:206" x14ac:dyDescent="0.2">
      <c r="A51" s="4">
        <v>50</v>
      </c>
      <c r="B51" s="4">
        <v>0</v>
      </c>
      <c r="C51" s="4">
        <v>0</v>
      </c>
      <c r="D51" s="4">
        <v>1</v>
      </c>
      <c r="E51" s="4">
        <v>209</v>
      </c>
      <c r="F51" s="4">
        <f>ROUND(Source!W27,O51)</f>
        <v>0</v>
      </c>
      <c r="G51" s="4" t="s">
        <v>81</v>
      </c>
      <c r="H51" s="4" t="s">
        <v>82</v>
      </c>
      <c r="I51" s="4"/>
      <c r="J51" s="4"/>
      <c r="K51" s="4">
        <v>209</v>
      </c>
      <c r="L51" s="4">
        <v>23</v>
      </c>
      <c r="M51" s="4">
        <v>3</v>
      </c>
      <c r="N51" s="4" t="s">
        <v>3</v>
      </c>
      <c r="O51" s="4">
        <v>2</v>
      </c>
      <c r="P51" s="4"/>
      <c r="Q51" s="4"/>
      <c r="R51" s="4"/>
      <c r="S51" s="4"/>
      <c r="T51" s="4"/>
      <c r="U51" s="4"/>
      <c r="V51" s="4"/>
      <c r="W51" s="4">
        <v>0</v>
      </c>
      <c r="X51" s="4">
        <v>1</v>
      </c>
      <c r="Y51" s="4">
        <v>0</v>
      </c>
      <c r="Z51" s="4"/>
      <c r="AA51" s="4"/>
      <c r="AB51" s="4"/>
    </row>
    <row r="52" spans="1:206" x14ac:dyDescent="0.2">
      <c r="A52" s="4">
        <v>50</v>
      </c>
      <c r="B52" s="4">
        <v>0</v>
      </c>
      <c r="C52" s="4">
        <v>0</v>
      </c>
      <c r="D52" s="4">
        <v>1</v>
      </c>
      <c r="E52" s="4">
        <v>233</v>
      </c>
      <c r="F52" s="4">
        <f>ROUND(Source!BD27,O52)</f>
        <v>0</v>
      </c>
      <c r="G52" s="4" t="s">
        <v>83</v>
      </c>
      <c r="H52" s="4" t="s">
        <v>84</v>
      </c>
      <c r="I52" s="4"/>
      <c r="J52" s="4"/>
      <c r="K52" s="4">
        <v>233</v>
      </c>
      <c r="L52" s="4">
        <v>24</v>
      </c>
      <c r="M52" s="4">
        <v>3</v>
      </c>
      <c r="N52" s="4" t="s">
        <v>3</v>
      </c>
      <c r="O52" s="4">
        <v>2</v>
      </c>
      <c r="P52" s="4"/>
      <c r="Q52" s="4"/>
      <c r="R52" s="4"/>
      <c r="S52" s="4"/>
      <c r="T52" s="4"/>
      <c r="U52" s="4"/>
      <c r="V52" s="4"/>
      <c r="W52" s="4">
        <v>0</v>
      </c>
      <c r="X52" s="4">
        <v>1</v>
      </c>
      <c r="Y52" s="4">
        <v>0</v>
      </c>
      <c r="Z52" s="4"/>
      <c r="AA52" s="4"/>
      <c r="AB52" s="4"/>
    </row>
    <row r="53" spans="1:206" x14ac:dyDescent="0.2">
      <c r="A53" s="4">
        <v>50</v>
      </c>
      <c r="B53" s="4">
        <v>0</v>
      </c>
      <c r="C53" s="4">
        <v>0</v>
      </c>
      <c r="D53" s="4">
        <v>1</v>
      </c>
      <c r="E53" s="4">
        <v>210</v>
      </c>
      <c r="F53" s="4">
        <f>ROUND(Source!X27,O53)</f>
        <v>139788.1</v>
      </c>
      <c r="G53" s="4" t="s">
        <v>85</v>
      </c>
      <c r="H53" s="4" t="s">
        <v>86</v>
      </c>
      <c r="I53" s="4"/>
      <c r="J53" s="4"/>
      <c r="K53" s="4">
        <v>210</v>
      </c>
      <c r="L53" s="4">
        <v>25</v>
      </c>
      <c r="M53" s="4">
        <v>3</v>
      </c>
      <c r="N53" s="4" t="s">
        <v>3</v>
      </c>
      <c r="O53" s="4">
        <v>2</v>
      </c>
      <c r="P53" s="4"/>
      <c r="Q53" s="4"/>
      <c r="R53" s="4"/>
      <c r="S53" s="4"/>
      <c r="T53" s="4"/>
      <c r="U53" s="4"/>
      <c r="V53" s="4"/>
      <c r="W53" s="4">
        <v>139788.1</v>
      </c>
      <c r="X53" s="4">
        <v>1</v>
      </c>
      <c r="Y53" s="4">
        <v>139788.1</v>
      </c>
      <c r="Z53" s="4"/>
      <c r="AA53" s="4"/>
      <c r="AB53" s="4"/>
    </row>
    <row r="54" spans="1:206" x14ac:dyDescent="0.2">
      <c r="A54" s="4">
        <v>50</v>
      </c>
      <c r="B54" s="4">
        <v>0</v>
      </c>
      <c r="C54" s="4">
        <v>0</v>
      </c>
      <c r="D54" s="4">
        <v>1</v>
      </c>
      <c r="E54" s="4">
        <v>211</v>
      </c>
      <c r="F54" s="4">
        <f>ROUND(Source!Y27,O54)</f>
        <v>81875.89</v>
      </c>
      <c r="G54" s="4" t="s">
        <v>87</v>
      </c>
      <c r="H54" s="4" t="s">
        <v>88</v>
      </c>
      <c r="I54" s="4"/>
      <c r="J54" s="4"/>
      <c r="K54" s="4">
        <v>211</v>
      </c>
      <c r="L54" s="4">
        <v>26</v>
      </c>
      <c r="M54" s="4">
        <v>3</v>
      </c>
      <c r="N54" s="4" t="s">
        <v>3</v>
      </c>
      <c r="O54" s="4">
        <v>2</v>
      </c>
      <c r="P54" s="4"/>
      <c r="Q54" s="4"/>
      <c r="R54" s="4"/>
      <c r="S54" s="4"/>
      <c r="T54" s="4"/>
      <c r="U54" s="4"/>
      <c r="V54" s="4"/>
      <c r="W54" s="4">
        <v>81875.89</v>
      </c>
      <c r="X54" s="4">
        <v>1</v>
      </c>
      <c r="Y54" s="4">
        <v>81875.89</v>
      </c>
      <c r="Z54" s="4"/>
      <c r="AA54" s="4"/>
      <c r="AB54" s="4"/>
    </row>
    <row r="55" spans="1:206" x14ac:dyDescent="0.2">
      <c r="A55" s="4">
        <v>50</v>
      </c>
      <c r="B55" s="4">
        <v>0</v>
      </c>
      <c r="C55" s="4">
        <v>0</v>
      </c>
      <c r="D55" s="4">
        <v>1</v>
      </c>
      <c r="E55" s="4">
        <v>224</v>
      </c>
      <c r="F55" s="4">
        <f>ROUND(Source!AR27,O55)</f>
        <v>446508.6</v>
      </c>
      <c r="G55" s="4" t="s">
        <v>89</v>
      </c>
      <c r="H55" s="4" t="s">
        <v>90</v>
      </c>
      <c r="I55" s="4"/>
      <c r="J55" s="4"/>
      <c r="K55" s="4">
        <v>224</v>
      </c>
      <c r="L55" s="4">
        <v>27</v>
      </c>
      <c r="M55" s="4">
        <v>3</v>
      </c>
      <c r="N55" s="4" t="s">
        <v>3</v>
      </c>
      <c r="O55" s="4">
        <v>2</v>
      </c>
      <c r="P55" s="4"/>
      <c r="Q55" s="4"/>
      <c r="R55" s="4"/>
      <c r="S55" s="4"/>
      <c r="T55" s="4"/>
      <c r="U55" s="4"/>
      <c r="V55" s="4"/>
      <c r="W55" s="4">
        <v>446508.6</v>
      </c>
      <c r="X55" s="4">
        <v>1</v>
      </c>
      <c r="Y55" s="4">
        <v>446508.6</v>
      </c>
      <c r="Z55" s="4"/>
      <c r="AA55" s="4"/>
      <c r="AB55" s="4"/>
    </row>
    <row r="57" spans="1:206" x14ac:dyDescent="0.2">
      <c r="A57" s="2">
        <v>51</v>
      </c>
      <c r="B57" s="2">
        <f>B12</f>
        <v>94</v>
      </c>
      <c r="C57" s="2">
        <f>A12</f>
        <v>1</v>
      </c>
      <c r="D57" s="2">
        <f>ROW(A12)</f>
        <v>12</v>
      </c>
      <c r="E57" s="2"/>
      <c r="F57" s="2" t="str">
        <f>IF(F12&lt;&gt;"",F12,"")</f>
        <v>09-01-01._(Копия) (ТСН-2001 (Мосгосэкспертиза)) (ТСН-2001 (Мосгосэкспертиза)) (ТСН-2001 (Мосгосэкспертиза)) (ТСН-2001 (Мосгосэкспертиза))</v>
      </c>
      <c r="G57" s="2" t="str">
        <f>IF(G12&lt;&gt;"",G12,"")</f>
        <v>09-01-01. ПНР ТП (ТСН-2001 (Мосгосэкспертиза)) (ТСН-2001 (Мосгосэкспертиза))</v>
      </c>
      <c r="H57" s="2">
        <v>0</v>
      </c>
      <c r="I57" s="2"/>
      <c r="J57" s="2"/>
      <c r="K57" s="2"/>
      <c r="L57" s="2"/>
      <c r="M57" s="2"/>
      <c r="N57" s="2"/>
      <c r="O57" s="2">
        <f t="shared" ref="O57:T57" si="16">ROUND(O27,2)</f>
        <v>219270</v>
      </c>
      <c r="P57" s="2">
        <f t="shared" si="16"/>
        <v>0</v>
      </c>
      <c r="Q57" s="2">
        <f t="shared" si="16"/>
        <v>19572.71</v>
      </c>
      <c r="R57" s="2">
        <f t="shared" si="16"/>
        <v>3484.13</v>
      </c>
      <c r="S57" s="2">
        <f t="shared" si="16"/>
        <v>199697.29</v>
      </c>
      <c r="T57" s="2">
        <f t="shared" si="16"/>
        <v>0</v>
      </c>
      <c r="U57" s="2">
        <f>U27</f>
        <v>363.20000000000005</v>
      </c>
      <c r="V57" s="2">
        <f>V27</f>
        <v>0</v>
      </c>
      <c r="W57" s="2">
        <f>ROUND(W27,2)</f>
        <v>0</v>
      </c>
      <c r="X57" s="2">
        <f>ROUND(X27,2)</f>
        <v>139788.1</v>
      </c>
      <c r="Y57" s="2">
        <f>ROUND(Y27,2)</f>
        <v>81875.89</v>
      </c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>
        <f t="shared" ref="AO57:BD57" si="17">ROUND(AO27,2)</f>
        <v>0</v>
      </c>
      <c r="AP57" s="2">
        <f t="shared" si="17"/>
        <v>0</v>
      </c>
      <c r="AQ57" s="2">
        <f t="shared" si="17"/>
        <v>0</v>
      </c>
      <c r="AR57" s="2">
        <f t="shared" si="17"/>
        <v>446508.6</v>
      </c>
      <c r="AS57" s="2">
        <f t="shared" si="17"/>
        <v>25147.32</v>
      </c>
      <c r="AT57" s="2">
        <f t="shared" si="17"/>
        <v>0</v>
      </c>
      <c r="AU57" s="2">
        <f t="shared" si="17"/>
        <v>421361.28</v>
      </c>
      <c r="AV57" s="2">
        <f t="shared" si="17"/>
        <v>0</v>
      </c>
      <c r="AW57" s="2">
        <f t="shared" si="17"/>
        <v>0</v>
      </c>
      <c r="AX57" s="2">
        <f t="shared" si="17"/>
        <v>0</v>
      </c>
      <c r="AY57" s="2">
        <f t="shared" si="17"/>
        <v>0</v>
      </c>
      <c r="AZ57" s="2">
        <f t="shared" si="17"/>
        <v>0</v>
      </c>
      <c r="BA57" s="2">
        <f t="shared" si="17"/>
        <v>0</v>
      </c>
      <c r="BB57" s="2">
        <f t="shared" si="17"/>
        <v>0</v>
      </c>
      <c r="BC57" s="2">
        <f t="shared" si="17"/>
        <v>0</v>
      </c>
      <c r="BD57" s="2">
        <f t="shared" si="17"/>
        <v>0</v>
      </c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>
        <v>0</v>
      </c>
    </row>
    <row r="59" spans="1:206" x14ac:dyDescent="0.2">
      <c r="A59" s="4">
        <v>50</v>
      </c>
      <c r="B59" s="4">
        <v>0</v>
      </c>
      <c r="C59" s="4">
        <v>0</v>
      </c>
      <c r="D59" s="4">
        <v>1</v>
      </c>
      <c r="E59" s="4">
        <v>201</v>
      </c>
      <c r="F59" s="4">
        <f>ROUND(Source!O57,O59)</f>
        <v>219270</v>
      </c>
      <c r="G59" s="4" t="s">
        <v>37</v>
      </c>
      <c r="H59" s="4" t="s">
        <v>38</v>
      </c>
      <c r="I59" s="4"/>
      <c r="J59" s="4"/>
      <c r="K59" s="4">
        <v>201</v>
      </c>
      <c r="L59" s="4">
        <v>1</v>
      </c>
      <c r="M59" s="4">
        <v>3</v>
      </c>
      <c r="N59" s="4" t="s">
        <v>3</v>
      </c>
      <c r="O59" s="4">
        <v>2</v>
      </c>
      <c r="P59" s="4"/>
      <c r="Q59" s="4"/>
      <c r="R59" s="4"/>
      <c r="S59" s="4"/>
      <c r="T59" s="4"/>
      <c r="U59" s="4"/>
      <c r="V59" s="4"/>
      <c r="W59" s="4">
        <v>219270</v>
      </c>
      <c r="X59" s="4">
        <v>1</v>
      </c>
      <c r="Y59" s="4">
        <v>219270</v>
      </c>
      <c r="Z59" s="4"/>
      <c r="AA59" s="4"/>
      <c r="AB59" s="4"/>
    </row>
    <row r="60" spans="1:206" x14ac:dyDescent="0.2">
      <c r="A60" s="4">
        <v>50</v>
      </c>
      <c r="B60" s="4">
        <v>0</v>
      </c>
      <c r="C60" s="4">
        <v>0</v>
      </c>
      <c r="D60" s="4">
        <v>1</v>
      </c>
      <c r="E60" s="4">
        <v>202</v>
      </c>
      <c r="F60" s="4">
        <f>ROUND(Source!P57,O60)</f>
        <v>0</v>
      </c>
      <c r="G60" s="4" t="s">
        <v>39</v>
      </c>
      <c r="H60" s="4" t="s">
        <v>40</v>
      </c>
      <c r="I60" s="4"/>
      <c r="J60" s="4"/>
      <c r="K60" s="4">
        <v>202</v>
      </c>
      <c r="L60" s="4">
        <v>2</v>
      </c>
      <c r="M60" s="4">
        <v>3</v>
      </c>
      <c r="N60" s="4" t="s">
        <v>3</v>
      </c>
      <c r="O60" s="4">
        <v>2</v>
      </c>
      <c r="P60" s="4"/>
      <c r="Q60" s="4"/>
      <c r="R60" s="4"/>
      <c r="S60" s="4"/>
      <c r="T60" s="4"/>
      <c r="U60" s="4"/>
      <c r="V60" s="4"/>
      <c r="W60" s="4">
        <v>0</v>
      </c>
      <c r="X60" s="4">
        <v>1</v>
      </c>
      <c r="Y60" s="4">
        <v>0</v>
      </c>
      <c r="Z60" s="4"/>
      <c r="AA60" s="4"/>
      <c r="AB60" s="4"/>
    </row>
    <row r="61" spans="1:206" x14ac:dyDescent="0.2">
      <c r="A61" s="4">
        <v>50</v>
      </c>
      <c r="B61" s="4">
        <v>0</v>
      </c>
      <c r="C61" s="4">
        <v>0</v>
      </c>
      <c r="D61" s="4">
        <v>1</v>
      </c>
      <c r="E61" s="4">
        <v>222</v>
      </c>
      <c r="F61" s="4">
        <f>ROUND(Source!AO57,O61)</f>
        <v>0</v>
      </c>
      <c r="G61" s="4" t="s">
        <v>41</v>
      </c>
      <c r="H61" s="4" t="s">
        <v>42</v>
      </c>
      <c r="I61" s="4"/>
      <c r="J61" s="4"/>
      <c r="K61" s="4">
        <v>222</v>
      </c>
      <c r="L61" s="4">
        <v>3</v>
      </c>
      <c r="M61" s="4">
        <v>3</v>
      </c>
      <c r="N61" s="4" t="s">
        <v>3</v>
      </c>
      <c r="O61" s="4">
        <v>2</v>
      </c>
      <c r="P61" s="4"/>
      <c r="Q61" s="4"/>
      <c r="R61" s="4"/>
      <c r="S61" s="4"/>
      <c r="T61" s="4"/>
      <c r="U61" s="4"/>
      <c r="V61" s="4"/>
      <c r="W61" s="4">
        <v>0</v>
      </c>
      <c r="X61" s="4">
        <v>1</v>
      </c>
      <c r="Y61" s="4">
        <v>0</v>
      </c>
      <c r="Z61" s="4"/>
      <c r="AA61" s="4"/>
      <c r="AB61" s="4"/>
    </row>
    <row r="62" spans="1:206" x14ac:dyDescent="0.2">
      <c r="A62" s="4">
        <v>50</v>
      </c>
      <c r="B62" s="4">
        <v>0</v>
      </c>
      <c r="C62" s="4">
        <v>0</v>
      </c>
      <c r="D62" s="4">
        <v>1</v>
      </c>
      <c r="E62" s="4">
        <v>225</v>
      </c>
      <c r="F62" s="4">
        <f>ROUND(Source!AV57,O62)</f>
        <v>0</v>
      </c>
      <c r="G62" s="4" t="s">
        <v>43</v>
      </c>
      <c r="H62" s="4" t="s">
        <v>44</v>
      </c>
      <c r="I62" s="4"/>
      <c r="J62" s="4"/>
      <c r="K62" s="4">
        <v>225</v>
      </c>
      <c r="L62" s="4">
        <v>4</v>
      </c>
      <c r="M62" s="4">
        <v>3</v>
      </c>
      <c r="N62" s="4" t="s">
        <v>3</v>
      </c>
      <c r="O62" s="4">
        <v>2</v>
      </c>
      <c r="P62" s="4"/>
      <c r="Q62" s="4"/>
      <c r="R62" s="4"/>
      <c r="S62" s="4"/>
      <c r="T62" s="4"/>
      <c r="U62" s="4"/>
      <c r="V62" s="4"/>
      <c r="W62" s="4">
        <v>0</v>
      </c>
      <c r="X62" s="4">
        <v>1</v>
      </c>
      <c r="Y62" s="4">
        <v>0</v>
      </c>
      <c r="Z62" s="4"/>
      <c r="AA62" s="4"/>
      <c r="AB62" s="4"/>
    </row>
    <row r="63" spans="1:206" x14ac:dyDescent="0.2">
      <c r="A63" s="4">
        <v>50</v>
      </c>
      <c r="B63" s="4">
        <v>0</v>
      </c>
      <c r="C63" s="4">
        <v>0</v>
      </c>
      <c r="D63" s="4">
        <v>1</v>
      </c>
      <c r="E63" s="4">
        <v>226</v>
      </c>
      <c r="F63" s="4">
        <f>ROUND(Source!AW57,O63)</f>
        <v>0</v>
      </c>
      <c r="G63" s="4" t="s">
        <v>45</v>
      </c>
      <c r="H63" s="4" t="s">
        <v>46</v>
      </c>
      <c r="I63" s="4"/>
      <c r="J63" s="4"/>
      <c r="K63" s="4">
        <v>226</v>
      </c>
      <c r="L63" s="4">
        <v>5</v>
      </c>
      <c r="M63" s="4">
        <v>3</v>
      </c>
      <c r="N63" s="4" t="s">
        <v>3</v>
      </c>
      <c r="O63" s="4">
        <v>2</v>
      </c>
      <c r="P63" s="4"/>
      <c r="Q63" s="4"/>
      <c r="R63" s="4"/>
      <c r="S63" s="4"/>
      <c r="T63" s="4"/>
      <c r="U63" s="4"/>
      <c r="V63" s="4"/>
      <c r="W63" s="4">
        <v>0</v>
      </c>
      <c r="X63" s="4">
        <v>1</v>
      </c>
      <c r="Y63" s="4">
        <v>0</v>
      </c>
      <c r="Z63" s="4"/>
      <c r="AA63" s="4"/>
      <c r="AB63" s="4"/>
    </row>
    <row r="64" spans="1:206" x14ac:dyDescent="0.2">
      <c r="A64" s="4">
        <v>50</v>
      </c>
      <c r="B64" s="4">
        <v>0</v>
      </c>
      <c r="C64" s="4">
        <v>0</v>
      </c>
      <c r="D64" s="4">
        <v>1</v>
      </c>
      <c r="E64" s="4">
        <v>227</v>
      </c>
      <c r="F64" s="4">
        <f>ROUND(Source!AX57,O64)</f>
        <v>0</v>
      </c>
      <c r="G64" s="4" t="s">
        <v>47</v>
      </c>
      <c r="H64" s="4" t="s">
        <v>48</v>
      </c>
      <c r="I64" s="4"/>
      <c r="J64" s="4"/>
      <c r="K64" s="4">
        <v>227</v>
      </c>
      <c r="L64" s="4">
        <v>6</v>
      </c>
      <c r="M64" s="4">
        <v>3</v>
      </c>
      <c r="N64" s="4" t="s">
        <v>3</v>
      </c>
      <c r="O64" s="4">
        <v>2</v>
      </c>
      <c r="P64" s="4"/>
      <c r="Q64" s="4"/>
      <c r="R64" s="4"/>
      <c r="S64" s="4"/>
      <c r="T64" s="4"/>
      <c r="U64" s="4"/>
      <c r="V64" s="4"/>
      <c r="W64" s="4">
        <v>0</v>
      </c>
      <c r="X64" s="4">
        <v>1</v>
      </c>
      <c r="Y64" s="4">
        <v>0</v>
      </c>
      <c r="Z64" s="4"/>
      <c r="AA64" s="4"/>
      <c r="AB64" s="4"/>
    </row>
    <row r="65" spans="1:28" x14ac:dyDescent="0.2">
      <c r="A65" s="4">
        <v>50</v>
      </c>
      <c r="B65" s="4">
        <v>0</v>
      </c>
      <c r="C65" s="4">
        <v>0</v>
      </c>
      <c r="D65" s="4">
        <v>1</v>
      </c>
      <c r="E65" s="4">
        <v>228</v>
      </c>
      <c r="F65" s="4">
        <f>ROUND(Source!AY57,O65)</f>
        <v>0</v>
      </c>
      <c r="G65" s="4" t="s">
        <v>49</v>
      </c>
      <c r="H65" s="4" t="s">
        <v>50</v>
      </c>
      <c r="I65" s="4"/>
      <c r="J65" s="4"/>
      <c r="K65" s="4">
        <v>228</v>
      </c>
      <c r="L65" s="4">
        <v>7</v>
      </c>
      <c r="M65" s="4">
        <v>3</v>
      </c>
      <c r="N65" s="4" t="s">
        <v>3</v>
      </c>
      <c r="O65" s="4">
        <v>2</v>
      </c>
      <c r="P65" s="4"/>
      <c r="Q65" s="4"/>
      <c r="R65" s="4"/>
      <c r="S65" s="4"/>
      <c r="T65" s="4"/>
      <c r="U65" s="4"/>
      <c r="V65" s="4"/>
      <c r="W65" s="4">
        <v>0</v>
      </c>
      <c r="X65" s="4">
        <v>1</v>
      </c>
      <c r="Y65" s="4">
        <v>0</v>
      </c>
      <c r="Z65" s="4"/>
      <c r="AA65" s="4"/>
      <c r="AB65" s="4"/>
    </row>
    <row r="66" spans="1:28" x14ac:dyDescent="0.2">
      <c r="A66" s="4">
        <v>50</v>
      </c>
      <c r="B66" s="4">
        <v>0</v>
      </c>
      <c r="C66" s="4">
        <v>0</v>
      </c>
      <c r="D66" s="4">
        <v>1</v>
      </c>
      <c r="E66" s="4">
        <v>216</v>
      </c>
      <c r="F66" s="4">
        <f>ROUND(Source!AP57,O66)</f>
        <v>0</v>
      </c>
      <c r="G66" s="4" t="s">
        <v>51</v>
      </c>
      <c r="H66" s="4" t="s">
        <v>52</v>
      </c>
      <c r="I66" s="4"/>
      <c r="J66" s="4"/>
      <c r="K66" s="4">
        <v>216</v>
      </c>
      <c r="L66" s="4">
        <v>8</v>
      </c>
      <c r="M66" s="4">
        <v>3</v>
      </c>
      <c r="N66" s="4" t="s">
        <v>3</v>
      </c>
      <c r="O66" s="4">
        <v>2</v>
      </c>
      <c r="P66" s="4"/>
      <c r="Q66" s="4"/>
      <c r="R66" s="4"/>
      <c r="S66" s="4"/>
      <c r="T66" s="4"/>
      <c r="U66" s="4"/>
      <c r="V66" s="4"/>
      <c r="W66" s="4">
        <v>0</v>
      </c>
      <c r="X66" s="4">
        <v>1</v>
      </c>
      <c r="Y66" s="4">
        <v>0</v>
      </c>
      <c r="Z66" s="4"/>
      <c r="AA66" s="4"/>
      <c r="AB66" s="4"/>
    </row>
    <row r="67" spans="1:28" x14ac:dyDescent="0.2">
      <c r="A67" s="4">
        <v>50</v>
      </c>
      <c r="B67" s="4">
        <v>0</v>
      </c>
      <c r="C67" s="4">
        <v>0</v>
      </c>
      <c r="D67" s="4">
        <v>1</v>
      </c>
      <c r="E67" s="4">
        <v>223</v>
      </c>
      <c r="F67" s="4">
        <f>ROUND(Source!AQ57,O67)</f>
        <v>0</v>
      </c>
      <c r="G67" s="4" t="s">
        <v>53</v>
      </c>
      <c r="H67" s="4" t="s">
        <v>54</v>
      </c>
      <c r="I67" s="4"/>
      <c r="J67" s="4"/>
      <c r="K67" s="4">
        <v>223</v>
      </c>
      <c r="L67" s="4">
        <v>9</v>
      </c>
      <c r="M67" s="4">
        <v>3</v>
      </c>
      <c r="N67" s="4" t="s">
        <v>3</v>
      </c>
      <c r="O67" s="4">
        <v>2</v>
      </c>
      <c r="P67" s="4"/>
      <c r="Q67" s="4"/>
      <c r="R67" s="4"/>
      <c r="S67" s="4"/>
      <c r="T67" s="4"/>
      <c r="U67" s="4"/>
      <c r="V67" s="4"/>
      <c r="W67" s="4">
        <v>0</v>
      </c>
      <c r="X67" s="4">
        <v>1</v>
      </c>
      <c r="Y67" s="4">
        <v>0</v>
      </c>
      <c r="Z67" s="4"/>
      <c r="AA67" s="4"/>
      <c r="AB67" s="4"/>
    </row>
    <row r="68" spans="1:28" x14ac:dyDescent="0.2">
      <c r="A68" s="4">
        <v>50</v>
      </c>
      <c r="B68" s="4">
        <v>0</v>
      </c>
      <c r="C68" s="4">
        <v>0</v>
      </c>
      <c r="D68" s="4">
        <v>1</v>
      </c>
      <c r="E68" s="4">
        <v>229</v>
      </c>
      <c r="F68" s="4">
        <f>ROUND(Source!AZ57,O68)</f>
        <v>0</v>
      </c>
      <c r="G68" s="4" t="s">
        <v>55</v>
      </c>
      <c r="H68" s="4" t="s">
        <v>56</v>
      </c>
      <c r="I68" s="4"/>
      <c r="J68" s="4"/>
      <c r="K68" s="4">
        <v>229</v>
      </c>
      <c r="L68" s="4">
        <v>10</v>
      </c>
      <c r="M68" s="4">
        <v>3</v>
      </c>
      <c r="N68" s="4" t="s">
        <v>3</v>
      </c>
      <c r="O68" s="4">
        <v>2</v>
      </c>
      <c r="P68" s="4"/>
      <c r="Q68" s="4"/>
      <c r="R68" s="4"/>
      <c r="S68" s="4"/>
      <c r="T68" s="4"/>
      <c r="U68" s="4"/>
      <c r="V68" s="4"/>
      <c r="W68" s="4">
        <v>0</v>
      </c>
      <c r="X68" s="4">
        <v>1</v>
      </c>
      <c r="Y68" s="4">
        <v>0</v>
      </c>
      <c r="Z68" s="4"/>
      <c r="AA68" s="4"/>
      <c r="AB68" s="4"/>
    </row>
    <row r="69" spans="1:28" x14ac:dyDescent="0.2">
      <c r="A69" s="4">
        <v>50</v>
      </c>
      <c r="B69" s="4">
        <v>0</v>
      </c>
      <c r="C69" s="4">
        <v>0</v>
      </c>
      <c r="D69" s="4">
        <v>1</v>
      </c>
      <c r="E69" s="4">
        <v>203</v>
      </c>
      <c r="F69" s="4">
        <f>ROUND(Source!Q57,O69)</f>
        <v>19572.71</v>
      </c>
      <c r="G69" s="4" t="s">
        <v>57</v>
      </c>
      <c r="H69" s="4" t="s">
        <v>58</v>
      </c>
      <c r="I69" s="4"/>
      <c r="J69" s="4"/>
      <c r="K69" s="4">
        <v>203</v>
      </c>
      <c r="L69" s="4">
        <v>11</v>
      </c>
      <c r="M69" s="4">
        <v>3</v>
      </c>
      <c r="N69" s="4" t="s">
        <v>3</v>
      </c>
      <c r="O69" s="4">
        <v>2</v>
      </c>
      <c r="P69" s="4"/>
      <c r="Q69" s="4"/>
      <c r="R69" s="4"/>
      <c r="S69" s="4"/>
      <c r="T69" s="4"/>
      <c r="U69" s="4"/>
      <c r="V69" s="4"/>
      <c r="W69" s="4">
        <v>19572.71</v>
      </c>
      <c r="X69" s="4">
        <v>1</v>
      </c>
      <c r="Y69" s="4">
        <v>19572.71</v>
      </c>
      <c r="Z69" s="4"/>
      <c r="AA69" s="4"/>
      <c r="AB69" s="4"/>
    </row>
    <row r="70" spans="1:28" x14ac:dyDescent="0.2">
      <c r="A70" s="4">
        <v>50</v>
      </c>
      <c r="B70" s="4">
        <v>0</v>
      </c>
      <c r="C70" s="4">
        <v>0</v>
      </c>
      <c r="D70" s="4">
        <v>1</v>
      </c>
      <c r="E70" s="4">
        <v>231</v>
      </c>
      <c r="F70" s="4">
        <f>ROUND(Source!BB57,O70)</f>
        <v>0</v>
      </c>
      <c r="G70" s="4" t="s">
        <v>59</v>
      </c>
      <c r="H70" s="4" t="s">
        <v>60</v>
      </c>
      <c r="I70" s="4"/>
      <c r="J70" s="4"/>
      <c r="K70" s="4">
        <v>231</v>
      </c>
      <c r="L70" s="4">
        <v>12</v>
      </c>
      <c r="M70" s="4">
        <v>3</v>
      </c>
      <c r="N70" s="4" t="s">
        <v>3</v>
      </c>
      <c r="O70" s="4">
        <v>2</v>
      </c>
      <c r="P70" s="4"/>
      <c r="Q70" s="4"/>
      <c r="R70" s="4"/>
      <c r="S70" s="4"/>
      <c r="T70" s="4"/>
      <c r="U70" s="4"/>
      <c r="V70" s="4"/>
      <c r="W70" s="4">
        <v>0</v>
      </c>
      <c r="X70" s="4">
        <v>1</v>
      </c>
      <c r="Y70" s="4">
        <v>0</v>
      </c>
      <c r="Z70" s="4"/>
      <c r="AA70" s="4"/>
      <c r="AB70" s="4"/>
    </row>
    <row r="71" spans="1:28" x14ac:dyDescent="0.2">
      <c r="A71" s="4">
        <v>50</v>
      </c>
      <c r="B71" s="4">
        <v>0</v>
      </c>
      <c r="C71" s="4">
        <v>0</v>
      </c>
      <c r="D71" s="4">
        <v>1</v>
      </c>
      <c r="E71" s="4">
        <v>204</v>
      </c>
      <c r="F71" s="4">
        <f>ROUND(Source!R57,O71)</f>
        <v>3484.13</v>
      </c>
      <c r="G71" s="4" t="s">
        <v>61</v>
      </c>
      <c r="H71" s="4" t="s">
        <v>62</v>
      </c>
      <c r="I71" s="4"/>
      <c r="J71" s="4"/>
      <c r="K71" s="4">
        <v>204</v>
      </c>
      <c r="L71" s="4">
        <v>13</v>
      </c>
      <c r="M71" s="4">
        <v>3</v>
      </c>
      <c r="N71" s="4" t="s">
        <v>3</v>
      </c>
      <c r="O71" s="4">
        <v>2</v>
      </c>
      <c r="P71" s="4"/>
      <c r="Q71" s="4"/>
      <c r="R71" s="4"/>
      <c r="S71" s="4"/>
      <c r="T71" s="4"/>
      <c r="U71" s="4"/>
      <c r="V71" s="4"/>
      <c r="W71" s="4">
        <v>3484.13</v>
      </c>
      <c r="X71" s="4">
        <v>1</v>
      </c>
      <c r="Y71" s="4">
        <v>3484.13</v>
      </c>
      <c r="Z71" s="4"/>
      <c r="AA71" s="4"/>
      <c r="AB71" s="4"/>
    </row>
    <row r="72" spans="1:28" x14ac:dyDescent="0.2">
      <c r="A72" s="4">
        <v>50</v>
      </c>
      <c r="B72" s="4">
        <v>0</v>
      </c>
      <c r="C72" s="4">
        <v>0</v>
      </c>
      <c r="D72" s="4">
        <v>1</v>
      </c>
      <c r="E72" s="4">
        <v>205</v>
      </c>
      <c r="F72" s="4">
        <f>ROUND(Source!S57,O72)</f>
        <v>199697.29</v>
      </c>
      <c r="G72" s="4" t="s">
        <v>63</v>
      </c>
      <c r="H72" s="4" t="s">
        <v>64</v>
      </c>
      <c r="I72" s="4"/>
      <c r="J72" s="4"/>
      <c r="K72" s="4">
        <v>205</v>
      </c>
      <c r="L72" s="4">
        <v>14</v>
      </c>
      <c r="M72" s="4">
        <v>3</v>
      </c>
      <c r="N72" s="4" t="s">
        <v>3</v>
      </c>
      <c r="O72" s="4">
        <v>2</v>
      </c>
      <c r="P72" s="4"/>
      <c r="Q72" s="4"/>
      <c r="R72" s="4"/>
      <c r="S72" s="4"/>
      <c r="T72" s="4"/>
      <c r="U72" s="4"/>
      <c r="V72" s="4"/>
      <c r="W72" s="4">
        <v>199697.29</v>
      </c>
      <c r="X72" s="4">
        <v>1</v>
      </c>
      <c r="Y72" s="4">
        <v>199697.29</v>
      </c>
      <c r="Z72" s="4"/>
      <c r="AA72" s="4"/>
      <c r="AB72" s="4"/>
    </row>
    <row r="73" spans="1:28" x14ac:dyDescent="0.2">
      <c r="A73" s="4">
        <v>50</v>
      </c>
      <c r="B73" s="4">
        <v>0</v>
      </c>
      <c r="C73" s="4">
        <v>0</v>
      </c>
      <c r="D73" s="4">
        <v>1</v>
      </c>
      <c r="E73" s="4">
        <v>232</v>
      </c>
      <c r="F73" s="4">
        <f>ROUND(Source!BC57,O73)</f>
        <v>0</v>
      </c>
      <c r="G73" s="4" t="s">
        <v>65</v>
      </c>
      <c r="H73" s="4" t="s">
        <v>66</v>
      </c>
      <c r="I73" s="4"/>
      <c r="J73" s="4"/>
      <c r="K73" s="4">
        <v>232</v>
      </c>
      <c r="L73" s="4">
        <v>15</v>
      </c>
      <c r="M73" s="4">
        <v>3</v>
      </c>
      <c r="N73" s="4" t="s">
        <v>3</v>
      </c>
      <c r="O73" s="4">
        <v>2</v>
      </c>
      <c r="P73" s="4"/>
      <c r="Q73" s="4"/>
      <c r="R73" s="4"/>
      <c r="S73" s="4"/>
      <c r="T73" s="4"/>
      <c r="U73" s="4"/>
      <c r="V73" s="4"/>
      <c r="W73" s="4">
        <v>0</v>
      </c>
      <c r="X73" s="4">
        <v>1</v>
      </c>
      <c r="Y73" s="4">
        <v>0</v>
      </c>
      <c r="Z73" s="4"/>
      <c r="AA73" s="4"/>
      <c r="AB73" s="4"/>
    </row>
    <row r="74" spans="1:28" x14ac:dyDescent="0.2">
      <c r="A74" s="4">
        <v>50</v>
      </c>
      <c r="B74" s="4">
        <v>0</v>
      </c>
      <c r="C74" s="4">
        <v>0</v>
      </c>
      <c r="D74" s="4">
        <v>1</v>
      </c>
      <c r="E74" s="4">
        <v>214</v>
      </c>
      <c r="F74" s="4">
        <f>ROUND(Source!AS57,O74)</f>
        <v>25147.32</v>
      </c>
      <c r="G74" s="4" t="s">
        <v>67</v>
      </c>
      <c r="H74" s="4" t="s">
        <v>68</v>
      </c>
      <c r="I74" s="4"/>
      <c r="J74" s="4"/>
      <c r="K74" s="4">
        <v>214</v>
      </c>
      <c r="L74" s="4">
        <v>16</v>
      </c>
      <c r="M74" s="4">
        <v>3</v>
      </c>
      <c r="N74" s="4" t="s">
        <v>3</v>
      </c>
      <c r="O74" s="4">
        <v>2</v>
      </c>
      <c r="P74" s="4"/>
      <c r="Q74" s="4"/>
      <c r="R74" s="4"/>
      <c r="S74" s="4"/>
      <c r="T74" s="4"/>
      <c r="U74" s="4"/>
      <c r="V74" s="4"/>
      <c r="W74" s="4">
        <v>25147.32</v>
      </c>
      <c r="X74" s="4">
        <v>1</v>
      </c>
      <c r="Y74" s="4">
        <v>25147.32</v>
      </c>
      <c r="Z74" s="4"/>
      <c r="AA74" s="4"/>
      <c r="AB74" s="4"/>
    </row>
    <row r="75" spans="1:28" x14ac:dyDescent="0.2">
      <c r="A75" s="4">
        <v>50</v>
      </c>
      <c r="B75" s="4">
        <v>0</v>
      </c>
      <c r="C75" s="4">
        <v>0</v>
      </c>
      <c r="D75" s="4">
        <v>1</v>
      </c>
      <c r="E75" s="4">
        <v>215</v>
      </c>
      <c r="F75" s="4">
        <f>ROUND(Source!AT57,O75)</f>
        <v>0</v>
      </c>
      <c r="G75" s="4" t="s">
        <v>69</v>
      </c>
      <c r="H75" s="4" t="s">
        <v>70</v>
      </c>
      <c r="I75" s="4"/>
      <c r="J75" s="4"/>
      <c r="K75" s="4">
        <v>215</v>
      </c>
      <c r="L75" s="4">
        <v>17</v>
      </c>
      <c r="M75" s="4">
        <v>3</v>
      </c>
      <c r="N75" s="4" t="s">
        <v>3</v>
      </c>
      <c r="O75" s="4">
        <v>2</v>
      </c>
      <c r="P75" s="4"/>
      <c r="Q75" s="4"/>
      <c r="R75" s="4"/>
      <c r="S75" s="4"/>
      <c r="T75" s="4"/>
      <c r="U75" s="4"/>
      <c r="V75" s="4"/>
      <c r="W75" s="4">
        <v>0</v>
      </c>
      <c r="X75" s="4">
        <v>1</v>
      </c>
      <c r="Y75" s="4">
        <v>0</v>
      </c>
      <c r="Z75" s="4"/>
      <c r="AA75" s="4"/>
      <c r="AB75" s="4"/>
    </row>
    <row r="76" spans="1:28" x14ac:dyDescent="0.2">
      <c r="A76" s="4">
        <v>50</v>
      </c>
      <c r="B76" s="4">
        <v>0</v>
      </c>
      <c r="C76" s="4">
        <v>0</v>
      </c>
      <c r="D76" s="4">
        <v>1</v>
      </c>
      <c r="E76" s="4">
        <v>217</v>
      </c>
      <c r="F76" s="4">
        <f>ROUND(Source!AU57,O76)</f>
        <v>421361.28</v>
      </c>
      <c r="G76" s="4" t="s">
        <v>71</v>
      </c>
      <c r="H76" s="4" t="s">
        <v>72</v>
      </c>
      <c r="I76" s="4"/>
      <c r="J76" s="4"/>
      <c r="K76" s="4">
        <v>217</v>
      </c>
      <c r="L76" s="4">
        <v>18</v>
      </c>
      <c r="M76" s="4">
        <v>3</v>
      </c>
      <c r="N76" s="4" t="s">
        <v>3</v>
      </c>
      <c r="O76" s="4">
        <v>2</v>
      </c>
      <c r="P76" s="4"/>
      <c r="Q76" s="4"/>
      <c r="R76" s="4"/>
      <c r="S76" s="4"/>
      <c r="T76" s="4"/>
      <c r="U76" s="4"/>
      <c r="V76" s="4"/>
      <c r="W76" s="4">
        <v>421361.28</v>
      </c>
      <c r="X76" s="4">
        <v>1</v>
      </c>
      <c r="Y76" s="4">
        <v>421361.28</v>
      </c>
      <c r="Z76" s="4"/>
      <c r="AA76" s="4"/>
      <c r="AB76" s="4"/>
    </row>
    <row r="77" spans="1:28" x14ac:dyDescent="0.2">
      <c r="A77" s="4">
        <v>50</v>
      </c>
      <c r="B77" s="4">
        <v>0</v>
      </c>
      <c r="C77" s="4">
        <v>0</v>
      </c>
      <c r="D77" s="4">
        <v>1</v>
      </c>
      <c r="E77" s="4">
        <v>230</v>
      </c>
      <c r="F77" s="4">
        <f>ROUND(Source!BA57,O77)</f>
        <v>0</v>
      </c>
      <c r="G77" s="4" t="s">
        <v>73</v>
      </c>
      <c r="H77" s="4" t="s">
        <v>74</v>
      </c>
      <c r="I77" s="4"/>
      <c r="J77" s="4"/>
      <c r="K77" s="4">
        <v>230</v>
      </c>
      <c r="L77" s="4">
        <v>19</v>
      </c>
      <c r="M77" s="4">
        <v>3</v>
      </c>
      <c r="N77" s="4" t="s">
        <v>3</v>
      </c>
      <c r="O77" s="4">
        <v>2</v>
      </c>
      <c r="P77" s="4"/>
      <c r="Q77" s="4"/>
      <c r="R77" s="4"/>
      <c r="S77" s="4"/>
      <c r="T77" s="4"/>
      <c r="U77" s="4"/>
      <c r="V77" s="4"/>
      <c r="W77" s="4">
        <v>0</v>
      </c>
      <c r="X77" s="4">
        <v>1</v>
      </c>
      <c r="Y77" s="4">
        <v>0</v>
      </c>
      <c r="Z77" s="4"/>
      <c r="AA77" s="4"/>
      <c r="AB77" s="4"/>
    </row>
    <row r="78" spans="1:28" x14ac:dyDescent="0.2">
      <c r="A78" s="4">
        <v>50</v>
      </c>
      <c r="B78" s="4">
        <v>0</v>
      </c>
      <c r="C78" s="4">
        <v>0</v>
      </c>
      <c r="D78" s="4">
        <v>1</v>
      </c>
      <c r="E78" s="4">
        <v>206</v>
      </c>
      <c r="F78" s="4">
        <f>ROUND(Source!T57,O78)</f>
        <v>0</v>
      </c>
      <c r="G78" s="4" t="s">
        <v>75</v>
      </c>
      <c r="H78" s="4" t="s">
        <v>76</v>
      </c>
      <c r="I78" s="4"/>
      <c r="J78" s="4"/>
      <c r="K78" s="4">
        <v>206</v>
      </c>
      <c r="L78" s="4">
        <v>20</v>
      </c>
      <c r="M78" s="4">
        <v>3</v>
      </c>
      <c r="N78" s="4" t="s">
        <v>3</v>
      </c>
      <c r="O78" s="4">
        <v>2</v>
      </c>
      <c r="P78" s="4"/>
      <c r="Q78" s="4"/>
      <c r="R78" s="4"/>
      <c r="S78" s="4"/>
      <c r="T78" s="4"/>
      <c r="U78" s="4"/>
      <c r="V78" s="4"/>
      <c r="W78" s="4">
        <v>0</v>
      </c>
      <c r="X78" s="4">
        <v>1</v>
      </c>
      <c r="Y78" s="4">
        <v>0</v>
      </c>
      <c r="Z78" s="4"/>
      <c r="AA78" s="4"/>
      <c r="AB78" s="4"/>
    </row>
    <row r="79" spans="1:28" x14ac:dyDescent="0.2">
      <c r="A79" s="4">
        <v>50</v>
      </c>
      <c r="B79" s="4">
        <v>0</v>
      </c>
      <c r="C79" s="4">
        <v>0</v>
      </c>
      <c r="D79" s="4">
        <v>1</v>
      </c>
      <c r="E79" s="4">
        <v>207</v>
      </c>
      <c r="F79" s="4">
        <f>Source!U57</f>
        <v>363.20000000000005</v>
      </c>
      <c r="G79" s="4" t="s">
        <v>77</v>
      </c>
      <c r="H79" s="4" t="s">
        <v>78</v>
      </c>
      <c r="I79" s="4"/>
      <c r="J79" s="4"/>
      <c r="K79" s="4">
        <v>207</v>
      </c>
      <c r="L79" s="4">
        <v>21</v>
      </c>
      <c r="M79" s="4">
        <v>3</v>
      </c>
      <c r="N79" s="4" t="s">
        <v>3</v>
      </c>
      <c r="O79" s="4">
        <v>-1</v>
      </c>
      <c r="P79" s="4"/>
      <c r="Q79" s="4"/>
      <c r="R79" s="4"/>
      <c r="S79" s="4"/>
      <c r="T79" s="4"/>
      <c r="U79" s="4"/>
      <c r="V79" s="4"/>
      <c r="W79" s="4">
        <v>363.2</v>
      </c>
      <c r="X79" s="4">
        <v>1</v>
      </c>
      <c r="Y79" s="4">
        <v>363.2</v>
      </c>
      <c r="Z79" s="4"/>
      <c r="AA79" s="4"/>
      <c r="AB79" s="4"/>
    </row>
    <row r="80" spans="1:28" x14ac:dyDescent="0.2">
      <c r="A80" s="4">
        <v>50</v>
      </c>
      <c r="B80" s="4">
        <v>0</v>
      </c>
      <c r="C80" s="4">
        <v>0</v>
      </c>
      <c r="D80" s="4">
        <v>1</v>
      </c>
      <c r="E80" s="4">
        <v>208</v>
      </c>
      <c r="F80" s="4">
        <f>Source!V57</f>
        <v>0</v>
      </c>
      <c r="G80" s="4" t="s">
        <v>79</v>
      </c>
      <c r="H80" s="4" t="s">
        <v>80</v>
      </c>
      <c r="I80" s="4"/>
      <c r="J80" s="4"/>
      <c r="K80" s="4">
        <v>208</v>
      </c>
      <c r="L80" s="4">
        <v>22</v>
      </c>
      <c r="M80" s="4">
        <v>3</v>
      </c>
      <c r="N80" s="4" t="s">
        <v>3</v>
      </c>
      <c r="O80" s="4">
        <v>-1</v>
      </c>
      <c r="P80" s="4"/>
      <c r="Q80" s="4"/>
      <c r="R80" s="4"/>
      <c r="S80" s="4"/>
      <c r="T80" s="4"/>
      <c r="U80" s="4"/>
      <c r="V80" s="4"/>
      <c r="W80" s="4">
        <v>0</v>
      </c>
      <c r="X80" s="4">
        <v>1</v>
      </c>
      <c r="Y80" s="4">
        <v>0</v>
      </c>
      <c r="Z80" s="4"/>
      <c r="AA80" s="4"/>
      <c r="AB80" s="4"/>
    </row>
    <row r="81" spans="1:50" x14ac:dyDescent="0.2">
      <c r="A81" s="4">
        <v>50</v>
      </c>
      <c r="B81" s="4">
        <v>0</v>
      </c>
      <c r="C81" s="4">
        <v>0</v>
      </c>
      <c r="D81" s="4">
        <v>1</v>
      </c>
      <c r="E81" s="4">
        <v>209</v>
      </c>
      <c r="F81" s="4">
        <f>ROUND(Source!W57,O81)</f>
        <v>0</v>
      </c>
      <c r="G81" s="4" t="s">
        <v>81</v>
      </c>
      <c r="H81" s="4" t="s">
        <v>82</v>
      </c>
      <c r="I81" s="4"/>
      <c r="J81" s="4"/>
      <c r="K81" s="4">
        <v>209</v>
      </c>
      <c r="L81" s="4">
        <v>23</v>
      </c>
      <c r="M81" s="4">
        <v>3</v>
      </c>
      <c r="N81" s="4" t="s">
        <v>3</v>
      </c>
      <c r="O81" s="4">
        <v>2</v>
      </c>
      <c r="P81" s="4"/>
      <c r="Q81" s="4"/>
      <c r="R81" s="4"/>
      <c r="S81" s="4"/>
      <c r="T81" s="4"/>
      <c r="U81" s="4"/>
      <c r="V81" s="4"/>
      <c r="W81" s="4">
        <v>0</v>
      </c>
      <c r="X81" s="4">
        <v>1</v>
      </c>
      <c r="Y81" s="4">
        <v>0</v>
      </c>
      <c r="Z81" s="4"/>
      <c r="AA81" s="4"/>
      <c r="AB81" s="4"/>
    </row>
    <row r="82" spans="1:50" x14ac:dyDescent="0.2">
      <c r="A82" s="4">
        <v>50</v>
      </c>
      <c r="B82" s="4">
        <v>0</v>
      </c>
      <c r="C82" s="4">
        <v>0</v>
      </c>
      <c r="D82" s="4">
        <v>1</v>
      </c>
      <c r="E82" s="4">
        <v>233</v>
      </c>
      <c r="F82" s="4">
        <f>ROUND(Source!BD57,O82)</f>
        <v>0</v>
      </c>
      <c r="G82" s="4" t="s">
        <v>83</v>
      </c>
      <c r="H82" s="4" t="s">
        <v>84</v>
      </c>
      <c r="I82" s="4"/>
      <c r="J82" s="4"/>
      <c r="K82" s="4">
        <v>233</v>
      </c>
      <c r="L82" s="4">
        <v>24</v>
      </c>
      <c r="M82" s="4">
        <v>3</v>
      </c>
      <c r="N82" s="4" t="s">
        <v>3</v>
      </c>
      <c r="O82" s="4">
        <v>2</v>
      </c>
      <c r="P82" s="4"/>
      <c r="Q82" s="4"/>
      <c r="R82" s="4"/>
      <c r="S82" s="4"/>
      <c r="T82" s="4"/>
      <c r="U82" s="4"/>
      <c r="V82" s="4"/>
      <c r="W82" s="4">
        <v>0</v>
      </c>
      <c r="X82" s="4">
        <v>1</v>
      </c>
      <c r="Y82" s="4">
        <v>0</v>
      </c>
      <c r="Z82" s="4"/>
      <c r="AA82" s="4"/>
      <c r="AB82" s="4"/>
    </row>
    <row r="83" spans="1:50" x14ac:dyDescent="0.2">
      <c r="A83" s="4">
        <v>50</v>
      </c>
      <c r="B83" s="4">
        <v>0</v>
      </c>
      <c r="C83" s="4">
        <v>0</v>
      </c>
      <c r="D83" s="4">
        <v>1</v>
      </c>
      <c r="E83" s="4">
        <v>210</v>
      </c>
      <c r="F83" s="4">
        <f>ROUND(Source!X57,O83)</f>
        <v>139788.1</v>
      </c>
      <c r="G83" s="4" t="s">
        <v>85</v>
      </c>
      <c r="H83" s="4" t="s">
        <v>86</v>
      </c>
      <c r="I83" s="4"/>
      <c r="J83" s="4"/>
      <c r="K83" s="4">
        <v>210</v>
      </c>
      <c r="L83" s="4">
        <v>25</v>
      </c>
      <c r="M83" s="4">
        <v>3</v>
      </c>
      <c r="N83" s="4" t="s">
        <v>3</v>
      </c>
      <c r="O83" s="4">
        <v>2</v>
      </c>
      <c r="P83" s="4"/>
      <c r="Q83" s="4"/>
      <c r="R83" s="4"/>
      <c r="S83" s="4"/>
      <c r="T83" s="4"/>
      <c r="U83" s="4"/>
      <c r="V83" s="4"/>
      <c r="W83" s="4">
        <v>139788.1</v>
      </c>
      <c r="X83" s="4">
        <v>1</v>
      </c>
      <c r="Y83" s="4">
        <v>139788.1</v>
      </c>
      <c r="Z83" s="4"/>
      <c r="AA83" s="4"/>
      <c r="AB83" s="4"/>
    </row>
    <row r="84" spans="1:50" x14ac:dyDescent="0.2">
      <c r="A84" s="4">
        <v>50</v>
      </c>
      <c r="B84" s="4">
        <v>0</v>
      </c>
      <c r="C84" s="4">
        <v>0</v>
      </c>
      <c r="D84" s="4">
        <v>1</v>
      </c>
      <c r="E84" s="4">
        <v>211</v>
      </c>
      <c r="F84" s="4">
        <f>ROUND(Source!Y57,O84)</f>
        <v>81875.89</v>
      </c>
      <c r="G84" s="4" t="s">
        <v>87</v>
      </c>
      <c r="H84" s="4" t="s">
        <v>88</v>
      </c>
      <c r="I84" s="4"/>
      <c r="J84" s="4"/>
      <c r="K84" s="4">
        <v>211</v>
      </c>
      <c r="L84" s="4">
        <v>26</v>
      </c>
      <c r="M84" s="4">
        <v>3</v>
      </c>
      <c r="N84" s="4" t="s">
        <v>3</v>
      </c>
      <c r="O84" s="4">
        <v>2</v>
      </c>
      <c r="P84" s="4"/>
      <c r="Q84" s="4"/>
      <c r="R84" s="4"/>
      <c r="S84" s="4"/>
      <c r="T84" s="4"/>
      <c r="U84" s="4"/>
      <c r="V84" s="4"/>
      <c r="W84" s="4">
        <v>81875.89</v>
      </c>
      <c r="X84" s="4">
        <v>1</v>
      </c>
      <c r="Y84" s="4">
        <v>81875.89</v>
      </c>
      <c r="Z84" s="4"/>
      <c r="AA84" s="4"/>
      <c r="AB84" s="4"/>
    </row>
    <row r="85" spans="1:50" x14ac:dyDescent="0.2">
      <c r="A85" s="4">
        <v>50</v>
      </c>
      <c r="B85" s="4">
        <v>0</v>
      </c>
      <c r="C85" s="4">
        <v>0</v>
      </c>
      <c r="D85" s="4">
        <v>1</v>
      </c>
      <c r="E85" s="4">
        <v>224</v>
      </c>
      <c r="F85" s="4">
        <f>ROUND(Source!AR57,O85)</f>
        <v>446508.6</v>
      </c>
      <c r="G85" s="4" t="s">
        <v>89</v>
      </c>
      <c r="H85" s="4" t="s">
        <v>90</v>
      </c>
      <c r="I85" s="4"/>
      <c r="J85" s="4"/>
      <c r="K85" s="4">
        <v>224</v>
      </c>
      <c r="L85" s="4">
        <v>27</v>
      </c>
      <c r="M85" s="4">
        <v>3</v>
      </c>
      <c r="N85" s="4" t="s">
        <v>3</v>
      </c>
      <c r="O85" s="4">
        <v>2</v>
      </c>
      <c r="P85" s="4"/>
      <c r="Q85" s="4"/>
      <c r="R85" s="4"/>
      <c r="S85" s="4"/>
      <c r="T85" s="4"/>
      <c r="U85" s="4"/>
      <c r="V85" s="4"/>
      <c r="W85" s="4">
        <v>446508.6</v>
      </c>
      <c r="X85" s="4">
        <v>1</v>
      </c>
      <c r="Y85" s="4">
        <v>446508.6</v>
      </c>
      <c r="Z85" s="4"/>
      <c r="AA85" s="4"/>
      <c r="AB85" s="4"/>
    </row>
    <row r="87" spans="1:50" x14ac:dyDescent="0.2">
      <c r="A87">
        <v>71</v>
      </c>
      <c r="B87">
        <v>1</v>
      </c>
      <c r="D87">
        <v>388</v>
      </c>
      <c r="E87">
        <v>32843822</v>
      </c>
      <c r="F87" t="s">
        <v>3</v>
      </c>
      <c r="G87" t="s">
        <v>3</v>
      </c>
      <c r="H87">
        <v>-1</v>
      </c>
      <c r="I87">
        <v>-1</v>
      </c>
    </row>
    <row r="90" spans="1:50" x14ac:dyDescent="0.2">
      <c r="A90">
        <v>70</v>
      </c>
      <c r="B90">
        <v>1</v>
      </c>
      <c r="D90">
        <v>1</v>
      </c>
      <c r="E90" t="s">
        <v>91</v>
      </c>
      <c r="F90" t="s">
        <v>92</v>
      </c>
      <c r="G90">
        <v>0</v>
      </c>
      <c r="H90">
        <v>0</v>
      </c>
      <c r="I90" t="s">
        <v>3</v>
      </c>
      <c r="J90">
        <v>0</v>
      </c>
      <c r="K90">
        <v>0</v>
      </c>
      <c r="L90" t="s">
        <v>3</v>
      </c>
      <c r="M90" t="s">
        <v>3</v>
      </c>
      <c r="N90">
        <v>0</v>
      </c>
      <c r="P90" t="s">
        <v>3</v>
      </c>
    </row>
    <row r="92" spans="1:50" x14ac:dyDescent="0.2">
      <c r="A92">
        <v>-1</v>
      </c>
    </row>
    <row r="94" spans="1:50" x14ac:dyDescent="0.2">
      <c r="A94" s="3">
        <v>75</v>
      </c>
      <c r="B94" s="3" t="s">
        <v>93</v>
      </c>
      <c r="C94" s="3">
        <v>2024</v>
      </c>
      <c r="D94" s="3">
        <v>0</v>
      </c>
      <c r="E94" s="3">
        <v>4</v>
      </c>
      <c r="F94" s="3"/>
      <c r="G94" s="3">
        <v>0</v>
      </c>
      <c r="H94" s="3">
        <v>2</v>
      </c>
      <c r="I94" s="3">
        <v>1</v>
      </c>
      <c r="J94" s="3">
        <v>1</v>
      </c>
      <c r="K94" s="3">
        <v>95</v>
      </c>
      <c r="L94" s="3">
        <v>65</v>
      </c>
      <c r="M94" s="3">
        <v>0</v>
      </c>
      <c r="N94" s="3">
        <v>55810629</v>
      </c>
      <c r="O94" s="3">
        <v>1</v>
      </c>
    </row>
    <row r="95" spans="1:50" x14ac:dyDescent="0.2">
      <c r="A95" s="5">
        <v>1</v>
      </c>
      <c r="B95" s="5" t="s">
        <v>94</v>
      </c>
      <c r="C95" s="5" t="s">
        <v>95</v>
      </c>
      <c r="D95" s="5">
        <v>2024</v>
      </c>
      <c r="E95" s="5">
        <v>7</v>
      </c>
      <c r="F95" s="5">
        <v>1</v>
      </c>
      <c r="G95" s="5">
        <v>1</v>
      </c>
      <c r="H95" s="5">
        <v>0</v>
      </c>
      <c r="I95" s="5">
        <v>2</v>
      </c>
      <c r="J95" s="5">
        <v>1</v>
      </c>
      <c r="K95" s="5">
        <v>1</v>
      </c>
      <c r="L95" s="5">
        <v>1</v>
      </c>
      <c r="M95" s="5">
        <v>1</v>
      </c>
      <c r="N95" s="5">
        <v>1</v>
      </c>
      <c r="O95" s="5">
        <v>1</v>
      </c>
      <c r="P95" s="5">
        <v>1</v>
      </c>
      <c r="Q95" s="5">
        <v>1</v>
      </c>
      <c r="R95" s="5" t="s">
        <v>3</v>
      </c>
      <c r="S95" s="5" t="s">
        <v>3</v>
      </c>
      <c r="T95" s="5" t="s">
        <v>3</v>
      </c>
      <c r="U95" s="5" t="s">
        <v>3</v>
      </c>
      <c r="V95" s="5" t="s">
        <v>3</v>
      </c>
      <c r="W95" s="5" t="s">
        <v>3</v>
      </c>
      <c r="X95" s="5" t="s">
        <v>3</v>
      </c>
      <c r="Y95" s="5" t="s">
        <v>3</v>
      </c>
      <c r="Z95" s="5" t="s">
        <v>3</v>
      </c>
      <c r="AA95" s="5" t="s">
        <v>96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>
        <v>55810630</v>
      </c>
      <c r="AO95" s="5"/>
      <c r="AP95" s="5"/>
      <c r="AQ95" s="5"/>
      <c r="AR95" s="5"/>
      <c r="AS95" s="5"/>
      <c r="AT95" s="5"/>
      <c r="AU95" s="5"/>
      <c r="AV95" s="5"/>
      <c r="AW95" s="5"/>
      <c r="AX95" s="5"/>
    </row>
    <row r="99" spans="1:5" x14ac:dyDescent="0.2">
      <c r="A99">
        <v>65</v>
      </c>
      <c r="C99">
        <v>1</v>
      </c>
      <c r="D99">
        <v>0</v>
      </c>
      <c r="E99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5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97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47858</v>
      </c>
      <c r="M1">
        <v>10</v>
      </c>
      <c r="N1">
        <v>11</v>
      </c>
      <c r="O1">
        <v>14</v>
      </c>
      <c r="P1">
        <v>0</v>
      </c>
      <c r="Q1">
        <v>1</v>
      </c>
    </row>
    <row r="12" spans="1:133" x14ac:dyDescent="0.2">
      <c r="A12" s="1">
        <v>1</v>
      </c>
      <c r="B12" s="1">
        <v>51</v>
      </c>
      <c r="C12" s="1">
        <v>0</v>
      </c>
      <c r="D12" s="1"/>
      <c r="E12" s="1">
        <v>0</v>
      </c>
      <c r="F12" s="1" t="s">
        <v>4</v>
      </c>
      <c r="G12" s="1" t="s">
        <v>5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160</v>
      </c>
      <c r="S12" s="1"/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6</v>
      </c>
      <c r="AC12" s="1" t="s">
        <v>7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10</v>
      </c>
      <c r="CA12" s="1" t="s">
        <v>11</v>
      </c>
      <c r="CB12" s="1" t="s">
        <v>11</v>
      </c>
      <c r="CC12" s="1" t="s">
        <v>11</v>
      </c>
      <c r="CD12" s="1" t="s">
        <v>11</v>
      </c>
      <c r="CE12" s="1" t="s">
        <v>12</v>
      </c>
      <c r="CF12" s="1">
        <v>0</v>
      </c>
      <c r="CG12" s="1">
        <v>0</v>
      </c>
      <c r="CH12" s="1">
        <v>8</v>
      </c>
      <c r="CI12" s="1" t="s">
        <v>3</v>
      </c>
      <c r="CJ12" s="1" t="s">
        <v>3</v>
      </c>
      <c r="CK12" s="1">
        <v>77</v>
      </c>
      <c r="CL12" s="1"/>
      <c r="CM12" s="1"/>
      <c r="CN12" s="1"/>
      <c r="CO12" s="1"/>
      <c r="CP12" s="1"/>
      <c r="CQ12" s="1" t="s">
        <v>13</v>
      </c>
      <c r="CR12" s="1" t="s">
        <v>14</v>
      </c>
      <c r="CS12" s="1">
        <v>41660</v>
      </c>
      <c r="CT12" s="1">
        <v>1</v>
      </c>
      <c r="CU12" s="1">
        <v>73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55810629</v>
      </c>
      <c r="E14" s="1">
        <v>0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6">
        <v>3</v>
      </c>
      <c r="B16" s="6">
        <v>1</v>
      </c>
      <c r="C16" s="6" t="s">
        <v>3</v>
      </c>
      <c r="D16" s="6" t="s">
        <v>15</v>
      </c>
      <c r="E16" s="7">
        <f>ROUND((Source!F44)/1000,2)</f>
        <v>25.15</v>
      </c>
      <c r="F16" s="7">
        <f>ROUND((Source!F45)/1000,2)</f>
        <v>0</v>
      </c>
      <c r="G16" s="7">
        <f>ROUND((Source!F36)/1000,2)</f>
        <v>0</v>
      </c>
      <c r="H16" s="7">
        <f>ROUND((Source!F46)/1000+(Source!F47)/1000,2)</f>
        <v>421.36</v>
      </c>
      <c r="I16" s="7">
        <f>E16+F16+G16+H16</f>
        <v>446.51</v>
      </c>
      <c r="J16" s="7">
        <f>ROUND((Source!F42+Source!F41)/1000,2)</f>
        <v>203.18</v>
      </c>
      <c r="K16" s="7">
        <v>219.27</v>
      </c>
      <c r="L16" s="7">
        <v>0</v>
      </c>
      <c r="M16" s="7">
        <v>0</v>
      </c>
      <c r="N16" s="7">
        <f>I16+L16+M16</f>
        <v>446.51</v>
      </c>
      <c r="AI16" s="6">
        <v>0</v>
      </c>
      <c r="AJ16" s="6">
        <v>-1</v>
      </c>
      <c r="AK16" s="6" t="s">
        <v>3</v>
      </c>
      <c r="AL16" s="6" t="s">
        <v>104</v>
      </c>
      <c r="AM16" s="6" t="s">
        <v>17</v>
      </c>
      <c r="AN16" s="6">
        <v>0</v>
      </c>
      <c r="AO16" s="6" t="s">
        <v>3</v>
      </c>
      <c r="AP16" s="6" t="s">
        <v>3</v>
      </c>
      <c r="AT16" s="7">
        <v>219270</v>
      </c>
      <c r="AU16" s="7">
        <v>0</v>
      </c>
      <c r="AV16" s="7">
        <v>0</v>
      </c>
      <c r="AW16" s="7">
        <v>0</v>
      </c>
      <c r="AX16" s="7">
        <v>0</v>
      </c>
      <c r="AY16" s="7">
        <v>19572.71</v>
      </c>
      <c r="AZ16" s="7">
        <v>3484.13</v>
      </c>
      <c r="BA16" s="7">
        <v>199697.29</v>
      </c>
      <c r="BB16" s="7">
        <v>25147.32</v>
      </c>
      <c r="BC16" s="7">
        <v>0</v>
      </c>
      <c r="BD16" s="7">
        <v>421361.28</v>
      </c>
      <c r="BE16" s="7">
        <v>0</v>
      </c>
      <c r="BF16" s="7">
        <v>363.2</v>
      </c>
      <c r="BG16" s="7">
        <v>0</v>
      </c>
      <c r="BH16" s="7">
        <v>0</v>
      </c>
      <c r="BI16" s="7">
        <v>139788.1</v>
      </c>
      <c r="BJ16" s="7">
        <v>81875.89</v>
      </c>
      <c r="BK16" s="7">
        <v>446508.6</v>
      </c>
    </row>
    <row r="18" spans="1:16" x14ac:dyDescent="0.2">
      <c r="A18">
        <v>51</v>
      </c>
      <c r="E18">
        <v>25.15</v>
      </c>
      <c r="F18">
        <v>0</v>
      </c>
      <c r="G18">
        <v>0</v>
      </c>
      <c r="H18">
        <v>421.36</v>
      </c>
      <c r="I18">
        <v>446.51</v>
      </c>
      <c r="J18">
        <v>203.18</v>
      </c>
      <c r="K18">
        <v>219.27</v>
      </c>
      <c r="L18">
        <v>0</v>
      </c>
      <c r="M18">
        <v>0</v>
      </c>
      <c r="N18">
        <v>446.51</v>
      </c>
    </row>
    <row r="20" spans="1:16" x14ac:dyDescent="0.2">
      <c r="A20" s="4">
        <v>50</v>
      </c>
      <c r="B20" s="4">
        <v>0</v>
      </c>
      <c r="C20" s="4">
        <v>0</v>
      </c>
      <c r="D20" s="4">
        <v>1</v>
      </c>
      <c r="E20" s="4">
        <v>201</v>
      </c>
      <c r="F20" s="4">
        <v>219270</v>
      </c>
      <c r="G20" s="4" t="s">
        <v>37</v>
      </c>
      <c r="H20" s="4" t="s">
        <v>38</v>
      </c>
      <c r="I20" s="4"/>
      <c r="J20" s="4"/>
      <c r="K20" s="4">
        <v>201</v>
      </c>
      <c r="L20" s="4">
        <v>1</v>
      </c>
      <c r="M20" s="4">
        <v>3</v>
      </c>
      <c r="N20" s="4" t="s">
        <v>3</v>
      </c>
      <c r="O20" s="4">
        <v>2</v>
      </c>
      <c r="P20" s="4"/>
    </row>
    <row r="21" spans="1:16" x14ac:dyDescent="0.2">
      <c r="A21" s="4">
        <v>50</v>
      </c>
      <c r="B21" s="4">
        <v>0</v>
      </c>
      <c r="C21" s="4">
        <v>0</v>
      </c>
      <c r="D21" s="4">
        <v>1</v>
      </c>
      <c r="E21" s="4">
        <v>202</v>
      </c>
      <c r="F21" s="4">
        <v>0</v>
      </c>
      <c r="G21" s="4" t="s">
        <v>39</v>
      </c>
      <c r="H21" s="4" t="s">
        <v>40</v>
      </c>
      <c r="I21" s="4"/>
      <c r="J21" s="4"/>
      <c r="K21" s="4">
        <v>202</v>
      </c>
      <c r="L21" s="4">
        <v>2</v>
      </c>
      <c r="M21" s="4">
        <v>3</v>
      </c>
      <c r="N21" s="4" t="s">
        <v>3</v>
      </c>
      <c r="O21" s="4">
        <v>2</v>
      </c>
      <c r="P21" s="4"/>
    </row>
    <row r="22" spans="1:16" x14ac:dyDescent="0.2">
      <c r="A22" s="4">
        <v>50</v>
      </c>
      <c r="B22" s="4">
        <v>0</v>
      </c>
      <c r="C22" s="4">
        <v>0</v>
      </c>
      <c r="D22" s="4">
        <v>1</v>
      </c>
      <c r="E22" s="4">
        <v>222</v>
      </c>
      <c r="F22" s="4">
        <v>0</v>
      </c>
      <c r="G22" s="4" t="s">
        <v>41</v>
      </c>
      <c r="H22" s="4" t="s">
        <v>42</v>
      </c>
      <c r="I22" s="4"/>
      <c r="J22" s="4"/>
      <c r="K22" s="4">
        <v>222</v>
      </c>
      <c r="L22" s="4">
        <v>3</v>
      </c>
      <c r="M22" s="4">
        <v>3</v>
      </c>
      <c r="N22" s="4" t="s">
        <v>3</v>
      </c>
      <c r="O22" s="4">
        <v>2</v>
      </c>
      <c r="P22" s="4"/>
    </row>
    <row r="23" spans="1:16" x14ac:dyDescent="0.2">
      <c r="A23" s="4">
        <v>50</v>
      </c>
      <c r="B23" s="4">
        <v>0</v>
      </c>
      <c r="C23" s="4">
        <v>0</v>
      </c>
      <c r="D23" s="4">
        <v>1</v>
      </c>
      <c r="E23" s="4">
        <v>225</v>
      </c>
      <c r="F23" s="4">
        <v>0</v>
      </c>
      <c r="G23" s="4" t="s">
        <v>43</v>
      </c>
      <c r="H23" s="4" t="s">
        <v>44</v>
      </c>
      <c r="I23" s="4"/>
      <c r="J23" s="4"/>
      <c r="K23" s="4">
        <v>225</v>
      </c>
      <c r="L23" s="4">
        <v>4</v>
      </c>
      <c r="M23" s="4">
        <v>3</v>
      </c>
      <c r="N23" s="4" t="s">
        <v>3</v>
      </c>
      <c r="O23" s="4">
        <v>2</v>
      </c>
      <c r="P23" s="4"/>
    </row>
    <row r="24" spans="1:16" x14ac:dyDescent="0.2">
      <c r="A24" s="4">
        <v>50</v>
      </c>
      <c r="B24" s="4">
        <v>0</v>
      </c>
      <c r="C24" s="4">
        <v>0</v>
      </c>
      <c r="D24" s="4">
        <v>1</v>
      </c>
      <c r="E24" s="4">
        <v>226</v>
      </c>
      <c r="F24" s="4">
        <v>0</v>
      </c>
      <c r="G24" s="4" t="s">
        <v>45</v>
      </c>
      <c r="H24" s="4" t="s">
        <v>46</v>
      </c>
      <c r="I24" s="4"/>
      <c r="J24" s="4"/>
      <c r="K24" s="4">
        <v>226</v>
      </c>
      <c r="L24" s="4">
        <v>5</v>
      </c>
      <c r="M24" s="4">
        <v>3</v>
      </c>
      <c r="N24" s="4" t="s">
        <v>3</v>
      </c>
      <c r="O24" s="4">
        <v>2</v>
      </c>
      <c r="P24" s="4"/>
    </row>
    <row r="25" spans="1:16" x14ac:dyDescent="0.2">
      <c r="A25" s="4">
        <v>50</v>
      </c>
      <c r="B25" s="4">
        <v>0</v>
      </c>
      <c r="C25" s="4">
        <v>0</v>
      </c>
      <c r="D25" s="4">
        <v>1</v>
      </c>
      <c r="E25" s="4">
        <v>227</v>
      </c>
      <c r="F25" s="4">
        <v>0</v>
      </c>
      <c r="G25" s="4" t="s">
        <v>47</v>
      </c>
      <c r="H25" s="4" t="s">
        <v>48</v>
      </c>
      <c r="I25" s="4"/>
      <c r="J25" s="4"/>
      <c r="K25" s="4">
        <v>227</v>
      </c>
      <c r="L25" s="4">
        <v>6</v>
      </c>
      <c r="M25" s="4">
        <v>3</v>
      </c>
      <c r="N25" s="4" t="s">
        <v>3</v>
      </c>
      <c r="O25" s="4">
        <v>2</v>
      </c>
      <c r="P25" s="4"/>
    </row>
    <row r="26" spans="1:16" x14ac:dyDescent="0.2">
      <c r="A26" s="4">
        <v>50</v>
      </c>
      <c r="B26" s="4">
        <v>0</v>
      </c>
      <c r="C26" s="4">
        <v>0</v>
      </c>
      <c r="D26" s="4">
        <v>1</v>
      </c>
      <c r="E26" s="4">
        <v>228</v>
      </c>
      <c r="F26" s="4">
        <v>0</v>
      </c>
      <c r="G26" s="4" t="s">
        <v>49</v>
      </c>
      <c r="H26" s="4" t="s">
        <v>50</v>
      </c>
      <c r="I26" s="4"/>
      <c r="J26" s="4"/>
      <c r="K26" s="4">
        <v>228</v>
      </c>
      <c r="L26" s="4">
        <v>7</v>
      </c>
      <c r="M26" s="4">
        <v>3</v>
      </c>
      <c r="N26" s="4" t="s">
        <v>3</v>
      </c>
      <c r="O26" s="4">
        <v>2</v>
      </c>
      <c r="P26" s="4"/>
    </row>
    <row r="27" spans="1:16" x14ac:dyDescent="0.2">
      <c r="A27" s="4">
        <v>50</v>
      </c>
      <c r="B27" s="4">
        <v>0</v>
      </c>
      <c r="C27" s="4">
        <v>0</v>
      </c>
      <c r="D27" s="4">
        <v>1</v>
      </c>
      <c r="E27" s="4">
        <v>216</v>
      </c>
      <c r="F27" s="4">
        <v>0</v>
      </c>
      <c r="G27" s="4" t="s">
        <v>51</v>
      </c>
      <c r="H27" s="4" t="s">
        <v>52</v>
      </c>
      <c r="I27" s="4"/>
      <c r="J27" s="4"/>
      <c r="K27" s="4">
        <v>216</v>
      </c>
      <c r="L27" s="4">
        <v>8</v>
      </c>
      <c r="M27" s="4">
        <v>3</v>
      </c>
      <c r="N27" s="4" t="s">
        <v>3</v>
      </c>
      <c r="O27" s="4">
        <v>2</v>
      </c>
      <c r="P27" s="4"/>
    </row>
    <row r="28" spans="1:16" x14ac:dyDescent="0.2">
      <c r="A28" s="4">
        <v>50</v>
      </c>
      <c r="B28" s="4">
        <v>0</v>
      </c>
      <c r="C28" s="4">
        <v>0</v>
      </c>
      <c r="D28" s="4">
        <v>1</v>
      </c>
      <c r="E28" s="4">
        <v>223</v>
      </c>
      <c r="F28" s="4">
        <v>0</v>
      </c>
      <c r="G28" s="4" t="s">
        <v>53</v>
      </c>
      <c r="H28" s="4" t="s">
        <v>54</v>
      </c>
      <c r="I28" s="4"/>
      <c r="J28" s="4"/>
      <c r="K28" s="4">
        <v>223</v>
      </c>
      <c r="L28" s="4">
        <v>9</v>
      </c>
      <c r="M28" s="4">
        <v>3</v>
      </c>
      <c r="N28" s="4" t="s">
        <v>3</v>
      </c>
      <c r="O28" s="4">
        <v>2</v>
      </c>
      <c r="P28" s="4"/>
    </row>
    <row r="29" spans="1:16" x14ac:dyDescent="0.2">
      <c r="A29" s="4">
        <v>50</v>
      </c>
      <c r="B29" s="4">
        <v>0</v>
      </c>
      <c r="C29" s="4">
        <v>0</v>
      </c>
      <c r="D29" s="4">
        <v>1</v>
      </c>
      <c r="E29" s="4">
        <v>229</v>
      </c>
      <c r="F29" s="4">
        <v>0</v>
      </c>
      <c r="G29" s="4" t="s">
        <v>55</v>
      </c>
      <c r="H29" s="4" t="s">
        <v>56</v>
      </c>
      <c r="I29" s="4"/>
      <c r="J29" s="4"/>
      <c r="K29" s="4">
        <v>229</v>
      </c>
      <c r="L29" s="4">
        <v>10</v>
      </c>
      <c r="M29" s="4">
        <v>3</v>
      </c>
      <c r="N29" s="4" t="s">
        <v>3</v>
      </c>
      <c r="O29" s="4">
        <v>2</v>
      </c>
      <c r="P29" s="4"/>
    </row>
    <row r="30" spans="1:16" x14ac:dyDescent="0.2">
      <c r="A30" s="4">
        <v>50</v>
      </c>
      <c r="B30" s="4">
        <v>0</v>
      </c>
      <c r="C30" s="4">
        <v>0</v>
      </c>
      <c r="D30" s="4">
        <v>1</v>
      </c>
      <c r="E30" s="4">
        <v>203</v>
      </c>
      <c r="F30" s="4">
        <v>19572.71</v>
      </c>
      <c r="G30" s="4" t="s">
        <v>57</v>
      </c>
      <c r="H30" s="4" t="s">
        <v>58</v>
      </c>
      <c r="I30" s="4"/>
      <c r="J30" s="4"/>
      <c r="K30" s="4">
        <v>203</v>
      </c>
      <c r="L30" s="4">
        <v>11</v>
      </c>
      <c r="M30" s="4">
        <v>3</v>
      </c>
      <c r="N30" s="4" t="s">
        <v>3</v>
      </c>
      <c r="O30" s="4">
        <v>2</v>
      </c>
      <c r="P30" s="4"/>
    </row>
    <row r="31" spans="1:16" x14ac:dyDescent="0.2">
      <c r="A31" s="4">
        <v>50</v>
      </c>
      <c r="B31" s="4">
        <v>0</v>
      </c>
      <c r="C31" s="4">
        <v>0</v>
      </c>
      <c r="D31" s="4">
        <v>1</v>
      </c>
      <c r="E31" s="4">
        <v>231</v>
      </c>
      <c r="F31" s="4">
        <v>0</v>
      </c>
      <c r="G31" s="4" t="s">
        <v>59</v>
      </c>
      <c r="H31" s="4" t="s">
        <v>60</v>
      </c>
      <c r="I31" s="4"/>
      <c r="J31" s="4"/>
      <c r="K31" s="4">
        <v>231</v>
      </c>
      <c r="L31" s="4">
        <v>12</v>
      </c>
      <c r="M31" s="4">
        <v>3</v>
      </c>
      <c r="N31" s="4" t="s">
        <v>3</v>
      </c>
      <c r="O31" s="4">
        <v>2</v>
      </c>
      <c r="P31" s="4"/>
    </row>
    <row r="32" spans="1:16" x14ac:dyDescent="0.2">
      <c r="A32" s="4">
        <v>50</v>
      </c>
      <c r="B32" s="4">
        <v>0</v>
      </c>
      <c r="C32" s="4">
        <v>0</v>
      </c>
      <c r="D32" s="4">
        <v>1</v>
      </c>
      <c r="E32" s="4">
        <v>204</v>
      </c>
      <c r="F32" s="4">
        <v>3484.13</v>
      </c>
      <c r="G32" s="4" t="s">
        <v>61</v>
      </c>
      <c r="H32" s="4" t="s">
        <v>62</v>
      </c>
      <c r="I32" s="4"/>
      <c r="J32" s="4"/>
      <c r="K32" s="4">
        <v>204</v>
      </c>
      <c r="L32" s="4">
        <v>13</v>
      </c>
      <c r="M32" s="4">
        <v>3</v>
      </c>
      <c r="N32" s="4" t="s">
        <v>3</v>
      </c>
      <c r="O32" s="4">
        <v>2</v>
      </c>
      <c r="P32" s="4"/>
    </row>
    <row r="33" spans="1:16" x14ac:dyDescent="0.2">
      <c r="A33" s="4">
        <v>50</v>
      </c>
      <c r="B33" s="4">
        <v>0</v>
      </c>
      <c r="C33" s="4">
        <v>0</v>
      </c>
      <c r="D33" s="4">
        <v>1</v>
      </c>
      <c r="E33" s="4">
        <v>205</v>
      </c>
      <c r="F33" s="4">
        <v>199697.29</v>
      </c>
      <c r="G33" s="4" t="s">
        <v>63</v>
      </c>
      <c r="H33" s="4" t="s">
        <v>64</v>
      </c>
      <c r="I33" s="4"/>
      <c r="J33" s="4"/>
      <c r="K33" s="4">
        <v>205</v>
      </c>
      <c r="L33" s="4">
        <v>14</v>
      </c>
      <c r="M33" s="4">
        <v>3</v>
      </c>
      <c r="N33" s="4" t="s">
        <v>3</v>
      </c>
      <c r="O33" s="4">
        <v>2</v>
      </c>
      <c r="P33" s="4"/>
    </row>
    <row r="34" spans="1:16" x14ac:dyDescent="0.2">
      <c r="A34" s="4">
        <v>50</v>
      </c>
      <c r="B34" s="4">
        <v>0</v>
      </c>
      <c r="C34" s="4">
        <v>0</v>
      </c>
      <c r="D34" s="4">
        <v>1</v>
      </c>
      <c r="E34" s="4">
        <v>232</v>
      </c>
      <c r="F34" s="4">
        <v>0</v>
      </c>
      <c r="G34" s="4" t="s">
        <v>65</v>
      </c>
      <c r="H34" s="4" t="s">
        <v>66</v>
      </c>
      <c r="I34" s="4"/>
      <c r="J34" s="4"/>
      <c r="K34" s="4">
        <v>232</v>
      </c>
      <c r="L34" s="4">
        <v>15</v>
      </c>
      <c r="M34" s="4">
        <v>3</v>
      </c>
      <c r="N34" s="4" t="s">
        <v>3</v>
      </c>
      <c r="O34" s="4">
        <v>2</v>
      </c>
      <c r="P34" s="4"/>
    </row>
    <row r="35" spans="1:16" x14ac:dyDescent="0.2">
      <c r="A35" s="4">
        <v>50</v>
      </c>
      <c r="B35" s="4">
        <v>0</v>
      </c>
      <c r="C35" s="4">
        <v>0</v>
      </c>
      <c r="D35" s="4">
        <v>1</v>
      </c>
      <c r="E35" s="4">
        <v>214</v>
      </c>
      <c r="F35" s="4">
        <v>25147.32</v>
      </c>
      <c r="G35" s="4" t="s">
        <v>67</v>
      </c>
      <c r="H35" s="4" t="s">
        <v>68</v>
      </c>
      <c r="I35" s="4"/>
      <c r="J35" s="4"/>
      <c r="K35" s="4">
        <v>214</v>
      </c>
      <c r="L35" s="4">
        <v>16</v>
      </c>
      <c r="M35" s="4">
        <v>3</v>
      </c>
      <c r="N35" s="4" t="s">
        <v>3</v>
      </c>
      <c r="O35" s="4">
        <v>2</v>
      </c>
      <c r="P35" s="4"/>
    </row>
    <row r="36" spans="1:16" x14ac:dyDescent="0.2">
      <c r="A36" s="4">
        <v>50</v>
      </c>
      <c r="B36" s="4">
        <v>0</v>
      </c>
      <c r="C36" s="4">
        <v>0</v>
      </c>
      <c r="D36" s="4">
        <v>1</v>
      </c>
      <c r="E36" s="4">
        <v>215</v>
      </c>
      <c r="F36" s="4">
        <v>0</v>
      </c>
      <c r="G36" s="4" t="s">
        <v>69</v>
      </c>
      <c r="H36" s="4" t="s">
        <v>70</v>
      </c>
      <c r="I36" s="4"/>
      <c r="J36" s="4"/>
      <c r="K36" s="4">
        <v>215</v>
      </c>
      <c r="L36" s="4">
        <v>17</v>
      </c>
      <c r="M36" s="4">
        <v>3</v>
      </c>
      <c r="N36" s="4" t="s">
        <v>3</v>
      </c>
      <c r="O36" s="4">
        <v>2</v>
      </c>
      <c r="P36" s="4"/>
    </row>
    <row r="37" spans="1:16" x14ac:dyDescent="0.2">
      <c r="A37" s="4">
        <v>50</v>
      </c>
      <c r="B37" s="4">
        <v>0</v>
      </c>
      <c r="C37" s="4">
        <v>0</v>
      </c>
      <c r="D37" s="4">
        <v>1</v>
      </c>
      <c r="E37" s="4">
        <v>217</v>
      </c>
      <c r="F37" s="4">
        <v>421361.28</v>
      </c>
      <c r="G37" s="4" t="s">
        <v>71</v>
      </c>
      <c r="H37" s="4" t="s">
        <v>72</v>
      </c>
      <c r="I37" s="4"/>
      <c r="J37" s="4"/>
      <c r="K37" s="4">
        <v>217</v>
      </c>
      <c r="L37" s="4">
        <v>18</v>
      </c>
      <c r="M37" s="4">
        <v>3</v>
      </c>
      <c r="N37" s="4" t="s">
        <v>3</v>
      </c>
      <c r="O37" s="4">
        <v>2</v>
      </c>
      <c r="P37" s="4"/>
    </row>
    <row r="38" spans="1:16" x14ac:dyDescent="0.2">
      <c r="A38" s="4">
        <v>50</v>
      </c>
      <c r="B38" s="4">
        <v>0</v>
      </c>
      <c r="C38" s="4">
        <v>0</v>
      </c>
      <c r="D38" s="4">
        <v>1</v>
      </c>
      <c r="E38" s="4">
        <v>230</v>
      </c>
      <c r="F38" s="4">
        <v>0</v>
      </c>
      <c r="G38" s="4" t="s">
        <v>73</v>
      </c>
      <c r="H38" s="4" t="s">
        <v>74</v>
      </c>
      <c r="I38" s="4"/>
      <c r="J38" s="4"/>
      <c r="K38" s="4">
        <v>230</v>
      </c>
      <c r="L38" s="4">
        <v>19</v>
      </c>
      <c r="M38" s="4">
        <v>3</v>
      </c>
      <c r="N38" s="4" t="s">
        <v>3</v>
      </c>
      <c r="O38" s="4">
        <v>2</v>
      </c>
      <c r="P38" s="4"/>
    </row>
    <row r="39" spans="1:16" x14ac:dyDescent="0.2">
      <c r="A39" s="4">
        <v>50</v>
      </c>
      <c r="B39" s="4">
        <v>0</v>
      </c>
      <c r="C39" s="4">
        <v>0</v>
      </c>
      <c r="D39" s="4">
        <v>1</v>
      </c>
      <c r="E39" s="4">
        <v>206</v>
      </c>
      <c r="F39" s="4">
        <v>0</v>
      </c>
      <c r="G39" s="4" t="s">
        <v>75</v>
      </c>
      <c r="H39" s="4" t="s">
        <v>76</v>
      </c>
      <c r="I39" s="4"/>
      <c r="J39" s="4"/>
      <c r="K39" s="4">
        <v>206</v>
      </c>
      <c r="L39" s="4">
        <v>20</v>
      </c>
      <c r="M39" s="4">
        <v>3</v>
      </c>
      <c r="N39" s="4" t="s">
        <v>3</v>
      </c>
      <c r="O39" s="4">
        <v>2</v>
      </c>
      <c r="P39" s="4"/>
    </row>
    <row r="40" spans="1:16" x14ac:dyDescent="0.2">
      <c r="A40" s="4">
        <v>50</v>
      </c>
      <c r="B40" s="4">
        <v>0</v>
      </c>
      <c r="C40" s="4">
        <v>0</v>
      </c>
      <c r="D40" s="4">
        <v>1</v>
      </c>
      <c r="E40" s="4">
        <v>207</v>
      </c>
      <c r="F40" s="4">
        <v>363.2</v>
      </c>
      <c r="G40" s="4" t="s">
        <v>77</v>
      </c>
      <c r="H40" s="4" t="s">
        <v>78</v>
      </c>
      <c r="I40" s="4"/>
      <c r="J40" s="4"/>
      <c r="K40" s="4">
        <v>207</v>
      </c>
      <c r="L40" s="4">
        <v>21</v>
      </c>
      <c r="M40" s="4">
        <v>3</v>
      </c>
      <c r="N40" s="4" t="s">
        <v>3</v>
      </c>
      <c r="O40" s="4">
        <v>-1</v>
      </c>
      <c r="P40" s="4"/>
    </row>
    <row r="41" spans="1:16" x14ac:dyDescent="0.2">
      <c r="A41" s="4">
        <v>50</v>
      </c>
      <c r="B41" s="4">
        <v>0</v>
      </c>
      <c r="C41" s="4">
        <v>0</v>
      </c>
      <c r="D41" s="4">
        <v>1</v>
      </c>
      <c r="E41" s="4">
        <v>208</v>
      </c>
      <c r="F41" s="4">
        <v>0</v>
      </c>
      <c r="G41" s="4" t="s">
        <v>79</v>
      </c>
      <c r="H41" s="4" t="s">
        <v>80</v>
      </c>
      <c r="I41" s="4"/>
      <c r="J41" s="4"/>
      <c r="K41" s="4">
        <v>208</v>
      </c>
      <c r="L41" s="4">
        <v>22</v>
      </c>
      <c r="M41" s="4">
        <v>3</v>
      </c>
      <c r="N41" s="4" t="s">
        <v>3</v>
      </c>
      <c r="O41" s="4">
        <v>-1</v>
      </c>
      <c r="P41" s="4"/>
    </row>
    <row r="42" spans="1:16" x14ac:dyDescent="0.2">
      <c r="A42" s="4">
        <v>50</v>
      </c>
      <c r="B42" s="4">
        <v>0</v>
      </c>
      <c r="C42" s="4">
        <v>0</v>
      </c>
      <c r="D42" s="4">
        <v>1</v>
      </c>
      <c r="E42" s="4">
        <v>209</v>
      </c>
      <c r="F42" s="4">
        <v>0</v>
      </c>
      <c r="G42" s="4" t="s">
        <v>81</v>
      </c>
      <c r="H42" s="4" t="s">
        <v>82</v>
      </c>
      <c r="I42" s="4"/>
      <c r="J42" s="4"/>
      <c r="K42" s="4">
        <v>209</v>
      </c>
      <c r="L42" s="4">
        <v>23</v>
      </c>
      <c r="M42" s="4">
        <v>3</v>
      </c>
      <c r="N42" s="4" t="s">
        <v>3</v>
      </c>
      <c r="O42" s="4">
        <v>2</v>
      </c>
      <c r="P42" s="4"/>
    </row>
    <row r="43" spans="1:16" x14ac:dyDescent="0.2">
      <c r="A43" s="4">
        <v>50</v>
      </c>
      <c r="B43" s="4">
        <v>0</v>
      </c>
      <c r="C43" s="4">
        <v>0</v>
      </c>
      <c r="D43" s="4">
        <v>1</v>
      </c>
      <c r="E43" s="4">
        <v>233</v>
      </c>
      <c r="F43" s="4">
        <v>0</v>
      </c>
      <c r="G43" s="4" t="s">
        <v>83</v>
      </c>
      <c r="H43" s="4" t="s">
        <v>84</v>
      </c>
      <c r="I43" s="4"/>
      <c r="J43" s="4"/>
      <c r="K43" s="4">
        <v>233</v>
      </c>
      <c r="L43" s="4">
        <v>24</v>
      </c>
      <c r="M43" s="4">
        <v>3</v>
      </c>
      <c r="N43" s="4" t="s">
        <v>3</v>
      </c>
      <c r="O43" s="4">
        <v>2</v>
      </c>
      <c r="P43" s="4"/>
    </row>
    <row r="44" spans="1:16" x14ac:dyDescent="0.2">
      <c r="A44" s="4">
        <v>50</v>
      </c>
      <c r="B44" s="4">
        <v>0</v>
      </c>
      <c r="C44" s="4">
        <v>0</v>
      </c>
      <c r="D44" s="4">
        <v>1</v>
      </c>
      <c r="E44" s="4">
        <v>210</v>
      </c>
      <c r="F44" s="4">
        <v>139788.1</v>
      </c>
      <c r="G44" s="4" t="s">
        <v>85</v>
      </c>
      <c r="H44" s="4" t="s">
        <v>86</v>
      </c>
      <c r="I44" s="4"/>
      <c r="J44" s="4"/>
      <c r="K44" s="4">
        <v>210</v>
      </c>
      <c r="L44" s="4">
        <v>25</v>
      </c>
      <c r="M44" s="4">
        <v>3</v>
      </c>
      <c r="N44" s="4" t="s">
        <v>3</v>
      </c>
      <c r="O44" s="4">
        <v>2</v>
      </c>
      <c r="P44" s="4"/>
    </row>
    <row r="45" spans="1:16" x14ac:dyDescent="0.2">
      <c r="A45" s="4">
        <v>50</v>
      </c>
      <c r="B45" s="4">
        <v>0</v>
      </c>
      <c r="C45" s="4">
        <v>0</v>
      </c>
      <c r="D45" s="4">
        <v>1</v>
      </c>
      <c r="E45" s="4">
        <v>211</v>
      </c>
      <c r="F45" s="4">
        <v>81875.89</v>
      </c>
      <c r="G45" s="4" t="s">
        <v>87</v>
      </c>
      <c r="H45" s="4" t="s">
        <v>88</v>
      </c>
      <c r="I45" s="4"/>
      <c r="J45" s="4"/>
      <c r="K45" s="4">
        <v>211</v>
      </c>
      <c r="L45" s="4">
        <v>26</v>
      </c>
      <c r="M45" s="4">
        <v>3</v>
      </c>
      <c r="N45" s="4" t="s">
        <v>3</v>
      </c>
      <c r="O45" s="4">
        <v>2</v>
      </c>
      <c r="P45" s="4"/>
    </row>
    <row r="46" spans="1:16" x14ac:dyDescent="0.2">
      <c r="A46" s="4">
        <v>50</v>
      </c>
      <c r="B46" s="4">
        <v>0</v>
      </c>
      <c r="C46" s="4">
        <v>0</v>
      </c>
      <c r="D46" s="4">
        <v>1</v>
      </c>
      <c r="E46" s="4">
        <v>224</v>
      </c>
      <c r="F46" s="4">
        <v>446508.6</v>
      </c>
      <c r="G46" s="4" t="s">
        <v>89</v>
      </c>
      <c r="H46" s="4" t="s">
        <v>90</v>
      </c>
      <c r="I46" s="4"/>
      <c r="J46" s="4"/>
      <c r="K46" s="4">
        <v>224</v>
      </c>
      <c r="L46" s="4">
        <v>27</v>
      </c>
      <c r="M46" s="4">
        <v>3</v>
      </c>
      <c r="N46" s="4" t="s">
        <v>3</v>
      </c>
      <c r="O46" s="4">
        <v>2</v>
      </c>
      <c r="P46" s="4"/>
    </row>
    <row r="48" spans="1:16" x14ac:dyDescent="0.2">
      <c r="A48">
        <v>-1</v>
      </c>
    </row>
    <row r="51" spans="1:50" x14ac:dyDescent="0.2">
      <c r="A51" s="3">
        <v>75</v>
      </c>
      <c r="B51" s="3" t="s">
        <v>93</v>
      </c>
      <c r="C51" s="3">
        <v>2024</v>
      </c>
      <c r="D51" s="3">
        <v>0</v>
      </c>
      <c r="E51" s="3">
        <v>4</v>
      </c>
      <c r="F51" s="3"/>
      <c r="G51" s="3">
        <v>0</v>
      </c>
      <c r="H51" s="3">
        <v>2</v>
      </c>
      <c r="I51" s="3">
        <v>1</v>
      </c>
      <c r="J51" s="3">
        <v>1</v>
      </c>
      <c r="K51" s="3">
        <v>95</v>
      </c>
      <c r="L51" s="3">
        <v>65</v>
      </c>
      <c r="M51" s="3">
        <v>0</v>
      </c>
      <c r="N51" s="3">
        <v>55810629</v>
      </c>
      <c r="O51" s="3">
        <v>1</v>
      </c>
    </row>
    <row r="52" spans="1:50" x14ac:dyDescent="0.2">
      <c r="A52" s="5">
        <v>1</v>
      </c>
      <c r="B52" s="5" t="s">
        <v>94</v>
      </c>
      <c r="C52" s="5" t="s">
        <v>95</v>
      </c>
      <c r="D52" s="5">
        <v>2024</v>
      </c>
      <c r="E52" s="5">
        <v>7</v>
      </c>
      <c r="F52" s="5">
        <v>1</v>
      </c>
      <c r="G52" s="5">
        <v>1</v>
      </c>
      <c r="H52" s="5">
        <v>0</v>
      </c>
      <c r="I52" s="5">
        <v>2</v>
      </c>
      <c r="J52" s="5">
        <v>1</v>
      </c>
      <c r="K52" s="5">
        <v>1</v>
      </c>
      <c r="L52" s="5">
        <v>1</v>
      </c>
      <c r="M52" s="5">
        <v>1</v>
      </c>
      <c r="N52" s="5">
        <v>1</v>
      </c>
      <c r="O52" s="5">
        <v>1</v>
      </c>
      <c r="P52" s="5">
        <v>1</v>
      </c>
      <c r="Q52" s="5">
        <v>1</v>
      </c>
      <c r="R52" s="5" t="s">
        <v>3</v>
      </c>
      <c r="S52" s="5" t="s">
        <v>3</v>
      </c>
      <c r="T52" s="5" t="s">
        <v>3</v>
      </c>
      <c r="U52" s="5" t="s">
        <v>3</v>
      </c>
      <c r="V52" s="5" t="s">
        <v>3</v>
      </c>
      <c r="W52" s="5" t="s">
        <v>3</v>
      </c>
      <c r="X52" s="5" t="s">
        <v>3</v>
      </c>
      <c r="Y52" s="5" t="s">
        <v>3</v>
      </c>
      <c r="Z52" s="5" t="s">
        <v>3</v>
      </c>
      <c r="AA52" s="5" t="s">
        <v>96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>
        <v>55810630</v>
      </c>
      <c r="AO52" s="5"/>
      <c r="AP52" s="5"/>
      <c r="AQ52" s="5"/>
      <c r="AR52" s="5"/>
      <c r="AS52" s="5"/>
      <c r="AT52" s="5"/>
      <c r="AU52" s="5"/>
      <c r="AV52" s="5"/>
      <c r="AW52" s="5"/>
      <c r="AX52" s="5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87"/>
  <sheetViews>
    <sheetView workbookViewId="0"/>
  </sheetViews>
  <sheetFormatPr defaultColWidth="9.140625" defaultRowHeight="12.75" x14ac:dyDescent="0.2"/>
  <cols>
    <col min="1" max="256" width="9.140625" customWidth="1"/>
  </cols>
  <sheetData>
    <row r="87" spans="9:9" x14ac:dyDescent="0.2">
      <c r="I87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ROW(Source!A24)</f>
        <v>24</v>
      </c>
      <c r="B1">
        <v>55810690</v>
      </c>
      <c r="C1">
        <v>55810687</v>
      </c>
      <c r="D1">
        <v>30359939</v>
      </c>
      <c r="E1">
        <v>27786564</v>
      </c>
      <c r="F1">
        <v>1</v>
      </c>
      <c r="G1">
        <v>27786564</v>
      </c>
      <c r="H1">
        <v>1</v>
      </c>
      <c r="I1" t="s">
        <v>98</v>
      </c>
      <c r="J1" t="s">
        <v>3</v>
      </c>
      <c r="K1" t="s">
        <v>99</v>
      </c>
      <c r="L1">
        <v>1191</v>
      </c>
      <c r="N1">
        <v>1013</v>
      </c>
      <c r="O1" t="s">
        <v>100</v>
      </c>
      <c r="P1" t="s">
        <v>100</v>
      </c>
      <c r="Q1">
        <v>1</v>
      </c>
      <c r="X1">
        <v>454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24</v>
      </c>
      <c r="AG1">
        <v>363.20000000000005</v>
      </c>
      <c r="AH1">
        <v>3</v>
      </c>
      <c r="AI1">
        <v>-1</v>
      </c>
      <c r="AJ1" t="s">
        <v>3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21" x14ac:dyDescent="0.2">
      <c r="A1">
        <v>24</v>
      </c>
      <c r="B1">
        <v>1</v>
      </c>
      <c r="C1" t="s">
        <v>3</v>
      </c>
      <c r="D1" t="s">
        <v>3</v>
      </c>
      <c r="E1" t="s">
        <v>3</v>
      </c>
      <c r="F1" t="s">
        <v>3</v>
      </c>
      <c r="G1" t="s">
        <v>24</v>
      </c>
      <c r="H1" t="s">
        <v>3</v>
      </c>
      <c r="I1" t="s">
        <v>24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3</v>
      </c>
      <c r="Q1" t="s">
        <v>3</v>
      </c>
      <c r="R1" t="s">
        <v>3</v>
      </c>
      <c r="S1" t="s">
        <v>101</v>
      </c>
      <c r="T1" t="s">
        <v>102</v>
      </c>
      <c r="U1" t="s">
        <v>103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47858</v>
      </c>
      <c r="M1">
        <v>10</v>
      </c>
      <c r="N1">
        <v>11</v>
      </c>
      <c r="O1">
        <v>14</v>
      </c>
      <c r="P1">
        <v>0</v>
      </c>
      <c r="Q1">
        <v>1</v>
      </c>
    </row>
    <row r="12" spans="1:103" x14ac:dyDescent="0.2">
      <c r="F12" t="str">
        <f>Source!F12</f>
        <v>09-01-01._(Копия) (ТСН-2001 (Мосгосэкспертиза)) (ТСН-2001 (Мосгосэкспертиза)) (ТСН-2001 (Мосгосэкспертиза)) (ТСН-2001 (Мосгосэкспертиза))</v>
      </c>
      <c r="G12" t="str">
        <f>Source!G12</f>
        <v>09-01-01. ПНР ТП (ТСН-2001 (Мосгосэкспертиза)) (ТСН-2001 (Мосгосэкспертиза))</v>
      </c>
      <c r="AB12" t="s">
        <v>3</v>
      </c>
      <c r="AC12" t="s">
        <v>3</v>
      </c>
      <c r="AD12" t="s">
        <v>3</v>
      </c>
      <c r="AE12" t="s">
        <v>3</v>
      </c>
      <c r="AH12" t="s">
        <v>3</v>
      </c>
      <c r="AI12" t="s">
        <v>3</v>
      </c>
      <c r="CY12">
        <f>Source!CY12</f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доп.67</vt:lpstr>
      <vt:lpstr>Source</vt:lpstr>
      <vt:lpstr>SourceObSm</vt:lpstr>
      <vt:lpstr>SmtRes</vt:lpstr>
      <vt:lpstr>EtalonRes</vt:lpstr>
      <vt:lpstr>SrcPoprs</vt:lpstr>
      <vt:lpstr>SrcKA</vt:lpstr>
      <vt:lpstr>'Смета по ТСН-2001(с доп.67'!Заголовки_для_печати</vt:lpstr>
      <vt:lpstr>'Смета по ТСН-2001(с доп.67'!Область_печати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UserSmeta</cp:lastModifiedBy>
  <dcterms:created xsi:type="dcterms:W3CDTF">2025-08-25T11:38:53Z</dcterms:created>
  <dcterms:modified xsi:type="dcterms:W3CDTF">2025-08-25T13:45:09Z</dcterms:modified>
</cp:coreProperties>
</file>