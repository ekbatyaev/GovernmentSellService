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метный отдел\ЗАПОРОЖЧЕНКО М.Е\290729-ПС-22 Феодосийская зу 7\Замечания\"/>
    </mc:Choice>
  </mc:AlternateContent>
  <xr:revisionPtr revIDLastSave="0" documentId="13_ncr:1_{FE5EA204-20C4-47F8-82AD-342526573589}" xr6:coauthVersionLast="47" xr6:coauthVersionMax="47" xr10:uidLastSave="{00000000-0000-0000-0000-000000000000}"/>
  <bookViews>
    <workbookView xWindow="-120" yWindow="-120" windowWidth="29040" windowHeight="15720" xr2:uid="{1607B13A-CB44-47A2-B15B-EEB6070E5032}"/>
  </bookViews>
  <sheets>
    <sheet name="Смета по ТСН-2001(с доп.43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доп.43'!$27:$27</definedName>
    <definedName name="_xlnm.Print_Area" localSheetId="0">'Смета по ТСН-2001(с доп.43'!$A$1:$K$394</definedName>
  </definedNames>
  <calcPr calcId="191029" iterate="1"/>
</workbook>
</file>

<file path=xl/calcChain.xml><?xml version="1.0" encoding="utf-8"?>
<calcChain xmlns="http://schemas.openxmlformats.org/spreadsheetml/2006/main">
  <c r="H392" i="7" l="1"/>
  <c r="H389" i="7"/>
  <c r="C392" i="7"/>
  <c r="C389" i="7"/>
  <c r="J22" i="7"/>
  <c r="J19" i="7"/>
  <c r="J18" i="7"/>
  <c r="J17" i="7"/>
  <c r="J16" i="7"/>
  <c r="J15" i="7"/>
  <c r="I22" i="7"/>
  <c r="I20" i="7"/>
  <c r="I19" i="7"/>
  <c r="I18" i="7"/>
  <c r="I17" i="7"/>
  <c r="I16" i="7"/>
  <c r="I15" i="7"/>
  <c r="I14" i="7" s="1"/>
  <c r="I386" i="7"/>
  <c r="J386" i="7"/>
  <c r="I385" i="7"/>
  <c r="J385" i="7"/>
  <c r="I383" i="7"/>
  <c r="J383" i="7"/>
  <c r="I382" i="7"/>
  <c r="J382" i="7"/>
  <c r="A381" i="7"/>
  <c r="I379" i="7"/>
  <c r="J379" i="7"/>
  <c r="I378" i="7"/>
  <c r="J378" i="7"/>
  <c r="A377" i="7"/>
  <c r="I375" i="7"/>
  <c r="J375" i="7"/>
  <c r="I374" i="7"/>
  <c r="J374" i="7"/>
  <c r="H373" i="7"/>
  <c r="J373" i="7"/>
  <c r="A373" i="7"/>
  <c r="A371" i="7"/>
  <c r="I369" i="7"/>
  <c r="J369" i="7"/>
  <c r="I368" i="7"/>
  <c r="J368" i="7"/>
  <c r="A367" i="7"/>
  <c r="I363" i="7"/>
  <c r="H363" i="7"/>
  <c r="G363" i="7"/>
  <c r="E363" i="7"/>
  <c r="J362" i="7"/>
  <c r="E362" i="7"/>
  <c r="J361" i="7"/>
  <c r="E361" i="7"/>
  <c r="J360" i="7"/>
  <c r="E360" i="7"/>
  <c r="K359" i="7"/>
  <c r="J359" i="7"/>
  <c r="H359" i="7"/>
  <c r="I359" i="7"/>
  <c r="F359" i="7"/>
  <c r="V359" i="7"/>
  <c r="K362" i="7" s="1"/>
  <c r="T359" i="7"/>
  <c r="R359" i="7"/>
  <c r="U359" i="7"/>
  <c r="S359" i="7"/>
  <c r="Q359" i="7"/>
  <c r="I360" i="7" s="1"/>
  <c r="E359" i="7"/>
  <c r="D359" i="7"/>
  <c r="B359" i="7"/>
  <c r="K358" i="7"/>
  <c r="J358" i="7"/>
  <c r="I358" i="7"/>
  <c r="H358" i="7"/>
  <c r="G358" i="7"/>
  <c r="F358" i="7"/>
  <c r="K357" i="7"/>
  <c r="J357" i="7"/>
  <c r="I357" i="7"/>
  <c r="H357" i="7"/>
  <c r="G357" i="7"/>
  <c r="F357" i="7"/>
  <c r="K356" i="7"/>
  <c r="J356" i="7"/>
  <c r="I356" i="7"/>
  <c r="H356" i="7"/>
  <c r="G356" i="7"/>
  <c r="F356" i="7"/>
  <c r="K355" i="7"/>
  <c r="J355" i="7"/>
  <c r="I355" i="7"/>
  <c r="H355" i="7"/>
  <c r="G355" i="7"/>
  <c r="F355" i="7"/>
  <c r="C354" i="7"/>
  <c r="V353" i="7"/>
  <c r="T353" i="7"/>
  <c r="R353" i="7"/>
  <c r="U353" i="7"/>
  <c r="S353" i="7"/>
  <c r="Q353" i="7"/>
  <c r="E353" i="7"/>
  <c r="D353" i="7"/>
  <c r="I350" i="7"/>
  <c r="H350" i="7"/>
  <c r="G350" i="7"/>
  <c r="E350" i="7"/>
  <c r="J349" i="7"/>
  <c r="E349" i="7"/>
  <c r="J348" i="7"/>
  <c r="E348" i="7"/>
  <c r="J347" i="7"/>
  <c r="E347" i="7"/>
  <c r="K346" i="7"/>
  <c r="J346" i="7"/>
  <c r="H346" i="7"/>
  <c r="I346" i="7"/>
  <c r="F346" i="7"/>
  <c r="V346" i="7"/>
  <c r="T346" i="7"/>
  <c r="R346" i="7"/>
  <c r="U346" i="7"/>
  <c r="S346" i="7"/>
  <c r="Q346" i="7"/>
  <c r="E346" i="7"/>
  <c r="D346" i="7"/>
  <c r="K345" i="7"/>
  <c r="J345" i="7"/>
  <c r="I345" i="7"/>
  <c r="H345" i="7"/>
  <c r="G345" i="7"/>
  <c r="F345" i="7"/>
  <c r="K344" i="7"/>
  <c r="J344" i="7"/>
  <c r="I344" i="7"/>
  <c r="H344" i="7"/>
  <c r="G344" i="7"/>
  <c r="F344" i="7"/>
  <c r="K343" i="7"/>
  <c r="J343" i="7"/>
  <c r="I343" i="7"/>
  <c r="H343" i="7"/>
  <c r="G343" i="7"/>
  <c r="F343" i="7"/>
  <c r="C342" i="7"/>
  <c r="V341" i="7"/>
  <c r="T341" i="7"/>
  <c r="R341" i="7"/>
  <c r="U341" i="7"/>
  <c r="I349" i="7" s="1"/>
  <c r="S341" i="7"/>
  <c r="I348" i="7" s="1"/>
  <c r="Q341" i="7"/>
  <c r="E341" i="7"/>
  <c r="D341" i="7"/>
  <c r="I338" i="7"/>
  <c r="H338" i="7"/>
  <c r="G338" i="7"/>
  <c r="E338" i="7"/>
  <c r="J337" i="7"/>
  <c r="E337" i="7"/>
  <c r="J336" i="7"/>
  <c r="E336" i="7"/>
  <c r="J335" i="7"/>
  <c r="E335" i="7"/>
  <c r="K334" i="7"/>
  <c r="J334" i="7"/>
  <c r="H334" i="7"/>
  <c r="I334" i="7"/>
  <c r="F334" i="7"/>
  <c r="V334" i="7"/>
  <c r="T334" i="7"/>
  <c r="R334" i="7"/>
  <c r="U334" i="7"/>
  <c r="S334" i="7"/>
  <c r="Q334" i="7"/>
  <c r="E334" i="7"/>
  <c r="D334" i="7"/>
  <c r="B334" i="7"/>
  <c r="K333" i="7"/>
  <c r="J333" i="7"/>
  <c r="I333" i="7"/>
  <c r="H333" i="7"/>
  <c r="G333" i="7"/>
  <c r="F333" i="7"/>
  <c r="K332" i="7"/>
  <c r="J332" i="7"/>
  <c r="I332" i="7"/>
  <c r="H332" i="7"/>
  <c r="G332" i="7"/>
  <c r="F332" i="7"/>
  <c r="K331" i="7"/>
  <c r="J331" i="7"/>
  <c r="I331" i="7"/>
  <c r="H331" i="7"/>
  <c r="G331" i="7"/>
  <c r="F331" i="7"/>
  <c r="K330" i="7"/>
  <c r="J330" i="7"/>
  <c r="I330" i="7"/>
  <c r="H330" i="7"/>
  <c r="G330" i="7"/>
  <c r="F330" i="7"/>
  <c r="C329" i="7"/>
  <c r="V328" i="7"/>
  <c r="T328" i="7"/>
  <c r="R328" i="7"/>
  <c r="U328" i="7"/>
  <c r="S328" i="7"/>
  <c r="Q328" i="7"/>
  <c r="E328" i="7"/>
  <c r="D328" i="7"/>
  <c r="I325" i="7"/>
  <c r="H325" i="7"/>
  <c r="G325" i="7"/>
  <c r="E325" i="7"/>
  <c r="J324" i="7"/>
  <c r="E324" i="7"/>
  <c r="J323" i="7"/>
  <c r="E323" i="7"/>
  <c r="J322" i="7"/>
  <c r="E322" i="7"/>
  <c r="K321" i="7"/>
  <c r="J321" i="7"/>
  <c r="H321" i="7"/>
  <c r="I321" i="7"/>
  <c r="F321" i="7"/>
  <c r="V321" i="7"/>
  <c r="T321" i="7"/>
  <c r="R321" i="7"/>
  <c r="U321" i="7"/>
  <c r="S321" i="7"/>
  <c r="Q321" i="7"/>
  <c r="E321" i="7"/>
  <c r="D321" i="7"/>
  <c r="B321" i="7"/>
  <c r="K320" i="7"/>
  <c r="J320" i="7"/>
  <c r="I320" i="7"/>
  <c r="H320" i="7"/>
  <c r="G320" i="7"/>
  <c r="F320" i="7"/>
  <c r="K319" i="7"/>
  <c r="J319" i="7"/>
  <c r="I319" i="7"/>
  <c r="H319" i="7"/>
  <c r="G319" i="7"/>
  <c r="F319" i="7"/>
  <c r="K318" i="7"/>
  <c r="J318" i="7"/>
  <c r="I318" i="7"/>
  <c r="H318" i="7"/>
  <c r="G318" i="7"/>
  <c r="F318" i="7"/>
  <c r="K317" i="7"/>
  <c r="J317" i="7"/>
  <c r="I317" i="7"/>
  <c r="H317" i="7"/>
  <c r="G317" i="7"/>
  <c r="F317" i="7"/>
  <c r="C316" i="7"/>
  <c r="V315" i="7"/>
  <c r="T315" i="7"/>
  <c r="R315" i="7"/>
  <c r="U315" i="7"/>
  <c r="S315" i="7"/>
  <c r="Q315" i="7"/>
  <c r="E315" i="7"/>
  <c r="D315" i="7"/>
  <c r="I312" i="7"/>
  <c r="H312" i="7"/>
  <c r="G312" i="7"/>
  <c r="E312" i="7"/>
  <c r="J311" i="7"/>
  <c r="E311" i="7"/>
  <c r="J310" i="7"/>
  <c r="E310" i="7"/>
  <c r="K309" i="7"/>
  <c r="J309" i="7"/>
  <c r="H309" i="7"/>
  <c r="I309" i="7"/>
  <c r="F309" i="7"/>
  <c r="V309" i="7"/>
  <c r="T309" i="7"/>
  <c r="R309" i="7"/>
  <c r="U309" i="7"/>
  <c r="S309" i="7"/>
  <c r="Q309" i="7"/>
  <c r="E309" i="7"/>
  <c r="D309" i="7"/>
  <c r="B309" i="7"/>
  <c r="K308" i="7"/>
  <c r="J308" i="7"/>
  <c r="I308" i="7"/>
  <c r="H308" i="7"/>
  <c r="G308" i="7"/>
  <c r="F308" i="7"/>
  <c r="K307" i="7"/>
  <c r="J307" i="7"/>
  <c r="I307" i="7"/>
  <c r="H307" i="7"/>
  <c r="G307" i="7"/>
  <c r="F307" i="7"/>
  <c r="C306" i="7"/>
  <c r="V305" i="7"/>
  <c r="T305" i="7"/>
  <c r="R305" i="7"/>
  <c r="U305" i="7"/>
  <c r="S305" i="7"/>
  <c r="Q305" i="7"/>
  <c r="E305" i="7"/>
  <c r="D305" i="7"/>
  <c r="I302" i="7"/>
  <c r="H302" i="7"/>
  <c r="G302" i="7"/>
  <c r="E302" i="7"/>
  <c r="J301" i="7"/>
  <c r="E301" i="7"/>
  <c r="J300" i="7"/>
  <c r="E300" i="7"/>
  <c r="J299" i="7"/>
  <c r="E299" i="7"/>
  <c r="K298" i="7"/>
  <c r="J298" i="7"/>
  <c r="H298" i="7"/>
  <c r="I298" i="7"/>
  <c r="F298" i="7"/>
  <c r="V298" i="7"/>
  <c r="K301" i="7" s="1"/>
  <c r="T298" i="7"/>
  <c r="R298" i="7"/>
  <c r="U298" i="7"/>
  <c r="S298" i="7"/>
  <c r="I300" i="7" s="1"/>
  <c r="Q298" i="7"/>
  <c r="I299" i="7" s="1"/>
  <c r="E298" i="7"/>
  <c r="D298" i="7"/>
  <c r="B298" i="7"/>
  <c r="K297" i="7"/>
  <c r="J297" i="7"/>
  <c r="I297" i="7"/>
  <c r="H297" i="7"/>
  <c r="G297" i="7"/>
  <c r="F297" i="7"/>
  <c r="K296" i="7"/>
  <c r="J296" i="7"/>
  <c r="I296" i="7"/>
  <c r="H296" i="7"/>
  <c r="G296" i="7"/>
  <c r="F296" i="7"/>
  <c r="K295" i="7"/>
  <c r="J295" i="7"/>
  <c r="I295" i="7"/>
  <c r="H295" i="7"/>
  <c r="G295" i="7"/>
  <c r="F295" i="7"/>
  <c r="K294" i="7"/>
  <c r="J294" i="7"/>
  <c r="I294" i="7"/>
  <c r="H294" i="7"/>
  <c r="G294" i="7"/>
  <c r="F294" i="7"/>
  <c r="C293" i="7"/>
  <c r="V292" i="7"/>
  <c r="T292" i="7"/>
  <c r="R292" i="7"/>
  <c r="U292" i="7"/>
  <c r="S292" i="7"/>
  <c r="Q292" i="7"/>
  <c r="E292" i="7"/>
  <c r="D292" i="7"/>
  <c r="I289" i="7"/>
  <c r="H289" i="7"/>
  <c r="G289" i="7"/>
  <c r="E289" i="7"/>
  <c r="J288" i="7"/>
  <c r="E288" i="7"/>
  <c r="J287" i="7"/>
  <c r="E287" i="7"/>
  <c r="J286" i="7"/>
  <c r="E286" i="7"/>
  <c r="K285" i="7"/>
  <c r="J285" i="7"/>
  <c r="H285" i="7"/>
  <c r="I285" i="7"/>
  <c r="F285" i="7"/>
  <c r="V285" i="7"/>
  <c r="T285" i="7"/>
  <c r="R285" i="7"/>
  <c r="U285" i="7"/>
  <c r="I288" i="7" s="1"/>
  <c r="S285" i="7"/>
  <c r="Q285" i="7"/>
  <c r="E285" i="7"/>
  <c r="D285" i="7"/>
  <c r="B285" i="7"/>
  <c r="K284" i="7"/>
  <c r="J284" i="7"/>
  <c r="I284" i="7"/>
  <c r="H284" i="7"/>
  <c r="G284" i="7"/>
  <c r="F284" i="7"/>
  <c r="K283" i="7"/>
  <c r="J283" i="7"/>
  <c r="I283" i="7"/>
  <c r="H283" i="7"/>
  <c r="G283" i="7"/>
  <c r="F283" i="7"/>
  <c r="K282" i="7"/>
  <c r="J282" i="7"/>
  <c r="I282" i="7"/>
  <c r="H282" i="7"/>
  <c r="G282" i="7"/>
  <c r="F282" i="7"/>
  <c r="K281" i="7"/>
  <c r="J281" i="7"/>
  <c r="I281" i="7"/>
  <c r="H281" i="7"/>
  <c r="G281" i="7"/>
  <c r="F281" i="7"/>
  <c r="C280" i="7"/>
  <c r="V279" i="7"/>
  <c r="T279" i="7"/>
  <c r="R279" i="7"/>
  <c r="U279" i="7"/>
  <c r="S279" i="7"/>
  <c r="Q279" i="7"/>
  <c r="E279" i="7"/>
  <c r="D279" i="7"/>
  <c r="J276" i="7"/>
  <c r="E276" i="7"/>
  <c r="K275" i="7"/>
  <c r="J275" i="7"/>
  <c r="I275" i="7"/>
  <c r="H275" i="7"/>
  <c r="G275" i="7"/>
  <c r="F275" i="7"/>
  <c r="K274" i="7"/>
  <c r="J274" i="7"/>
  <c r="I274" i="7"/>
  <c r="H274" i="7"/>
  <c r="G274" i="7"/>
  <c r="F274" i="7"/>
  <c r="C273" i="7"/>
  <c r="V272" i="7"/>
  <c r="K276" i="7" s="1"/>
  <c r="J277" i="7" s="1"/>
  <c r="T272" i="7"/>
  <c r="R272" i="7"/>
  <c r="U272" i="7"/>
  <c r="I276" i="7" s="1"/>
  <c r="S272" i="7"/>
  <c r="Q272" i="7"/>
  <c r="E272" i="7"/>
  <c r="D272" i="7"/>
  <c r="I269" i="7"/>
  <c r="H269" i="7"/>
  <c r="G269" i="7"/>
  <c r="E269" i="7"/>
  <c r="J268" i="7"/>
  <c r="E268" i="7"/>
  <c r="J267" i="7"/>
  <c r="E267" i="7"/>
  <c r="J266" i="7"/>
  <c r="E266" i="7"/>
  <c r="K265" i="7"/>
  <c r="J265" i="7"/>
  <c r="I265" i="7"/>
  <c r="H265" i="7"/>
  <c r="G265" i="7"/>
  <c r="F265" i="7"/>
  <c r="K264" i="7"/>
  <c r="J264" i="7"/>
  <c r="I264" i="7"/>
  <c r="H264" i="7"/>
  <c r="G264" i="7"/>
  <c r="F264" i="7"/>
  <c r="K263" i="7"/>
  <c r="J263" i="7"/>
  <c r="I263" i="7"/>
  <c r="H263" i="7"/>
  <c r="G263" i="7"/>
  <c r="F263" i="7"/>
  <c r="C262" i="7"/>
  <c r="V261" i="7"/>
  <c r="K268" i="7" s="1"/>
  <c r="T261" i="7"/>
  <c r="K267" i="7" s="1"/>
  <c r="R261" i="7"/>
  <c r="K266" i="7" s="1"/>
  <c r="U261" i="7"/>
  <c r="I268" i="7" s="1"/>
  <c r="S261" i="7"/>
  <c r="I267" i="7" s="1"/>
  <c r="Q261" i="7"/>
  <c r="I266" i="7" s="1"/>
  <c r="E261" i="7"/>
  <c r="D261" i="7"/>
  <c r="I258" i="7"/>
  <c r="H258" i="7"/>
  <c r="G258" i="7"/>
  <c r="E258" i="7"/>
  <c r="J257" i="7"/>
  <c r="E257" i="7"/>
  <c r="J256" i="7"/>
  <c r="E256" i="7"/>
  <c r="J255" i="7"/>
  <c r="E255" i="7"/>
  <c r="K254" i="7"/>
  <c r="J254" i="7"/>
  <c r="I254" i="7"/>
  <c r="H254" i="7"/>
  <c r="G254" i="7"/>
  <c r="F254" i="7"/>
  <c r="K253" i="7"/>
  <c r="J253" i="7"/>
  <c r="I253" i="7"/>
  <c r="H253" i="7"/>
  <c r="G253" i="7"/>
  <c r="F253" i="7"/>
  <c r="K252" i="7"/>
  <c r="J252" i="7"/>
  <c r="I252" i="7"/>
  <c r="H252" i="7"/>
  <c r="G252" i="7"/>
  <c r="F252" i="7"/>
  <c r="C251" i="7"/>
  <c r="V250" i="7"/>
  <c r="K257" i="7" s="1"/>
  <c r="T250" i="7"/>
  <c r="K256" i="7" s="1"/>
  <c r="R250" i="7"/>
  <c r="K255" i="7" s="1"/>
  <c r="U250" i="7"/>
  <c r="I257" i="7" s="1"/>
  <c r="S250" i="7"/>
  <c r="I256" i="7" s="1"/>
  <c r="Q250" i="7"/>
  <c r="I255" i="7" s="1"/>
  <c r="E250" i="7"/>
  <c r="D250" i="7"/>
  <c r="A249" i="7"/>
  <c r="I247" i="7"/>
  <c r="J247" i="7"/>
  <c r="I246" i="7"/>
  <c r="J246" i="7"/>
  <c r="A245" i="7"/>
  <c r="I241" i="7"/>
  <c r="H241" i="7"/>
  <c r="G241" i="7"/>
  <c r="E241" i="7"/>
  <c r="J240" i="7"/>
  <c r="E240" i="7"/>
  <c r="J239" i="7"/>
  <c r="E239" i="7"/>
  <c r="K238" i="7"/>
  <c r="J238" i="7"/>
  <c r="H238" i="7"/>
  <c r="I238" i="7"/>
  <c r="F238" i="7"/>
  <c r="V238" i="7"/>
  <c r="T238" i="7"/>
  <c r="R238" i="7"/>
  <c r="U238" i="7"/>
  <c r="S238" i="7"/>
  <c r="Q238" i="7"/>
  <c r="E238" i="7"/>
  <c r="D238" i="7"/>
  <c r="B238" i="7"/>
  <c r="K237" i="7"/>
  <c r="J237" i="7"/>
  <c r="I237" i="7"/>
  <c r="H237" i="7"/>
  <c r="G237" i="7"/>
  <c r="F237" i="7"/>
  <c r="K236" i="7"/>
  <c r="J236" i="7"/>
  <c r="I236" i="7"/>
  <c r="H236" i="7"/>
  <c r="G236" i="7"/>
  <c r="F236" i="7"/>
  <c r="C235" i="7"/>
  <c r="V234" i="7"/>
  <c r="T234" i="7"/>
  <c r="R234" i="7"/>
  <c r="K239" i="7" s="1"/>
  <c r="U234" i="7"/>
  <c r="S234" i="7"/>
  <c r="Q234" i="7"/>
  <c r="E234" i="7"/>
  <c r="D234" i="7"/>
  <c r="I231" i="7"/>
  <c r="H231" i="7"/>
  <c r="G231" i="7"/>
  <c r="E231" i="7"/>
  <c r="J230" i="7"/>
  <c r="E230" i="7"/>
  <c r="J229" i="7"/>
  <c r="E229" i="7"/>
  <c r="K228" i="7"/>
  <c r="J228" i="7"/>
  <c r="H228" i="7"/>
  <c r="I228" i="7"/>
  <c r="F228" i="7"/>
  <c r="V228" i="7"/>
  <c r="T228" i="7"/>
  <c r="R228" i="7"/>
  <c r="U228" i="7"/>
  <c r="S228" i="7"/>
  <c r="Q228" i="7"/>
  <c r="E228" i="7"/>
  <c r="D228" i="7"/>
  <c r="B228" i="7"/>
  <c r="K227" i="7"/>
  <c r="J227" i="7"/>
  <c r="I227" i="7"/>
  <c r="H227" i="7"/>
  <c r="G227" i="7"/>
  <c r="F227" i="7"/>
  <c r="C226" i="7"/>
  <c r="V225" i="7"/>
  <c r="T225" i="7"/>
  <c r="R225" i="7"/>
  <c r="K229" i="7" s="1"/>
  <c r="U225" i="7"/>
  <c r="S225" i="7"/>
  <c r="Q225" i="7"/>
  <c r="E225" i="7"/>
  <c r="D225" i="7"/>
  <c r="I222" i="7"/>
  <c r="H222" i="7"/>
  <c r="G222" i="7"/>
  <c r="E222" i="7"/>
  <c r="J221" i="7"/>
  <c r="E221" i="7"/>
  <c r="J220" i="7"/>
  <c r="E220" i="7"/>
  <c r="K219" i="7"/>
  <c r="J219" i="7"/>
  <c r="H219" i="7"/>
  <c r="I219" i="7"/>
  <c r="F219" i="7"/>
  <c r="V219" i="7"/>
  <c r="T219" i="7"/>
  <c r="R219" i="7"/>
  <c r="U219" i="7"/>
  <c r="S219" i="7"/>
  <c r="Q219" i="7"/>
  <c r="E219" i="7"/>
  <c r="D219" i="7"/>
  <c r="B219" i="7"/>
  <c r="K218" i="7"/>
  <c r="J218" i="7"/>
  <c r="I218" i="7"/>
  <c r="H218" i="7"/>
  <c r="G218" i="7"/>
  <c r="F218" i="7"/>
  <c r="C217" i="7"/>
  <c r="V216" i="7"/>
  <c r="T216" i="7"/>
  <c r="K221" i="7" s="1"/>
  <c r="R216" i="7"/>
  <c r="U216" i="7"/>
  <c r="S216" i="7"/>
  <c r="Q216" i="7"/>
  <c r="E216" i="7"/>
  <c r="D216" i="7"/>
  <c r="I213" i="7"/>
  <c r="H213" i="7"/>
  <c r="G213" i="7"/>
  <c r="E213" i="7"/>
  <c r="J212" i="7"/>
  <c r="E212" i="7"/>
  <c r="J211" i="7"/>
  <c r="E211" i="7"/>
  <c r="J210" i="7"/>
  <c r="E210" i="7"/>
  <c r="K209" i="7"/>
  <c r="J209" i="7"/>
  <c r="H209" i="7"/>
  <c r="I209" i="7"/>
  <c r="F209" i="7"/>
  <c r="V209" i="7"/>
  <c r="T209" i="7"/>
  <c r="R209" i="7"/>
  <c r="U209" i="7"/>
  <c r="S209" i="7"/>
  <c r="Q209" i="7"/>
  <c r="E209" i="7"/>
  <c r="D209" i="7"/>
  <c r="B209" i="7"/>
  <c r="K208" i="7"/>
  <c r="J208" i="7"/>
  <c r="I208" i="7"/>
  <c r="H208" i="7"/>
  <c r="G208" i="7"/>
  <c r="F208" i="7"/>
  <c r="K207" i="7"/>
  <c r="J207" i="7"/>
  <c r="I207" i="7"/>
  <c r="H207" i="7"/>
  <c r="G207" i="7"/>
  <c r="F207" i="7"/>
  <c r="K206" i="7"/>
  <c r="J206" i="7"/>
  <c r="I206" i="7"/>
  <c r="H206" i="7"/>
  <c r="G206" i="7"/>
  <c r="F206" i="7"/>
  <c r="C205" i="7"/>
  <c r="V204" i="7"/>
  <c r="T204" i="7"/>
  <c r="R204" i="7"/>
  <c r="U204" i="7"/>
  <c r="S204" i="7"/>
  <c r="I211" i="7" s="1"/>
  <c r="Q204" i="7"/>
  <c r="I210" i="7" s="1"/>
  <c r="E204" i="7"/>
  <c r="D204" i="7"/>
  <c r="A203" i="7"/>
  <c r="A201" i="7"/>
  <c r="I199" i="7"/>
  <c r="J199" i="7"/>
  <c r="I198" i="7"/>
  <c r="J198" i="7"/>
  <c r="A197" i="7"/>
  <c r="C193" i="7"/>
  <c r="K192" i="7"/>
  <c r="P194" i="7" s="1"/>
  <c r="J192" i="7"/>
  <c r="I192" i="7"/>
  <c r="H194" i="7" s="1"/>
  <c r="H192" i="7"/>
  <c r="G192" i="7"/>
  <c r="F192" i="7"/>
  <c r="V192" i="7"/>
  <c r="T192" i="7"/>
  <c r="R192" i="7"/>
  <c r="U192" i="7"/>
  <c r="S192" i="7"/>
  <c r="Q192" i="7"/>
  <c r="E192" i="7"/>
  <c r="D192" i="7"/>
  <c r="I189" i="7"/>
  <c r="H189" i="7"/>
  <c r="G189" i="7"/>
  <c r="E189" i="7"/>
  <c r="J188" i="7"/>
  <c r="E188" i="7"/>
  <c r="J187" i="7"/>
  <c r="E187" i="7"/>
  <c r="J186" i="7"/>
  <c r="E186" i="7"/>
  <c r="K185" i="7"/>
  <c r="J185" i="7"/>
  <c r="I185" i="7"/>
  <c r="H185" i="7"/>
  <c r="G185" i="7"/>
  <c r="F185" i="7"/>
  <c r="K184" i="7"/>
  <c r="J184" i="7"/>
  <c r="I184" i="7"/>
  <c r="H184" i="7"/>
  <c r="G184" i="7"/>
  <c r="F184" i="7"/>
  <c r="K183" i="7"/>
  <c r="J183" i="7"/>
  <c r="I183" i="7"/>
  <c r="H183" i="7"/>
  <c r="G183" i="7"/>
  <c r="F183" i="7"/>
  <c r="K182" i="7"/>
  <c r="J182" i="7"/>
  <c r="I182" i="7"/>
  <c r="H182" i="7"/>
  <c r="G182" i="7"/>
  <c r="F182" i="7"/>
  <c r="C181" i="7"/>
  <c r="V180" i="7"/>
  <c r="K188" i="7" s="1"/>
  <c r="T180" i="7"/>
  <c r="K187" i="7" s="1"/>
  <c r="R180" i="7"/>
  <c r="K186" i="7" s="1"/>
  <c r="U180" i="7"/>
  <c r="I188" i="7" s="1"/>
  <c r="S180" i="7"/>
  <c r="I187" i="7" s="1"/>
  <c r="Q180" i="7"/>
  <c r="I186" i="7" s="1"/>
  <c r="E180" i="7"/>
  <c r="D180" i="7"/>
  <c r="I177" i="7"/>
  <c r="H177" i="7"/>
  <c r="G177" i="7"/>
  <c r="E177" i="7"/>
  <c r="J176" i="7"/>
  <c r="E176" i="7"/>
  <c r="J175" i="7"/>
  <c r="E175" i="7"/>
  <c r="J174" i="7"/>
  <c r="E174" i="7"/>
  <c r="K173" i="7"/>
  <c r="J173" i="7"/>
  <c r="I173" i="7"/>
  <c r="H173" i="7"/>
  <c r="G173" i="7"/>
  <c r="F173" i="7"/>
  <c r="K172" i="7"/>
  <c r="J172" i="7"/>
  <c r="I172" i="7"/>
  <c r="H172" i="7"/>
  <c r="G172" i="7"/>
  <c r="F172" i="7"/>
  <c r="K171" i="7"/>
  <c r="J171" i="7"/>
  <c r="I171" i="7"/>
  <c r="H171" i="7"/>
  <c r="G171" i="7"/>
  <c r="F171" i="7"/>
  <c r="K170" i="7"/>
  <c r="J170" i="7"/>
  <c r="I170" i="7"/>
  <c r="H170" i="7"/>
  <c r="G170" i="7"/>
  <c r="F170" i="7"/>
  <c r="C169" i="7"/>
  <c r="V168" i="7"/>
  <c r="K176" i="7" s="1"/>
  <c r="T168" i="7"/>
  <c r="K175" i="7" s="1"/>
  <c r="R168" i="7"/>
  <c r="K174" i="7" s="1"/>
  <c r="U168" i="7"/>
  <c r="I176" i="7" s="1"/>
  <c r="S168" i="7"/>
  <c r="I175" i="7" s="1"/>
  <c r="Q168" i="7"/>
  <c r="I174" i="7" s="1"/>
  <c r="E168" i="7"/>
  <c r="D168" i="7"/>
  <c r="C165" i="7"/>
  <c r="K164" i="7"/>
  <c r="J164" i="7"/>
  <c r="I164" i="7"/>
  <c r="H164" i="7"/>
  <c r="G164" i="7"/>
  <c r="F164" i="7"/>
  <c r="V164" i="7"/>
  <c r="T164" i="7"/>
  <c r="R164" i="7"/>
  <c r="U164" i="7"/>
  <c r="S164" i="7"/>
  <c r="Q164" i="7"/>
  <c r="E164" i="7"/>
  <c r="D164" i="7"/>
  <c r="B164" i="7"/>
  <c r="I161" i="7"/>
  <c r="H161" i="7"/>
  <c r="G161" i="7"/>
  <c r="E161" i="7"/>
  <c r="J160" i="7"/>
  <c r="E160" i="7"/>
  <c r="J159" i="7"/>
  <c r="E159" i="7"/>
  <c r="J158" i="7"/>
  <c r="E158" i="7"/>
  <c r="K157" i="7"/>
  <c r="J157" i="7"/>
  <c r="I157" i="7"/>
  <c r="H157" i="7"/>
  <c r="G157" i="7"/>
  <c r="F157" i="7"/>
  <c r="K156" i="7"/>
  <c r="J156" i="7"/>
  <c r="I156" i="7"/>
  <c r="H156" i="7"/>
  <c r="G156" i="7"/>
  <c r="F156" i="7"/>
  <c r="K155" i="7"/>
  <c r="J155" i="7"/>
  <c r="I155" i="7"/>
  <c r="H155" i="7"/>
  <c r="G155" i="7"/>
  <c r="F155" i="7"/>
  <c r="K154" i="7"/>
  <c r="J154" i="7"/>
  <c r="I154" i="7"/>
  <c r="H154" i="7"/>
  <c r="G154" i="7"/>
  <c r="F154" i="7"/>
  <c r="C153" i="7"/>
  <c r="V152" i="7"/>
  <c r="K160" i="7" s="1"/>
  <c r="T152" i="7"/>
  <c r="K159" i="7" s="1"/>
  <c r="R152" i="7"/>
  <c r="K158" i="7" s="1"/>
  <c r="U152" i="7"/>
  <c r="I160" i="7" s="1"/>
  <c r="S152" i="7"/>
  <c r="I159" i="7" s="1"/>
  <c r="Q152" i="7"/>
  <c r="I158" i="7" s="1"/>
  <c r="E152" i="7"/>
  <c r="D152" i="7"/>
  <c r="I149" i="7"/>
  <c r="H149" i="7"/>
  <c r="G149" i="7"/>
  <c r="E149" i="7"/>
  <c r="J148" i="7"/>
  <c r="E148" i="7"/>
  <c r="K147" i="7"/>
  <c r="J147" i="7"/>
  <c r="E147" i="7"/>
  <c r="J146" i="7"/>
  <c r="E146" i="7"/>
  <c r="K145" i="7"/>
  <c r="J145" i="7"/>
  <c r="I145" i="7"/>
  <c r="H145" i="7"/>
  <c r="G145" i="7"/>
  <c r="F145" i="7"/>
  <c r="K144" i="7"/>
  <c r="J144" i="7"/>
  <c r="I144" i="7"/>
  <c r="H144" i="7"/>
  <c r="G144" i="7"/>
  <c r="F144" i="7"/>
  <c r="K143" i="7"/>
  <c r="J143" i="7"/>
  <c r="I143" i="7"/>
  <c r="H143" i="7"/>
  <c r="G143" i="7"/>
  <c r="F143" i="7"/>
  <c r="K142" i="7"/>
  <c r="J142" i="7"/>
  <c r="I142" i="7"/>
  <c r="H142" i="7"/>
  <c r="G142" i="7"/>
  <c r="F142" i="7"/>
  <c r="C141" i="7"/>
  <c r="V140" i="7"/>
  <c r="K148" i="7" s="1"/>
  <c r="T140" i="7"/>
  <c r="R140" i="7"/>
  <c r="K146" i="7" s="1"/>
  <c r="U140" i="7"/>
  <c r="I148" i="7" s="1"/>
  <c r="S140" i="7"/>
  <c r="I147" i="7" s="1"/>
  <c r="Q140" i="7"/>
  <c r="I146" i="7" s="1"/>
  <c r="E140" i="7"/>
  <c r="D140" i="7"/>
  <c r="A139" i="7"/>
  <c r="I137" i="7"/>
  <c r="J137" i="7"/>
  <c r="I136" i="7"/>
  <c r="J136" i="7"/>
  <c r="A135" i="7"/>
  <c r="K131" i="7"/>
  <c r="P132" i="7" s="1"/>
  <c r="J131" i="7"/>
  <c r="I131" i="7"/>
  <c r="H132" i="7" s="1"/>
  <c r="H131" i="7"/>
  <c r="G131" i="7"/>
  <c r="F131" i="7"/>
  <c r="V131" i="7"/>
  <c r="T131" i="7"/>
  <c r="R131" i="7"/>
  <c r="U131" i="7"/>
  <c r="S131" i="7"/>
  <c r="Q131" i="7"/>
  <c r="E131" i="7"/>
  <c r="D131" i="7"/>
  <c r="K128" i="7"/>
  <c r="P129" i="7" s="1"/>
  <c r="J128" i="7"/>
  <c r="I128" i="7"/>
  <c r="O129" i="7" s="1"/>
  <c r="H128" i="7"/>
  <c r="G128" i="7"/>
  <c r="F128" i="7"/>
  <c r="V128" i="7"/>
  <c r="T128" i="7"/>
  <c r="R128" i="7"/>
  <c r="U128" i="7"/>
  <c r="S128" i="7"/>
  <c r="Q128" i="7"/>
  <c r="E128" i="7"/>
  <c r="D128" i="7"/>
  <c r="K125" i="7"/>
  <c r="P126" i="7" s="1"/>
  <c r="J125" i="7"/>
  <c r="I125" i="7"/>
  <c r="O126" i="7" s="1"/>
  <c r="H125" i="7"/>
  <c r="G125" i="7"/>
  <c r="F125" i="7"/>
  <c r="V125" i="7"/>
  <c r="T125" i="7"/>
  <c r="R125" i="7"/>
  <c r="U125" i="7"/>
  <c r="S125" i="7"/>
  <c r="Q125" i="7"/>
  <c r="E125" i="7"/>
  <c r="D125" i="7"/>
  <c r="I122" i="7"/>
  <c r="H122" i="7"/>
  <c r="G122" i="7"/>
  <c r="E122" i="7"/>
  <c r="J121" i="7"/>
  <c r="E121" i="7"/>
  <c r="J120" i="7"/>
  <c r="E120" i="7"/>
  <c r="J119" i="7"/>
  <c r="E119" i="7"/>
  <c r="K118" i="7"/>
  <c r="J118" i="7"/>
  <c r="I118" i="7"/>
  <c r="H118" i="7"/>
  <c r="G118" i="7"/>
  <c r="F118" i="7"/>
  <c r="K117" i="7"/>
  <c r="J117" i="7"/>
  <c r="I117" i="7"/>
  <c r="H117" i="7"/>
  <c r="G117" i="7"/>
  <c r="F117" i="7"/>
  <c r="K116" i="7"/>
  <c r="J116" i="7"/>
  <c r="I116" i="7"/>
  <c r="H116" i="7"/>
  <c r="G116" i="7"/>
  <c r="F116" i="7"/>
  <c r="C115" i="7"/>
  <c r="V114" i="7"/>
  <c r="K121" i="7" s="1"/>
  <c r="T114" i="7"/>
  <c r="K120" i="7" s="1"/>
  <c r="R114" i="7"/>
  <c r="K119" i="7" s="1"/>
  <c r="U114" i="7"/>
  <c r="I121" i="7" s="1"/>
  <c r="S114" i="7"/>
  <c r="I120" i="7" s="1"/>
  <c r="Q114" i="7"/>
  <c r="I119" i="7" s="1"/>
  <c r="E114" i="7"/>
  <c r="D114" i="7"/>
  <c r="I111" i="7"/>
  <c r="H111" i="7"/>
  <c r="G111" i="7"/>
  <c r="E111" i="7"/>
  <c r="J110" i="7"/>
  <c r="E110" i="7"/>
  <c r="J109" i="7"/>
  <c r="E109" i="7"/>
  <c r="J108" i="7"/>
  <c r="E108" i="7"/>
  <c r="K107" i="7"/>
  <c r="J107" i="7"/>
  <c r="I107" i="7"/>
  <c r="H107" i="7"/>
  <c r="G107" i="7"/>
  <c r="F107" i="7"/>
  <c r="K106" i="7"/>
  <c r="J106" i="7"/>
  <c r="I106" i="7"/>
  <c r="H106" i="7"/>
  <c r="G106" i="7"/>
  <c r="F106" i="7"/>
  <c r="K105" i="7"/>
  <c r="J105" i="7"/>
  <c r="I105" i="7"/>
  <c r="H105" i="7"/>
  <c r="G105" i="7"/>
  <c r="F105" i="7"/>
  <c r="C104" i="7"/>
  <c r="V103" i="7"/>
  <c r="K110" i="7" s="1"/>
  <c r="T103" i="7"/>
  <c r="K109" i="7" s="1"/>
  <c r="R103" i="7"/>
  <c r="K108" i="7" s="1"/>
  <c r="U103" i="7"/>
  <c r="I110" i="7" s="1"/>
  <c r="S103" i="7"/>
  <c r="I109" i="7" s="1"/>
  <c r="Q103" i="7"/>
  <c r="I108" i="7" s="1"/>
  <c r="E103" i="7"/>
  <c r="D103" i="7"/>
  <c r="I100" i="7"/>
  <c r="H100" i="7"/>
  <c r="G100" i="7"/>
  <c r="E100" i="7"/>
  <c r="J99" i="7"/>
  <c r="E99" i="7"/>
  <c r="J98" i="7"/>
  <c r="E98" i="7"/>
  <c r="J97" i="7"/>
  <c r="E97" i="7"/>
  <c r="K96" i="7"/>
  <c r="J96" i="7"/>
  <c r="I96" i="7"/>
  <c r="H96" i="7"/>
  <c r="G96" i="7"/>
  <c r="F96" i="7"/>
  <c r="K95" i="7"/>
  <c r="J95" i="7"/>
  <c r="I95" i="7"/>
  <c r="H95" i="7"/>
  <c r="G95" i="7"/>
  <c r="F95" i="7"/>
  <c r="K94" i="7"/>
  <c r="J94" i="7"/>
  <c r="I94" i="7"/>
  <c r="H94" i="7"/>
  <c r="G94" i="7"/>
  <c r="F94" i="7"/>
  <c r="C93" i="7"/>
  <c r="V92" i="7"/>
  <c r="K99" i="7" s="1"/>
  <c r="T92" i="7"/>
  <c r="K98" i="7" s="1"/>
  <c r="R92" i="7"/>
  <c r="K97" i="7" s="1"/>
  <c r="U92" i="7"/>
  <c r="I99" i="7" s="1"/>
  <c r="S92" i="7"/>
  <c r="I98" i="7" s="1"/>
  <c r="Q92" i="7"/>
  <c r="I97" i="7" s="1"/>
  <c r="E92" i="7"/>
  <c r="D92" i="7"/>
  <c r="I89" i="7"/>
  <c r="H89" i="7"/>
  <c r="G89" i="7"/>
  <c r="E89" i="7"/>
  <c r="J88" i="7"/>
  <c r="E88" i="7"/>
  <c r="J87" i="7"/>
  <c r="E87" i="7"/>
  <c r="J86" i="7"/>
  <c r="E86" i="7"/>
  <c r="K85" i="7"/>
  <c r="J85" i="7"/>
  <c r="I85" i="7"/>
  <c r="H85" i="7"/>
  <c r="G85" i="7"/>
  <c r="F85" i="7"/>
  <c r="K84" i="7"/>
  <c r="J84" i="7"/>
  <c r="I84" i="7"/>
  <c r="H84" i="7"/>
  <c r="G84" i="7"/>
  <c r="F84" i="7"/>
  <c r="K83" i="7"/>
  <c r="J83" i="7"/>
  <c r="I83" i="7"/>
  <c r="H83" i="7"/>
  <c r="G83" i="7"/>
  <c r="F83" i="7"/>
  <c r="C82" i="7"/>
  <c r="V81" i="7"/>
  <c r="K88" i="7" s="1"/>
  <c r="T81" i="7"/>
  <c r="K87" i="7" s="1"/>
  <c r="R81" i="7"/>
  <c r="K86" i="7" s="1"/>
  <c r="U81" i="7"/>
  <c r="I88" i="7" s="1"/>
  <c r="S81" i="7"/>
  <c r="I87" i="7" s="1"/>
  <c r="Q81" i="7"/>
  <c r="I86" i="7" s="1"/>
  <c r="E81" i="7"/>
  <c r="D81" i="7"/>
  <c r="I78" i="7"/>
  <c r="H78" i="7"/>
  <c r="G78" i="7"/>
  <c r="E78" i="7"/>
  <c r="J77" i="7"/>
  <c r="E77" i="7"/>
  <c r="J76" i="7"/>
  <c r="E76" i="7"/>
  <c r="J75" i="7"/>
  <c r="E75" i="7"/>
  <c r="K74" i="7"/>
  <c r="J74" i="7"/>
  <c r="I74" i="7"/>
  <c r="H74" i="7"/>
  <c r="G74" i="7"/>
  <c r="F74" i="7"/>
  <c r="K73" i="7"/>
  <c r="J73" i="7"/>
  <c r="I73" i="7"/>
  <c r="H73" i="7"/>
  <c r="G73" i="7"/>
  <c r="F73" i="7"/>
  <c r="K72" i="7"/>
  <c r="J72" i="7"/>
  <c r="I72" i="7"/>
  <c r="H72" i="7"/>
  <c r="G72" i="7"/>
  <c r="F72" i="7"/>
  <c r="C71" i="7"/>
  <c r="V70" i="7"/>
  <c r="K77" i="7" s="1"/>
  <c r="T70" i="7"/>
  <c r="K76" i="7" s="1"/>
  <c r="R70" i="7"/>
  <c r="K75" i="7" s="1"/>
  <c r="U70" i="7"/>
  <c r="I77" i="7" s="1"/>
  <c r="S70" i="7"/>
  <c r="I76" i="7" s="1"/>
  <c r="Q70" i="7"/>
  <c r="I75" i="7" s="1"/>
  <c r="E70" i="7"/>
  <c r="D70" i="7"/>
  <c r="I67" i="7"/>
  <c r="H67" i="7"/>
  <c r="G67" i="7"/>
  <c r="E67" i="7"/>
  <c r="J66" i="7"/>
  <c r="E66" i="7"/>
  <c r="J65" i="7"/>
  <c r="E65" i="7"/>
  <c r="K64" i="7"/>
  <c r="J64" i="7"/>
  <c r="I64" i="7"/>
  <c r="H64" i="7"/>
  <c r="G64" i="7"/>
  <c r="F64" i="7"/>
  <c r="C63" i="7"/>
  <c r="V62" i="7"/>
  <c r="T62" i="7"/>
  <c r="K66" i="7" s="1"/>
  <c r="R62" i="7"/>
  <c r="K65" i="7" s="1"/>
  <c r="U62" i="7"/>
  <c r="S62" i="7"/>
  <c r="I66" i="7" s="1"/>
  <c r="Q62" i="7"/>
  <c r="I65" i="7" s="1"/>
  <c r="E62" i="7"/>
  <c r="D62" i="7"/>
  <c r="I59" i="7"/>
  <c r="H59" i="7"/>
  <c r="G59" i="7"/>
  <c r="E59" i="7"/>
  <c r="J58" i="7"/>
  <c r="E58" i="7"/>
  <c r="J57" i="7"/>
  <c r="E57" i="7"/>
  <c r="J56" i="7"/>
  <c r="E56" i="7"/>
  <c r="K55" i="7"/>
  <c r="J55" i="7"/>
  <c r="I55" i="7"/>
  <c r="H55" i="7"/>
  <c r="G55" i="7"/>
  <c r="F55" i="7"/>
  <c r="K54" i="7"/>
  <c r="J54" i="7"/>
  <c r="I54" i="7"/>
  <c r="H54" i="7"/>
  <c r="G54" i="7"/>
  <c r="F54" i="7"/>
  <c r="K53" i="7"/>
  <c r="J53" i="7"/>
  <c r="I53" i="7"/>
  <c r="H53" i="7"/>
  <c r="G53" i="7"/>
  <c r="F53" i="7"/>
  <c r="C52" i="7"/>
  <c r="V51" i="7"/>
  <c r="K58" i="7" s="1"/>
  <c r="T51" i="7"/>
  <c r="K57" i="7" s="1"/>
  <c r="R51" i="7"/>
  <c r="K56" i="7" s="1"/>
  <c r="U51" i="7"/>
  <c r="I58" i="7" s="1"/>
  <c r="S51" i="7"/>
  <c r="I57" i="7" s="1"/>
  <c r="Q51" i="7"/>
  <c r="I56" i="7" s="1"/>
  <c r="E51" i="7"/>
  <c r="D51" i="7"/>
  <c r="I48" i="7"/>
  <c r="H48" i="7"/>
  <c r="G48" i="7"/>
  <c r="E48" i="7"/>
  <c r="J47" i="7"/>
  <c r="E47" i="7"/>
  <c r="J46" i="7"/>
  <c r="E46" i="7"/>
  <c r="J45" i="7"/>
  <c r="E45" i="7"/>
  <c r="K44" i="7"/>
  <c r="J44" i="7"/>
  <c r="I44" i="7"/>
  <c r="H44" i="7"/>
  <c r="G44" i="7"/>
  <c r="F44" i="7"/>
  <c r="K43" i="7"/>
  <c r="J43" i="7"/>
  <c r="I43" i="7"/>
  <c r="H43" i="7"/>
  <c r="G43" i="7"/>
  <c r="F43" i="7"/>
  <c r="K42" i="7"/>
  <c r="J42" i="7"/>
  <c r="I42" i="7"/>
  <c r="H42" i="7"/>
  <c r="G42" i="7"/>
  <c r="F42" i="7"/>
  <c r="C41" i="7"/>
  <c r="V40" i="7"/>
  <c r="K47" i="7" s="1"/>
  <c r="T40" i="7"/>
  <c r="K46" i="7" s="1"/>
  <c r="R40" i="7"/>
  <c r="K45" i="7" s="1"/>
  <c r="U40" i="7"/>
  <c r="I47" i="7" s="1"/>
  <c r="S40" i="7"/>
  <c r="I46" i="7" s="1"/>
  <c r="Q40" i="7"/>
  <c r="I45" i="7" s="1"/>
  <c r="E40" i="7"/>
  <c r="D40" i="7"/>
  <c r="I37" i="7"/>
  <c r="H37" i="7"/>
  <c r="G37" i="7"/>
  <c r="E37" i="7"/>
  <c r="J36" i="7"/>
  <c r="E36" i="7"/>
  <c r="J35" i="7"/>
  <c r="E35" i="7"/>
  <c r="K34" i="7"/>
  <c r="J34" i="7"/>
  <c r="I34" i="7"/>
  <c r="H34" i="7"/>
  <c r="G34" i="7"/>
  <c r="F34" i="7"/>
  <c r="C33" i="7"/>
  <c r="V32" i="7"/>
  <c r="T32" i="7"/>
  <c r="K36" i="7" s="1"/>
  <c r="R32" i="7"/>
  <c r="K35" i="7" s="1"/>
  <c r="U32" i="7"/>
  <c r="S32" i="7"/>
  <c r="I36" i="7" s="1"/>
  <c r="Q32" i="7"/>
  <c r="I35" i="7" s="1"/>
  <c r="E32" i="7"/>
  <c r="D32" i="7"/>
  <c r="A31" i="7"/>
  <c r="A29" i="7"/>
  <c r="A11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1" i="3"/>
  <c r="Y1" i="3"/>
  <c r="CX1" i="3" s="1"/>
  <c r="CU1" i="3"/>
  <c r="CV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B3" i="3" s="1"/>
  <c r="DA3" i="3"/>
  <c r="DC3" i="3"/>
  <c r="A4" i="3"/>
  <c r="Y4" i="3"/>
  <c r="CY4" i="3"/>
  <c r="CZ4" i="3"/>
  <c r="DB4" i="3" s="1"/>
  <c r="DA4" i="3"/>
  <c r="DC4" i="3"/>
  <c r="A5" i="3"/>
  <c r="Y5" i="3"/>
  <c r="CW5" i="3"/>
  <c r="CX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B8" i="3" s="1"/>
  <c r="DA8" i="3"/>
  <c r="DC8" i="3"/>
  <c r="A9" i="3"/>
  <c r="Y9" i="3"/>
  <c r="CY9" i="3"/>
  <c r="CZ9" i="3"/>
  <c r="DB9" i="3" s="1"/>
  <c r="DA9" i="3"/>
  <c r="DC9" i="3"/>
  <c r="A10" i="3"/>
  <c r="Y10" i="3"/>
  <c r="CY10" i="3"/>
  <c r="CZ10" i="3"/>
  <c r="DB10" i="3" s="1"/>
  <c r="DA10" i="3"/>
  <c r="DC10" i="3"/>
  <c r="A11" i="3"/>
  <c r="Y11" i="3"/>
  <c r="CU11" i="3"/>
  <c r="CY11" i="3"/>
  <c r="CZ11" i="3"/>
  <c r="DB11" i="3" s="1"/>
  <c r="DA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A15" i="3"/>
  <c r="DB15" i="3"/>
  <c r="DC15" i="3"/>
  <c r="A16" i="3"/>
  <c r="Y16" i="3"/>
  <c r="CV16" i="3"/>
  <c r="CX16" i="3"/>
  <c r="CY16" i="3"/>
  <c r="CZ16" i="3"/>
  <c r="DA16" i="3"/>
  <c r="DB16" i="3"/>
  <c r="DC16" i="3"/>
  <c r="DF16" i="3"/>
  <c r="DG16" i="3"/>
  <c r="A17" i="3"/>
  <c r="Y17" i="3"/>
  <c r="CY17" i="3"/>
  <c r="CZ17" i="3"/>
  <c r="DA17" i="3"/>
  <c r="DB17" i="3"/>
  <c r="DC17" i="3"/>
  <c r="A18" i="3"/>
  <c r="Y18" i="3"/>
  <c r="CW18" i="3"/>
  <c r="CY18" i="3"/>
  <c r="CZ18" i="3"/>
  <c r="DA18" i="3"/>
  <c r="DB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B20" i="3" s="1"/>
  <c r="DA20" i="3"/>
  <c r="DC20" i="3"/>
  <c r="A21" i="3"/>
  <c r="Y21" i="3"/>
  <c r="CV21" i="3"/>
  <c r="CY21" i="3"/>
  <c r="CZ21" i="3"/>
  <c r="DA21" i="3"/>
  <c r="DB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B25" i="3" s="1"/>
  <c r="DA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A29" i="3"/>
  <c r="DB29" i="3"/>
  <c r="DC29" i="3"/>
  <c r="A30" i="3"/>
  <c r="Y30" i="3"/>
  <c r="CX30" i="3"/>
  <c r="CY30" i="3"/>
  <c r="CZ30" i="3"/>
  <c r="DB30" i="3" s="1"/>
  <c r="DA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A34" i="3"/>
  <c r="DB34" i="3"/>
  <c r="DC34" i="3"/>
  <c r="A35" i="3"/>
  <c r="Y35" i="3"/>
  <c r="CW35" i="3"/>
  <c r="CX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A41" i="3"/>
  <c r="DB41" i="3"/>
  <c r="DC41" i="3"/>
  <c r="A42" i="3"/>
  <c r="Y42" i="3"/>
  <c r="CX42" i="3" s="1"/>
  <c r="CV42" i="3"/>
  <c r="CY42" i="3"/>
  <c r="CZ42" i="3"/>
  <c r="DA42" i="3"/>
  <c r="DB42" i="3"/>
  <c r="DC42" i="3"/>
  <c r="DF42" i="3"/>
  <c r="DG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U47" i="3"/>
  <c r="CY47" i="3"/>
  <c r="CZ47" i="3"/>
  <c r="DB47" i="3" s="1"/>
  <c r="DA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W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W55" i="3" s="1"/>
  <c r="CX55" i="3"/>
  <c r="CY55" i="3"/>
  <c r="CZ55" i="3"/>
  <c r="DB55" i="3" s="1"/>
  <c r="DA55" i="3"/>
  <c r="DC55" i="3"/>
  <c r="DF55" i="3"/>
  <c r="A56" i="3"/>
  <c r="Y56" i="3"/>
  <c r="CX56" i="3"/>
  <c r="CY56" i="3"/>
  <c r="CZ56" i="3"/>
  <c r="DA56" i="3"/>
  <c r="DB56" i="3"/>
  <c r="DC56" i="3"/>
  <c r="A57" i="3"/>
  <c r="Y57" i="3"/>
  <c r="CV57" i="3"/>
  <c r="CY57" i="3"/>
  <c r="CZ57" i="3"/>
  <c r="DA57" i="3"/>
  <c r="DB57" i="3"/>
  <c r="DC57" i="3"/>
  <c r="A58" i="3"/>
  <c r="Y58" i="3"/>
  <c r="CW58" i="3" s="1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B71" i="3" s="1"/>
  <c r="DA71" i="3"/>
  <c r="DC71" i="3"/>
  <c r="A72" i="3"/>
  <c r="Y72" i="3"/>
  <c r="CX72" i="3" s="1"/>
  <c r="CY72" i="3"/>
  <c r="CZ72" i="3"/>
  <c r="DA72" i="3"/>
  <c r="DB72" i="3"/>
  <c r="DC72" i="3"/>
  <c r="A73" i="3"/>
  <c r="Y73" i="3"/>
  <c r="CX73" i="3" s="1"/>
  <c r="CY73" i="3"/>
  <c r="CZ73" i="3"/>
  <c r="DB73" i="3" s="1"/>
  <c r="DA73" i="3"/>
  <c r="DC73" i="3"/>
  <c r="A74" i="3"/>
  <c r="Y74" i="3"/>
  <c r="CX74" i="3" s="1"/>
  <c r="CY74" i="3"/>
  <c r="CZ74" i="3"/>
  <c r="DB74" i="3" s="1"/>
  <c r="DA74" i="3"/>
  <c r="DC74" i="3"/>
  <c r="A75" i="3"/>
  <c r="Y75" i="3"/>
  <c r="CY75" i="3"/>
  <c r="CZ75" i="3"/>
  <c r="DB75" i="3" s="1"/>
  <c r="DA75" i="3"/>
  <c r="DC75" i="3"/>
  <c r="A76" i="3"/>
  <c r="Y76" i="3"/>
  <c r="CX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X78" i="3" s="1"/>
  <c r="CY78" i="3"/>
  <c r="CZ78" i="3"/>
  <c r="DA78" i="3"/>
  <c r="DB78" i="3"/>
  <c r="DC78" i="3"/>
  <c r="DI78" i="3"/>
  <c r="A79" i="3"/>
  <c r="Y79" i="3"/>
  <c r="CV79" i="3"/>
  <c r="CX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A87" i="3"/>
  <c r="DB87" i="3"/>
  <c r="DC87" i="3"/>
  <c r="A88" i="3"/>
  <c r="Y88" i="3"/>
  <c r="CX88" i="3" s="1"/>
  <c r="CY88" i="3"/>
  <c r="CZ88" i="3"/>
  <c r="DA88" i="3"/>
  <c r="DB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A93" i="3"/>
  <c r="DB93" i="3"/>
  <c r="DC93" i="3"/>
  <c r="A94" i="3"/>
  <c r="Y94" i="3"/>
  <c r="CX94" i="3"/>
  <c r="CY94" i="3"/>
  <c r="CZ94" i="3"/>
  <c r="DA94" i="3"/>
  <c r="DB94" i="3"/>
  <c r="DC94" i="3"/>
  <c r="A95" i="3"/>
  <c r="Y95" i="3"/>
  <c r="CY95" i="3"/>
  <c r="CZ95" i="3"/>
  <c r="DB95" i="3" s="1"/>
  <c r="DA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X98" i="3" s="1"/>
  <c r="CY98" i="3"/>
  <c r="CZ98" i="3"/>
  <c r="DB98" i="3" s="1"/>
  <c r="DA98" i="3"/>
  <c r="DC98" i="3"/>
  <c r="DH98" i="3"/>
  <c r="A99" i="3"/>
  <c r="Y99" i="3"/>
  <c r="CY99" i="3"/>
  <c r="CZ99" i="3"/>
  <c r="DA99" i="3"/>
  <c r="DB99" i="3"/>
  <c r="DC99" i="3"/>
  <c r="A100" i="3"/>
  <c r="Y100" i="3"/>
  <c r="CY100" i="3"/>
  <c r="CZ100" i="3"/>
  <c r="DB100" i="3" s="1"/>
  <c r="DA100" i="3"/>
  <c r="DC100" i="3"/>
  <c r="A101" i="3"/>
  <c r="Y101" i="3"/>
  <c r="CX101" i="3" s="1"/>
  <c r="CU101" i="3"/>
  <c r="CV101" i="3"/>
  <c r="CY101" i="3"/>
  <c r="CZ101" i="3"/>
  <c r="DA101" i="3"/>
  <c r="DB101" i="3"/>
  <c r="DC101" i="3"/>
  <c r="DF101" i="3"/>
  <c r="DG101" i="3"/>
  <c r="DH101" i="3"/>
  <c r="DI101" i="3"/>
  <c r="DJ101" i="3" s="1"/>
  <c r="A102" i="3"/>
  <c r="Y102" i="3"/>
  <c r="CY102" i="3"/>
  <c r="CZ102" i="3"/>
  <c r="DA102" i="3"/>
  <c r="DB102" i="3"/>
  <c r="DC102" i="3"/>
  <c r="A103" i="3"/>
  <c r="Y103" i="3"/>
  <c r="CW103" i="3"/>
  <c r="CX103" i="3"/>
  <c r="CY103" i="3"/>
  <c r="CZ103" i="3"/>
  <c r="DA103" i="3"/>
  <c r="DB103" i="3"/>
  <c r="DC103" i="3"/>
  <c r="DF103" i="3"/>
  <c r="A104" i="3"/>
  <c r="Y104" i="3"/>
  <c r="CW104" i="3"/>
  <c r="CX104" i="3"/>
  <c r="CY104" i="3"/>
  <c r="CZ104" i="3"/>
  <c r="DA104" i="3"/>
  <c r="DB104" i="3"/>
  <c r="DC104" i="3"/>
  <c r="DF104" i="3"/>
  <c r="DI104" i="3"/>
  <c r="A105" i="3"/>
  <c r="Y105" i="3"/>
  <c r="CX105" i="3"/>
  <c r="CY105" i="3"/>
  <c r="CZ105" i="3"/>
  <c r="DB105" i="3" s="1"/>
  <c r="DA105" i="3"/>
  <c r="DC105" i="3"/>
  <c r="DH105" i="3"/>
  <c r="DI105" i="3"/>
  <c r="A106" i="3"/>
  <c r="Y106" i="3"/>
  <c r="CX106" i="3" s="1"/>
  <c r="CY106" i="3"/>
  <c r="CZ106" i="3"/>
  <c r="DA106" i="3"/>
  <c r="DB106" i="3"/>
  <c r="DC106" i="3"/>
  <c r="DH106" i="3"/>
  <c r="DI106" i="3"/>
  <c r="A107" i="3"/>
  <c r="Y107" i="3"/>
  <c r="CX107" i="3" s="1"/>
  <c r="CY107" i="3"/>
  <c r="CZ107" i="3"/>
  <c r="DB107" i="3" s="1"/>
  <c r="DA107" i="3"/>
  <c r="DC107" i="3"/>
  <c r="DF107" i="3"/>
  <c r="DJ107" i="3" s="1"/>
  <c r="A108" i="3"/>
  <c r="Y108" i="3"/>
  <c r="CX108" i="3" s="1"/>
  <c r="CY108" i="3"/>
  <c r="CZ108" i="3"/>
  <c r="DB108" i="3" s="1"/>
  <c r="DA108" i="3"/>
  <c r="DC108" i="3"/>
  <c r="DG108" i="3"/>
  <c r="A109" i="3"/>
  <c r="Y109" i="3"/>
  <c r="CX109" i="3" s="1"/>
  <c r="CY109" i="3"/>
  <c r="CZ109" i="3"/>
  <c r="DA109" i="3"/>
  <c r="DB109" i="3"/>
  <c r="DC109" i="3"/>
  <c r="A110" i="3"/>
  <c r="Y110" i="3"/>
  <c r="CX110" i="3"/>
  <c r="CY110" i="3"/>
  <c r="CZ110" i="3"/>
  <c r="DA110" i="3"/>
  <c r="DB110" i="3"/>
  <c r="DC110" i="3"/>
  <c r="DI110" i="3"/>
  <c r="A111" i="3"/>
  <c r="Y111" i="3"/>
  <c r="CX111" i="3" s="1"/>
  <c r="DH111" i="3" s="1"/>
  <c r="CY111" i="3"/>
  <c r="CZ111" i="3"/>
  <c r="DB111" i="3" s="1"/>
  <c r="DA111" i="3"/>
  <c r="DC111" i="3"/>
  <c r="DF111" i="3"/>
  <c r="DJ111" i="3" s="1"/>
  <c r="DG111" i="3"/>
  <c r="A112" i="3"/>
  <c r="Y112" i="3"/>
  <c r="CU112" i="3"/>
  <c r="CV112" i="3"/>
  <c r="CX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W114" i="3"/>
  <c r="CX114" i="3"/>
  <c r="CY114" i="3"/>
  <c r="CZ114" i="3"/>
  <c r="DA114" i="3"/>
  <c r="DB114" i="3"/>
  <c r="DC114" i="3"/>
  <c r="DG114" i="3"/>
  <c r="DJ114" i="3" s="1"/>
  <c r="A115" i="3"/>
  <c r="Y115" i="3"/>
  <c r="CW115" i="3" s="1"/>
  <c r="CX115" i="3"/>
  <c r="CY115" i="3"/>
  <c r="CZ115" i="3"/>
  <c r="DB115" i="3" s="1"/>
  <c r="DA115" i="3"/>
  <c r="DC115" i="3"/>
  <c r="DF115" i="3"/>
  <c r="DG115" i="3"/>
  <c r="DJ115" i="3" s="1"/>
  <c r="A116" i="3"/>
  <c r="Y116" i="3"/>
  <c r="CX116" i="3" s="1"/>
  <c r="CY116" i="3"/>
  <c r="CZ116" i="3"/>
  <c r="DA116" i="3"/>
  <c r="DB116" i="3"/>
  <c r="DC116" i="3"/>
  <c r="A117" i="3"/>
  <c r="Y117" i="3"/>
  <c r="CX117" i="3"/>
  <c r="CY117" i="3"/>
  <c r="CZ117" i="3"/>
  <c r="DA117" i="3"/>
  <c r="DB117" i="3"/>
  <c r="DC117" i="3"/>
  <c r="A118" i="3"/>
  <c r="Y118" i="3"/>
  <c r="CX118" i="3" s="1"/>
  <c r="CY118" i="3"/>
  <c r="CZ118" i="3"/>
  <c r="DB118" i="3" s="1"/>
  <c r="DA118" i="3"/>
  <c r="DC118" i="3"/>
  <c r="DG118" i="3"/>
  <c r="A119" i="3"/>
  <c r="Y119" i="3"/>
  <c r="CX119" i="3"/>
  <c r="CY119" i="3"/>
  <c r="CZ119" i="3"/>
  <c r="DB119" i="3" s="1"/>
  <c r="DA119" i="3"/>
  <c r="DC119" i="3"/>
  <c r="DF119" i="3"/>
  <c r="DJ119" i="3" s="1"/>
  <c r="DG119" i="3"/>
  <c r="DH119" i="3"/>
  <c r="DI119" i="3"/>
  <c r="A120" i="3"/>
  <c r="Y120" i="3"/>
  <c r="CX120" i="3"/>
  <c r="DI120" i="3" s="1"/>
  <c r="CY120" i="3"/>
  <c r="CZ120" i="3"/>
  <c r="DB120" i="3" s="1"/>
  <c r="DA120" i="3"/>
  <c r="DC120" i="3"/>
  <c r="DF120" i="3"/>
  <c r="DJ120" i="3" s="1"/>
  <c r="DG120" i="3"/>
  <c r="DH120" i="3"/>
  <c r="A121" i="3"/>
  <c r="Y121" i="3"/>
  <c r="CX121" i="3" s="1"/>
  <c r="CY121" i="3"/>
  <c r="CZ121" i="3"/>
  <c r="DB121" i="3" s="1"/>
  <c r="DA121" i="3"/>
  <c r="DC121" i="3"/>
  <c r="A122" i="3"/>
  <c r="Y122" i="3"/>
  <c r="CX122" i="3"/>
  <c r="CY122" i="3"/>
  <c r="CZ122" i="3"/>
  <c r="DB122" i="3" s="1"/>
  <c r="DA122" i="3"/>
  <c r="DC122" i="3"/>
  <c r="A123" i="3"/>
  <c r="Y123" i="3"/>
  <c r="CU123" i="3"/>
  <c r="CV123" i="3"/>
  <c r="CX123" i="3"/>
  <c r="CY123" i="3"/>
  <c r="CZ123" i="3"/>
  <c r="DB123" i="3" s="1"/>
  <c r="DA123" i="3"/>
  <c r="DC123" i="3"/>
  <c r="DI123" i="3"/>
  <c r="DJ123" i="3" s="1"/>
  <c r="A124" i="3"/>
  <c r="Y124" i="3"/>
  <c r="CW124" i="3"/>
  <c r="CX124" i="3"/>
  <c r="CY124" i="3"/>
  <c r="CZ124" i="3"/>
  <c r="DB124" i="3" s="1"/>
  <c r="DA124" i="3"/>
  <c r="DC124" i="3"/>
  <c r="DI124" i="3"/>
  <c r="A125" i="3"/>
  <c r="Y125" i="3"/>
  <c r="CX125" i="3"/>
  <c r="DF125" i="3" s="1"/>
  <c r="DJ125" i="3" s="1"/>
  <c r="CY125" i="3"/>
  <c r="CZ125" i="3"/>
  <c r="DA125" i="3"/>
  <c r="DB125" i="3"/>
  <c r="DC125" i="3"/>
  <c r="DI125" i="3"/>
  <c r="A126" i="3"/>
  <c r="Y126" i="3"/>
  <c r="CX126" i="3" s="1"/>
  <c r="CY126" i="3"/>
  <c r="CZ126" i="3"/>
  <c r="DA126" i="3"/>
  <c r="DB126" i="3"/>
  <c r="DC126" i="3"/>
  <c r="DG126" i="3"/>
  <c r="A127" i="3"/>
  <c r="Y127" i="3"/>
  <c r="CU127" i="3"/>
  <c r="CY127" i="3"/>
  <c r="CZ127" i="3"/>
  <c r="DB127" i="3" s="1"/>
  <c r="DA127" i="3"/>
  <c r="DC127" i="3"/>
  <c r="A128" i="3"/>
  <c r="Y128" i="3"/>
  <c r="CW128" i="3" s="1"/>
  <c r="CX128" i="3"/>
  <c r="CY128" i="3"/>
  <c r="CZ128" i="3"/>
  <c r="DB128" i="3" s="1"/>
  <c r="DA128" i="3"/>
  <c r="DC128" i="3"/>
  <c r="A129" i="3"/>
  <c r="Y129" i="3"/>
  <c r="CX129" i="3" s="1"/>
  <c r="CY129" i="3"/>
  <c r="CZ129" i="3"/>
  <c r="DB129" i="3" s="1"/>
  <c r="DA129" i="3"/>
  <c r="DC129" i="3"/>
  <c r="DI129" i="3"/>
  <c r="A130" i="3"/>
  <c r="Y130" i="3"/>
  <c r="CX130" i="3" s="1"/>
  <c r="CY130" i="3"/>
  <c r="CZ130" i="3"/>
  <c r="DB130" i="3" s="1"/>
  <c r="DA130" i="3"/>
  <c r="DC130" i="3"/>
  <c r="DG130" i="3"/>
  <c r="A131" i="3"/>
  <c r="Y131" i="3"/>
  <c r="CU131" i="3"/>
  <c r="CV131" i="3"/>
  <c r="CX131" i="3"/>
  <c r="CY131" i="3"/>
  <c r="CZ131" i="3"/>
  <c r="DA131" i="3"/>
  <c r="DB131" i="3"/>
  <c r="DC131" i="3"/>
  <c r="DH131" i="3"/>
  <c r="A132" i="3"/>
  <c r="Y132" i="3"/>
  <c r="CW132" i="3" s="1"/>
  <c r="CX132" i="3"/>
  <c r="CY132" i="3"/>
  <c r="CZ132" i="3"/>
  <c r="DB132" i="3" s="1"/>
  <c r="DA132" i="3"/>
  <c r="DC132" i="3"/>
  <c r="A133" i="3"/>
  <c r="Y133" i="3"/>
  <c r="CX133" i="3" s="1"/>
  <c r="CY133" i="3"/>
  <c r="CZ133" i="3"/>
  <c r="DA133" i="3"/>
  <c r="DB133" i="3"/>
  <c r="DC133" i="3"/>
  <c r="DF133" i="3"/>
  <c r="DJ133" i="3" s="1"/>
  <c r="DG133" i="3"/>
  <c r="A134" i="3"/>
  <c r="Y134" i="3"/>
  <c r="CX134" i="3"/>
  <c r="CY134" i="3"/>
  <c r="CZ134" i="3"/>
  <c r="DB134" i="3" s="1"/>
  <c r="DA134" i="3"/>
  <c r="DC134" i="3"/>
  <c r="DF134" i="3"/>
  <c r="DJ134" i="3" s="1"/>
  <c r="DI134" i="3"/>
  <c r="A135" i="3"/>
  <c r="Y135" i="3"/>
  <c r="CU135" i="3"/>
  <c r="CV135" i="3"/>
  <c r="CX135" i="3"/>
  <c r="CY135" i="3"/>
  <c r="CZ135" i="3"/>
  <c r="DB135" i="3" s="1"/>
  <c r="DA135" i="3"/>
  <c r="DC135" i="3"/>
  <c r="DF135" i="3"/>
  <c r="A136" i="3"/>
  <c r="Y136" i="3"/>
  <c r="CW136" i="3" s="1"/>
  <c r="CX136" i="3"/>
  <c r="CY136" i="3"/>
  <c r="CZ136" i="3"/>
  <c r="DB136" i="3" s="1"/>
  <c r="DA136" i="3"/>
  <c r="DC136" i="3"/>
  <c r="DH136" i="3"/>
  <c r="A137" i="3"/>
  <c r="Y137" i="3"/>
  <c r="CX137" i="3"/>
  <c r="CY137" i="3"/>
  <c r="CZ137" i="3"/>
  <c r="DA137" i="3"/>
  <c r="DB137" i="3"/>
  <c r="DC137" i="3"/>
  <c r="A138" i="3"/>
  <c r="Y138" i="3"/>
  <c r="CX138" i="3"/>
  <c r="CY138" i="3"/>
  <c r="CZ138" i="3"/>
  <c r="DA138" i="3"/>
  <c r="DB138" i="3"/>
  <c r="DC138" i="3"/>
  <c r="DG138" i="3"/>
  <c r="A139" i="3"/>
  <c r="Y139" i="3"/>
  <c r="CX139" i="3" s="1"/>
  <c r="CU139" i="3"/>
  <c r="CV139" i="3"/>
  <c r="CY139" i="3"/>
  <c r="CZ139" i="3"/>
  <c r="DA139" i="3"/>
  <c r="DB139" i="3"/>
  <c r="DC139" i="3"/>
  <c r="DF139" i="3"/>
  <c r="DI139" i="3"/>
  <c r="DJ139" i="3" s="1"/>
  <c r="A140" i="3"/>
  <c r="Y140" i="3"/>
  <c r="CW140" i="3" s="1"/>
  <c r="CX140" i="3"/>
  <c r="CY140" i="3"/>
  <c r="CZ140" i="3"/>
  <c r="DB140" i="3" s="1"/>
  <c r="DA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B142" i="3" s="1"/>
  <c r="DA142" i="3"/>
  <c r="DC142" i="3"/>
  <c r="A143" i="3"/>
  <c r="Y143" i="3"/>
  <c r="CX143" i="3"/>
  <c r="CY143" i="3"/>
  <c r="CZ143" i="3"/>
  <c r="DA143" i="3"/>
  <c r="DB143" i="3"/>
  <c r="DC143" i="3"/>
  <c r="DF143" i="3"/>
  <c r="DJ143" i="3" s="1"/>
  <c r="DH143" i="3"/>
  <c r="A144" i="3"/>
  <c r="Y144" i="3"/>
  <c r="CX144" i="3" s="1"/>
  <c r="CY144" i="3"/>
  <c r="CZ144" i="3"/>
  <c r="DA144" i="3"/>
  <c r="DB144" i="3"/>
  <c r="DC144" i="3"/>
  <c r="DG144" i="3"/>
  <c r="A145" i="3"/>
  <c r="Y145" i="3"/>
  <c r="CX145" i="3"/>
  <c r="CY145" i="3"/>
  <c r="CZ145" i="3"/>
  <c r="DB145" i="3" s="1"/>
  <c r="DA145" i="3"/>
  <c r="DC145" i="3"/>
  <c r="DH145" i="3"/>
  <c r="A146" i="3"/>
  <c r="Y146" i="3"/>
  <c r="CX146" i="3" s="1"/>
  <c r="DI146" i="3" s="1"/>
  <c r="CY146" i="3"/>
  <c r="CZ146" i="3"/>
  <c r="DB146" i="3" s="1"/>
  <c r="DA146" i="3"/>
  <c r="DC146" i="3"/>
  <c r="DF146" i="3"/>
  <c r="DJ146" i="3" s="1"/>
  <c r="DG146" i="3"/>
  <c r="DH146" i="3"/>
  <c r="A147" i="3"/>
  <c r="Y147" i="3"/>
  <c r="CX147" i="3"/>
  <c r="DH147" i="3" s="1"/>
  <c r="CY147" i="3"/>
  <c r="CZ147" i="3"/>
  <c r="DB147" i="3" s="1"/>
  <c r="DA147" i="3"/>
  <c r="DC147" i="3"/>
  <c r="DF147" i="3"/>
  <c r="DJ147" i="3" s="1"/>
  <c r="DG147" i="3"/>
  <c r="DI147" i="3"/>
  <c r="A148" i="3"/>
  <c r="Y148" i="3"/>
  <c r="CX148" i="3" s="1"/>
  <c r="CY148" i="3"/>
  <c r="CZ148" i="3"/>
  <c r="DA148" i="3"/>
  <c r="DB148" i="3"/>
  <c r="DC148" i="3"/>
  <c r="DF148" i="3"/>
  <c r="DJ148" i="3" s="1"/>
  <c r="DI148" i="3"/>
  <c r="A149" i="3"/>
  <c r="Y149" i="3"/>
  <c r="CX149" i="3"/>
  <c r="CY149" i="3"/>
  <c r="CZ149" i="3"/>
  <c r="DA149" i="3"/>
  <c r="DB149" i="3"/>
  <c r="DC149" i="3"/>
  <c r="A150" i="3"/>
  <c r="Y150" i="3"/>
  <c r="CU150" i="3"/>
  <c r="CY150" i="3"/>
  <c r="CZ150" i="3"/>
  <c r="DB150" i="3" s="1"/>
  <c r="DA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A152" i="3"/>
  <c r="DB152" i="3"/>
  <c r="DC152" i="3"/>
  <c r="A153" i="3"/>
  <c r="Y153" i="3"/>
  <c r="CX153" i="3" s="1"/>
  <c r="CY153" i="3"/>
  <c r="CZ153" i="3"/>
  <c r="DA153" i="3"/>
  <c r="DB153" i="3"/>
  <c r="DC153" i="3"/>
  <c r="DF153" i="3"/>
  <c r="DG153" i="3"/>
  <c r="DJ153" i="3" s="1"/>
  <c r="DH153" i="3"/>
  <c r="DI153" i="3"/>
  <c r="A154" i="3"/>
  <c r="Y154" i="3"/>
  <c r="CX154" i="3" s="1"/>
  <c r="CY154" i="3"/>
  <c r="CZ154" i="3"/>
  <c r="DB154" i="3" s="1"/>
  <c r="DA154" i="3"/>
  <c r="DC154" i="3"/>
  <c r="A155" i="3"/>
  <c r="Y155" i="3"/>
  <c r="CX155" i="3" s="1"/>
  <c r="CY155" i="3"/>
  <c r="CZ155" i="3"/>
  <c r="DB155" i="3" s="1"/>
  <c r="DA155" i="3"/>
  <c r="DC155" i="3"/>
  <c r="A156" i="3"/>
  <c r="Y156" i="3"/>
  <c r="CX156" i="3" s="1"/>
  <c r="DG156" i="3" s="1"/>
  <c r="CY156" i="3"/>
  <c r="CZ156" i="3"/>
  <c r="DB156" i="3" s="1"/>
  <c r="DA156" i="3"/>
  <c r="DC156" i="3"/>
  <c r="DF156" i="3"/>
  <c r="DJ156" i="3" s="1"/>
  <c r="DH156" i="3"/>
  <c r="A157" i="3"/>
  <c r="Y157" i="3"/>
  <c r="CX157" i="3" s="1"/>
  <c r="CY157" i="3"/>
  <c r="CZ157" i="3"/>
  <c r="DB157" i="3" s="1"/>
  <c r="DA157" i="3"/>
  <c r="DC157" i="3"/>
  <c r="A158" i="3"/>
  <c r="Y158" i="3"/>
  <c r="CX158" i="3" s="1"/>
  <c r="CY158" i="3"/>
  <c r="CZ158" i="3"/>
  <c r="DB158" i="3" s="1"/>
  <c r="DA158" i="3"/>
  <c r="DC158" i="3"/>
  <c r="DF158" i="3"/>
  <c r="DG158" i="3"/>
  <c r="DH158" i="3"/>
  <c r="DI158" i="3"/>
  <c r="DJ158" i="3"/>
  <c r="A159" i="3"/>
  <c r="Y159" i="3"/>
  <c r="CX159" i="3"/>
  <c r="CY159" i="3"/>
  <c r="CZ159" i="3"/>
  <c r="DB159" i="3" s="1"/>
  <c r="DA159" i="3"/>
  <c r="DC159" i="3"/>
  <c r="DF159" i="3"/>
  <c r="DG159" i="3"/>
  <c r="DH159" i="3"/>
  <c r="DI159" i="3"/>
  <c r="DJ159" i="3"/>
  <c r="A160" i="3"/>
  <c r="Y160" i="3"/>
  <c r="CX160" i="3"/>
  <c r="CY160" i="3"/>
  <c r="CZ160" i="3"/>
  <c r="DB160" i="3" s="1"/>
  <c r="DA160" i="3"/>
  <c r="DC160" i="3"/>
  <c r="DF160" i="3"/>
  <c r="DJ160" i="3" s="1"/>
  <c r="DG160" i="3"/>
  <c r="DH160" i="3"/>
  <c r="DI160" i="3"/>
  <c r="A161" i="3"/>
  <c r="Y161" i="3"/>
  <c r="CY161" i="3"/>
  <c r="CZ161" i="3"/>
  <c r="DB161" i="3" s="1"/>
  <c r="DA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A163" i="3"/>
  <c r="DB163" i="3"/>
  <c r="DC163" i="3"/>
  <c r="A164" i="3"/>
  <c r="Y164" i="3"/>
  <c r="CX164" i="3" s="1"/>
  <c r="CY164" i="3"/>
  <c r="CZ164" i="3"/>
  <c r="DA164" i="3"/>
  <c r="DB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A168" i="3"/>
  <c r="DB168" i="3"/>
  <c r="DC168" i="3"/>
  <c r="A169" i="3"/>
  <c r="Y169" i="3"/>
  <c r="CX169" i="3" s="1"/>
  <c r="CY169" i="3"/>
  <c r="CZ169" i="3"/>
  <c r="DB169" i="3" s="1"/>
  <c r="DA169" i="3"/>
  <c r="DC169" i="3"/>
  <c r="DF169" i="3"/>
  <c r="DJ169" i="3" s="1"/>
  <c r="A170" i="3"/>
  <c r="Y170" i="3"/>
  <c r="CX170" i="3" s="1"/>
  <c r="CY170" i="3"/>
  <c r="CZ170" i="3"/>
  <c r="DB170" i="3" s="1"/>
  <c r="DA170" i="3"/>
  <c r="DC170" i="3"/>
  <c r="A171" i="3"/>
  <c r="Y171" i="3"/>
  <c r="CX171" i="3" s="1"/>
  <c r="CY171" i="3"/>
  <c r="CZ171" i="3"/>
  <c r="DB171" i="3" s="1"/>
  <c r="DA171" i="3"/>
  <c r="DC171" i="3"/>
  <c r="DI171" i="3"/>
  <c r="A172" i="3"/>
  <c r="Y172" i="3"/>
  <c r="CY172" i="3"/>
  <c r="CZ172" i="3"/>
  <c r="DB172" i="3" s="1"/>
  <c r="DA172" i="3"/>
  <c r="DC172" i="3"/>
  <c r="A173" i="3"/>
  <c r="Y173" i="3"/>
  <c r="CY173" i="3"/>
  <c r="CZ173" i="3"/>
  <c r="DB173" i="3" s="1"/>
  <c r="DA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B176" i="3" s="1"/>
  <c r="DA176" i="3"/>
  <c r="DC176" i="3"/>
  <c r="DH176" i="3"/>
  <c r="DI176" i="3"/>
  <c r="A177" i="3"/>
  <c r="Y177" i="3"/>
  <c r="CX177" i="3" s="1"/>
  <c r="CY177" i="3"/>
  <c r="CZ177" i="3"/>
  <c r="DA177" i="3"/>
  <c r="DB177" i="3"/>
  <c r="DC177" i="3"/>
  <c r="DF177" i="3"/>
  <c r="DJ177" i="3" s="1"/>
  <c r="A178" i="3"/>
  <c r="Y178" i="3"/>
  <c r="CY178" i="3"/>
  <c r="CZ178" i="3"/>
  <c r="DB178" i="3" s="1"/>
  <c r="DA178" i="3"/>
  <c r="DC178" i="3"/>
  <c r="A179" i="3"/>
  <c r="Y179" i="3"/>
  <c r="CY179" i="3"/>
  <c r="CZ179" i="3"/>
  <c r="DA179" i="3"/>
  <c r="DB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A182" i="3"/>
  <c r="DB182" i="3"/>
  <c r="DC182" i="3"/>
  <c r="A183" i="3"/>
  <c r="Y183" i="3"/>
  <c r="CX183" i="3"/>
  <c r="CY183" i="3"/>
  <c r="CZ183" i="3"/>
  <c r="DA183" i="3"/>
  <c r="DB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A188" i="3"/>
  <c r="DB188" i="3"/>
  <c r="DC188" i="3"/>
  <c r="A189" i="3"/>
  <c r="Y189" i="3"/>
  <c r="CX189" i="3" s="1"/>
  <c r="CY189" i="3"/>
  <c r="CZ189" i="3"/>
  <c r="DA189" i="3"/>
  <c r="DB189" i="3"/>
  <c r="DC189" i="3"/>
  <c r="A190" i="3"/>
  <c r="Y190" i="3"/>
  <c r="CX190" i="3" s="1"/>
  <c r="CY190" i="3"/>
  <c r="CZ190" i="3"/>
  <c r="DB190" i="3" s="1"/>
  <c r="DA190" i="3"/>
  <c r="DC190" i="3"/>
  <c r="DF190" i="3"/>
  <c r="DJ190" i="3" s="1"/>
  <c r="DG190" i="3"/>
  <c r="A191" i="3"/>
  <c r="Y191" i="3"/>
  <c r="CX191" i="3" s="1"/>
  <c r="DH191" i="3" s="1"/>
  <c r="CY191" i="3"/>
  <c r="CZ191" i="3"/>
  <c r="DB191" i="3" s="1"/>
  <c r="DA191" i="3"/>
  <c r="DC191" i="3"/>
  <c r="DF191" i="3"/>
  <c r="DJ191" i="3" s="1"/>
  <c r="DG191" i="3"/>
  <c r="DI191" i="3"/>
  <c r="A192" i="3"/>
  <c r="Y192" i="3"/>
  <c r="CX192" i="3"/>
  <c r="CY192" i="3"/>
  <c r="CZ192" i="3"/>
  <c r="DA192" i="3"/>
  <c r="DB192" i="3"/>
  <c r="DC192" i="3"/>
  <c r="DF192" i="3"/>
  <c r="DJ192" i="3" s="1"/>
  <c r="A193" i="3"/>
  <c r="Y193" i="3"/>
  <c r="CX193" i="3"/>
  <c r="CY193" i="3"/>
  <c r="CZ193" i="3"/>
  <c r="DA193" i="3"/>
  <c r="DB193" i="3"/>
  <c r="DC193" i="3"/>
  <c r="DG193" i="3"/>
  <c r="DH193" i="3"/>
  <c r="A194" i="3"/>
  <c r="Y194" i="3"/>
  <c r="CX194" i="3" s="1"/>
  <c r="CY194" i="3"/>
  <c r="CZ194" i="3"/>
  <c r="DA194" i="3"/>
  <c r="DB194" i="3"/>
  <c r="DC194" i="3"/>
  <c r="A195" i="3"/>
  <c r="Y195" i="3"/>
  <c r="CX195" i="3" s="1"/>
  <c r="CY195" i="3"/>
  <c r="CZ195" i="3"/>
  <c r="DA195" i="3"/>
  <c r="DB195" i="3"/>
  <c r="DC195" i="3"/>
  <c r="A196" i="3"/>
  <c r="Y196" i="3"/>
  <c r="CX196" i="3" s="1"/>
  <c r="CY196" i="3"/>
  <c r="CZ196" i="3"/>
  <c r="DA196" i="3"/>
  <c r="DB196" i="3"/>
  <c r="DC196" i="3"/>
  <c r="A197" i="3"/>
  <c r="Y197" i="3"/>
  <c r="CU197" i="3"/>
  <c r="CY197" i="3"/>
  <c r="CZ197" i="3"/>
  <c r="DB197" i="3" s="1"/>
  <c r="DA197" i="3"/>
  <c r="DC197" i="3"/>
  <c r="A198" i="3"/>
  <c r="Y198" i="3"/>
  <c r="CU198" i="3"/>
  <c r="CV198" i="3"/>
  <c r="CX198" i="3"/>
  <c r="DI198" i="3" s="1"/>
  <c r="DJ198" i="3" s="1"/>
  <c r="CY198" i="3"/>
  <c r="CZ198" i="3"/>
  <c r="DA198" i="3"/>
  <c r="DB198" i="3"/>
  <c r="DC198" i="3"/>
  <c r="DF198" i="3"/>
  <c r="DG198" i="3"/>
  <c r="DH198" i="3"/>
  <c r="A199" i="3"/>
  <c r="Y199" i="3"/>
  <c r="CX199" i="3" s="1"/>
  <c r="CY199" i="3"/>
  <c r="CZ199" i="3"/>
  <c r="DA199" i="3"/>
  <c r="DB199" i="3"/>
  <c r="DC199" i="3"/>
  <c r="DF199" i="3"/>
  <c r="DJ199" i="3" s="1"/>
  <c r="A200" i="3"/>
  <c r="Y200" i="3"/>
  <c r="CX200" i="3"/>
  <c r="CY200" i="3"/>
  <c r="CZ200" i="3"/>
  <c r="DB200" i="3" s="1"/>
  <c r="DA200" i="3"/>
  <c r="DC200" i="3"/>
  <c r="DF200" i="3"/>
  <c r="DJ200" i="3" s="1"/>
  <c r="DG200" i="3"/>
  <c r="A201" i="3"/>
  <c r="Y201" i="3"/>
  <c r="CX201" i="3" s="1"/>
  <c r="CY201" i="3"/>
  <c r="CZ201" i="3"/>
  <c r="DB201" i="3" s="1"/>
  <c r="DA201" i="3"/>
  <c r="DC201" i="3"/>
  <c r="DI201" i="3"/>
  <c r="A202" i="3"/>
  <c r="Y202" i="3"/>
  <c r="CX202" i="3" s="1"/>
  <c r="CY202" i="3"/>
  <c r="CZ202" i="3"/>
  <c r="DA202" i="3"/>
  <c r="DB202" i="3"/>
  <c r="DC202" i="3"/>
  <c r="DF202" i="3"/>
  <c r="DJ202" i="3" s="1"/>
  <c r="A203" i="3"/>
  <c r="Y203" i="3"/>
  <c r="CX203" i="3" s="1"/>
  <c r="CY203" i="3"/>
  <c r="CZ203" i="3"/>
  <c r="DB203" i="3" s="1"/>
  <c r="DA203" i="3"/>
  <c r="DC203" i="3"/>
  <c r="DF203" i="3"/>
  <c r="DJ203" i="3" s="1"/>
  <c r="A204" i="3"/>
  <c r="Y204" i="3"/>
  <c r="CX204" i="3" s="1"/>
  <c r="CY204" i="3"/>
  <c r="CZ204" i="3"/>
  <c r="DA204" i="3"/>
  <c r="DB204" i="3"/>
  <c r="DC204" i="3"/>
  <c r="A205" i="3"/>
  <c r="Y205" i="3"/>
  <c r="CX205" i="3" s="1"/>
  <c r="CY205" i="3"/>
  <c r="CZ205" i="3"/>
  <c r="DA205" i="3"/>
  <c r="DB205" i="3"/>
  <c r="DC205" i="3"/>
  <c r="A206" i="3"/>
  <c r="Y206" i="3"/>
  <c r="CX206" i="3" s="1"/>
  <c r="CY206" i="3"/>
  <c r="CZ206" i="3"/>
  <c r="DA206" i="3"/>
  <c r="DB206" i="3"/>
  <c r="DC20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C26" i="1"/>
  <c r="E26" i="1"/>
  <c r="F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GC26" i="1"/>
  <c r="GD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AC28" i="1"/>
  <c r="AD28" i="1"/>
  <c r="AE28" i="1"/>
  <c r="AF28" i="1"/>
  <c r="AG28" i="1"/>
  <c r="CU28" i="1" s="1"/>
  <c r="AH28" i="1"/>
  <c r="AI28" i="1"/>
  <c r="CW28" i="1" s="1"/>
  <c r="AJ28" i="1"/>
  <c r="CR28" i="1"/>
  <c r="CS28" i="1"/>
  <c r="CT28" i="1"/>
  <c r="CV28" i="1"/>
  <c r="CX28" i="1"/>
  <c r="GL28" i="1"/>
  <c r="GO28" i="1"/>
  <c r="GP28" i="1"/>
  <c r="GV28" i="1"/>
  <c r="HC28" i="1" s="1"/>
  <c r="C29" i="1"/>
  <c r="D29" i="1"/>
  <c r="I29" i="1"/>
  <c r="Q29" i="1" s="1"/>
  <c r="K29" i="1"/>
  <c r="AC29" i="1"/>
  <c r="AE29" i="1"/>
  <c r="AF29" i="1"/>
  <c r="AG29" i="1"/>
  <c r="CU29" i="1" s="1"/>
  <c r="AH29" i="1"/>
  <c r="CV29" i="1" s="1"/>
  <c r="AI29" i="1"/>
  <c r="AJ29" i="1"/>
  <c r="CR29" i="1"/>
  <c r="CS29" i="1"/>
  <c r="CW29" i="1"/>
  <c r="CX29" i="1"/>
  <c r="GL29" i="1"/>
  <c r="GO29" i="1"/>
  <c r="GP29" i="1"/>
  <c r="GV29" i="1"/>
  <c r="HC29" i="1" s="1"/>
  <c r="C30" i="1"/>
  <c r="D30" i="1"/>
  <c r="I30" i="1"/>
  <c r="K30" i="1"/>
  <c r="AC30" i="1"/>
  <c r="AE30" i="1"/>
  <c r="AF30" i="1"/>
  <c r="AG30" i="1"/>
  <c r="CU30" i="1" s="1"/>
  <c r="AH30" i="1"/>
  <c r="AI30" i="1"/>
  <c r="AJ30" i="1"/>
  <c r="CX30" i="1" s="1"/>
  <c r="W30" i="1" s="1"/>
  <c r="CV30" i="1"/>
  <c r="U30" i="1" s="1"/>
  <c r="CW30" i="1"/>
  <c r="V30" i="1" s="1"/>
  <c r="GL30" i="1"/>
  <c r="GO30" i="1"/>
  <c r="GP30" i="1"/>
  <c r="GV30" i="1"/>
  <c r="GX30" i="1"/>
  <c r="HC30" i="1"/>
  <c r="C31" i="1"/>
  <c r="D31" i="1"/>
  <c r="I31" i="1"/>
  <c r="K31" i="1"/>
  <c r="R31" i="1"/>
  <c r="GK31" i="1" s="1"/>
  <c r="U31" i="1"/>
  <c r="AC31" i="1"/>
  <c r="AD31" i="1"/>
  <c r="AE31" i="1"/>
  <c r="CR31" i="1" s="1"/>
  <c r="AF31" i="1"/>
  <c r="AG31" i="1"/>
  <c r="CU31" i="1" s="1"/>
  <c r="T31" i="1" s="1"/>
  <c r="AH31" i="1"/>
  <c r="AI31" i="1"/>
  <c r="CW31" i="1" s="1"/>
  <c r="V31" i="1" s="1"/>
  <c r="AJ31" i="1"/>
  <c r="CX31" i="1" s="1"/>
  <c r="W31" i="1" s="1"/>
  <c r="CQ31" i="1"/>
  <c r="CS31" i="1"/>
  <c r="CV31" i="1"/>
  <c r="GL31" i="1"/>
  <c r="GO31" i="1"/>
  <c r="GP31" i="1"/>
  <c r="GV31" i="1"/>
  <c r="HC31" i="1" s="1"/>
  <c r="GX31" i="1" s="1"/>
  <c r="C32" i="1"/>
  <c r="D32" i="1"/>
  <c r="I32" i="1"/>
  <c r="K32" i="1"/>
  <c r="P32" i="1"/>
  <c r="V32" i="1"/>
  <c r="AC32" i="1"/>
  <c r="CQ32" i="1" s="1"/>
  <c r="AD32" i="1"/>
  <c r="AB32" i="1" s="1"/>
  <c r="AE32" i="1"/>
  <c r="AF32" i="1"/>
  <c r="AG32" i="1"/>
  <c r="AH32" i="1"/>
  <c r="AI32" i="1"/>
  <c r="CW32" i="1" s="1"/>
  <c r="AJ32" i="1"/>
  <c r="CT32" i="1"/>
  <c r="CU32" i="1"/>
  <c r="T32" i="1" s="1"/>
  <c r="CV32" i="1"/>
  <c r="U32" i="1" s="1"/>
  <c r="CX32" i="1"/>
  <c r="W32" i="1" s="1"/>
  <c r="GL32" i="1"/>
  <c r="GO32" i="1"/>
  <c r="GP32" i="1"/>
  <c r="GV32" i="1"/>
  <c r="GX32" i="1"/>
  <c r="HC32" i="1"/>
  <c r="C33" i="1"/>
  <c r="D33" i="1"/>
  <c r="I33" i="1"/>
  <c r="K33" i="1"/>
  <c r="R33" i="1"/>
  <c r="GK33" i="1" s="1"/>
  <c r="AC33" i="1"/>
  <c r="AE33" i="1"/>
  <c r="AF33" i="1"/>
  <c r="AG33" i="1"/>
  <c r="CU33" i="1" s="1"/>
  <c r="T33" i="1" s="1"/>
  <c r="AH33" i="1"/>
  <c r="CV33" i="1" s="1"/>
  <c r="U33" i="1" s="1"/>
  <c r="AI33" i="1"/>
  <c r="AJ33" i="1"/>
  <c r="CR33" i="1"/>
  <c r="CW33" i="1"/>
  <c r="V33" i="1" s="1"/>
  <c r="CX33" i="1"/>
  <c r="W33" i="1" s="1"/>
  <c r="GL33" i="1"/>
  <c r="GO33" i="1"/>
  <c r="GP33" i="1"/>
  <c r="GV33" i="1"/>
  <c r="HC33" i="1"/>
  <c r="GX33" i="1" s="1"/>
  <c r="C34" i="1"/>
  <c r="D34" i="1"/>
  <c r="I34" i="1"/>
  <c r="K34" i="1"/>
  <c r="R34" i="1"/>
  <c r="GK34" i="1" s="1"/>
  <c r="S34" i="1"/>
  <c r="CY34" i="1" s="1"/>
  <c r="X34" i="1" s="1"/>
  <c r="AB34" i="1"/>
  <c r="AC34" i="1"/>
  <c r="AD34" i="1"/>
  <c r="AE34" i="1"/>
  <c r="AF34" i="1"/>
  <c r="AG34" i="1"/>
  <c r="AH34" i="1"/>
  <c r="AI34" i="1"/>
  <c r="AJ34" i="1"/>
  <c r="CX34" i="1" s="1"/>
  <c r="W34" i="1" s="1"/>
  <c r="CQ34" i="1"/>
  <c r="CR34" i="1"/>
  <c r="CS34" i="1"/>
  <c r="CT34" i="1"/>
  <c r="CU34" i="1"/>
  <c r="CV34" i="1"/>
  <c r="CW34" i="1"/>
  <c r="CZ34" i="1"/>
  <c r="Y34" i="1" s="1"/>
  <c r="GL34" i="1"/>
  <c r="GO34" i="1"/>
  <c r="GP34" i="1"/>
  <c r="GV34" i="1"/>
  <c r="HC34" i="1" s="1"/>
  <c r="GX34" i="1"/>
  <c r="C35" i="1"/>
  <c r="D35" i="1"/>
  <c r="I35" i="1"/>
  <c r="CU16" i="3" s="1"/>
  <c r="K35" i="1"/>
  <c r="P35" i="1"/>
  <c r="Q35" i="1"/>
  <c r="CP35" i="1" s="1"/>
  <c r="O35" i="1" s="1"/>
  <c r="R35" i="1"/>
  <c r="S35" i="1"/>
  <c r="AC35" i="1"/>
  <c r="CQ35" i="1" s="1"/>
  <c r="AD35" i="1"/>
  <c r="AB35" i="1" s="1"/>
  <c r="AE35" i="1"/>
  <c r="CS35" i="1" s="1"/>
  <c r="AF35" i="1"/>
  <c r="CT35" i="1" s="1"/>
  <c r="AG35" i="1"/>
  <c r="CU35" i="1" s="1"/>
  <c r="T35" i="1" s="1"/>
  <c r="AH35" i="1"/>
  <c r="CV35" i="1" s="1"/>
  <c r="U35" i="1" s="1"/>
  <c r="AI35" i="1"/>
  <c r="CW35" i="1" s="1"/>
  <c r="V35" i="1" s="1"/>
  <c r="AJ35" i="1"/>
  <c r="CX35" i="1" s="1"/>
  <c r="W35" i="1" s="1"/>
  <c r="CR35" i="1"/>
  <c r="GK35" i="1"/>
  <c r="GL35" i="1"/>
  <c r="GO35" i="1"/>
  <c r="GP35" i="1"/>
  <c r="GV35" i="1"/>
  <c r="HC35" i="1" s="1"/>
  <c r="GX35" i="1" s="1"/>
  <c r="C36" i="1"/>
  <c r="D36" i="1"/>
  <c r="I36" i="1"/>
  <c r="K36" i="1"/>
  <c r="S36" i="1"/>
  <c r="T36" i="1"/>
  <c r="AC36" i="1"/>
  <c r="AE36" i="1"/>
  <c r="AF36" i="1"/>
  <c r="AG36" i="1"/>
  <c r="CU36" i="1" s="1"/>
  <c r="AH36" i="1"/>
  <c r="AI36" i="1"/>
  <c r="AJ36" i="1"/>
  <c r="CX36" i="1" s="1"/>
  <c r="W36" i="1" s="1"/>
  <c r="CT36" i="1"/>
  <c r="CV36" i="1"/>
  <c r="U36" i="1" s="1"/>
  <c r="CW36" i="1"/>
  <c r="V36" i="1" s="1"/>
  <c r="CY36" i="1"/>
  <c r="X36" i="1" s="1"/>
  <c r="CZ36" i="1"/>
  <c r="Y36" i="1" s="1"/>
  <c r="GL36" i="1"/>
  <c r="GO36" i="1"/>
  <c r="GP36" i="1"/>
  <c r="GV36" i="1"/>
  <c r="GX36" i="1"/>
  <c r="HC36" i="1"/>
  <c r="C37" i="1"/>
  <c r="D37" i="1"/>
  <c r="I37" i="1"/>
  <c r="K37" i="1"/>
  <c r="W37" i="1"/>
  <c r="AC37" i="1"/>
  <c r="AD37" i="1"/>
  <c r="AE37" i="1"/>
  <c r="AF37" i="1"/>
  <c r="AG37" i="1"/>
  <c r="CU37" i="1" s="1"/>
  <c r="T37" i="1" s="1"/>
  <c r="AH37" i="1"/>
  <c r="AI37" i="1"/>
  <c r="AJ37" i="1"/>
  <c r="CQ37" i="1"/>
  <c r="CR37" i="1"/>
  <c r="CS37" i="1"/>
  <c r="CV37" i="1"/>
  <c r="CW37" i="1"/>
  <c r="V37" i="1" s="1"/>
  <c r="CX37" i="1"/>
  <c r="GL37" i="1"/>
  <c r="GO37" i="1"/>
  <c r="GP37" i="1"/>
  <c r="GV37" i="1"/>
  <c r="HC37" i="1" s="1"/>
  <c r="GX37" i="1"/>
  <c r="D38" i="1"/>
  <c r="P38" i="1"/>
  <c r="Q38" i="1"/>
  <c r="R38" i="1"/>
  <c r="GK38" i="1" s="1"/>
  <c r="V38" i="1"/>
  <c r="AC38" i="1"/>
  <c r="AD38" i="1"/>
  <c r="AE38" i="1"/>
  <c r="CS38" i="1" s="1"/>
  <c r="AF38" i="1"/>
  <c r="AG38" i="1"/>
  <c r="AH38" i="1"/>
  <c r="AI38" i="1"/>
  <c r="AJ38" i="1"/>
  <c r="CQ38" i="1"/>
  <c r="CU38" i="1"/>
  <c r="T38" i="1" s="1"/>
  <c r="CV38" i="1"/>
  <c r="U38" i="1" s="1"/>
  <c r="CW38" i="1"/>
  <c r="CX38" i="1"/>
  <c r="W38" i="1" s="1"/>
  <c r="GL38" i="1"/>
  <c r="GO38" i="1"/>
  <c r="GP38" i="1"/>
  <c r="GV38" i="1"/>
  <c r="HC38" i="1"/>
  <c r="GX38" i="1" s="1"/>
  <c r="D39" i="1"/>
  <c r="S39" i="1"/>
  <c r="U39" i="1"/>
  <c r="AB39" i="1"/>
  <c r="AC39" i="1"/>
  <c r="AD39" i="1"/>
  <c r="AE39" i="1"/>
  <c r="AF39" i="1"/>
  <c r="AG39" i="1"/>
  <c r="AH39" i="1"/>
  <c r="AI39" i="1"/>
  <c r="CW39" i="1" s="1"/>
  <c r="V39" i="1" s="1"/>
  <c r="AJ39" i="1"/>
  <c r="CS39" i="1"/>
  <c r="CT39" i="1"/>
  <c r="CU39" i="1"/>
  <c r="T39" i="1" s="1"/>
  <c r="CV39" i="1"/>
  <c r="CX39" i="1"/>
  <c r="W39" i="1" s="1"/>
  <c r="GL39" i="1"/>
  <c r="GO39" i="1"/>
  <c r="GP39" i="1"/>
  <c r="GV39" i="1"/>
  <c r="HC39" i="1" s="1"/>
  <c r="GX39" i="1" s="1"/>
  <c r="I40" i="1"/>
  <c r="K40" i="1"/>
  <c r="T40" i="1"/>
  <c r="W40" i="1"/>
  <c r="AC40" i="1"/>
  <c r="AE40" i="1"/>
  <c r="AF40" i="1"/>
  <c r="AG40" i="1"/>
  <c r="CU40" i="1" s="1"/>
  <c r="AH40" i="1"/>
  <c r="AI40" i="1"/>
  <c r="CW40" i="1" s="1"/>
  <c r="V40" i="1" s="1"/>
  <c r="AJ40" i="1"/>
  <c r="CQ40" i="1"/>
  <c r="CV40" i="1"/>
  <c r="CX40" i="1"/>
  <c r="GL40" i="1"/>
  <c r="GO40" i="1"/>
  <c r="GP40" i="1"/>
  <c r="GV40" i="1"/>
  <c r="GX40" i="1"/>
  <c r="HC40" i="1"/>
  <c r="I41" i="1"/>
  <c r="K41" i="1"/>
  <c r="S41" i="1"/>
  <c r="T41" i="1"/>
  <c r="W41" i="1"/>
  <c r="AC41" i="1"/>
  <c r="P41" i="1" s="1"/>
  <c r="AE41" i="1"/>
  <c r="AF41" i="1"/>
  <c r="AG41" i="1"/>
  <c r="CU41" i="1" s="1"/>
  <c r="AH41" i="1"/>
  <c r="AI41" i="1"/>
  <c r="CW41" i="1" s="1"/>
  <c r="V41" i="1" s="1"/>
  <c r="AJ41" i="1"/>
  <c r="CQ41" i="1"/>
  <c r="CT41" i="1"/>
  <c r="CV41" i="1"/>
  <c r="U41" i="1" s="1"/>
  <c r="CX41" i="1"/>
  <c r="GL41" i="1"/>
  <c r="GO41" i="1"/>
  <c r="GP41" i="1"/>
  <c r="GV41" i="1"/>
  <c r="HC41" i="1" s="1"/>
  <c r="GX41" i="1" s="1"/>
  <c r="I42" i="1"/>
  <c r="K42" i="1"/>
  <c r="S42" i="1"/>
  <c r="AC42" i="1"/>
  <c r="P42" i="1" s="1"/>
  <c r="AE42" i="1"/>
  <c r="AF42" i="1"/>
  <c r="AG42" i="1"/>
  <c r="CU42" i="1" s="1"/>
  <c r="AH42" i="1"/>
  <c r="AI42" i="1"/>
  <c r="AJ42" i="1"/>
  <c r="CQ42" i="1"/>
  <c r="CT42" i="1"/>
  <c r="CV42" i="1"/>
  <c r="U42" i="1" s="1"/>
  <c r="CW42" i="1"/>
  <c r="V42" i="1" s="1"/>
  <c r="CX42" i="1"/>
  <c r="W42" i="1" s="1"/>
  <c r="GL42" i="1"/>
  <c r="GO42" i="1"/>
  <c r="GP42" i="1"/>
  <c r="GV42" i="1"/>
  <c r="GX42" i="1"/>
  <c r="HC42" i="1"/>
  <c r="I43" i="1"/>
  <c r="K43" i="1"/>
  <c r="P43" i="1"/>
  <c r="U43" i="1"/>
  <c r="AC43" i="1"/>
  <c r="AD43" i="1"/>
  <c r="AE43" i="1"/>
  <c r="AF43" i="1"/>
  <c r="AG43" i="1"/>
  <c r="CU43" i="1" s="1"/>
  <c r="AH43" i="1"/>
  <c r="CV43" i="1" s="1"/>
  <c r="AI43" i="1"/>
  <c r="AJ43" i="1"/>
  <c r="CQ43" i="1"/>
  <c r="CR43" i="1"/>
  <c r="CS43" i="1"/>
  <c r="CW43" i="1"/>
  <c r="CX43" i="1"/>
  <c r="W43" i="1" s="1"/>
  <c r="GL43" i="1"/>
  <c r="GO43" i="1"/>
  <c r="GP43" i="1"/>
  <c r="GV43" i="1"/>
  <c r="HC43" i="1" s="1"/>
  <c r="GX43" i="1" s="1"/>
  <c r="C44" i="1"/>
  <c r="D44" i="1"/>
  <c r="I44" i="1"/>
  <c r="K44" i="1"/>
  <c r="P44" i="1"/>
  <c r="Q44" i="1"/>
  <c r="AC44" i="1"/>
  <c r="AD44" i="1"/>
  <c r="AE44" i="1"/>
  <c r="AF44" i="1"/>
  <c r="AG44" i="1"/>
  <c r="CU44" i="1" s="1"/>
  <c r="T44" i="1" s="1"/>
  <c r="AH44" i="1"/>
  <c r="AI44" i="1"/>
  <c r="CW44" i="1" s="1"/>
  <c r="V44" i="1" s="1"/>
  <c r="AJ44" i="1"/>
  <c r="CQ44" i="1"/>
  <c r="CV44" i="1"/>
  <c r="U44" i="1" s="1"/>
  <c r="CX44" i="1"/>
  <c r="W44" i="1" s="1"/>
  <c r="GL44" i="1"/>
  <c r="GO44" i="1"/>
  <c r="GP44" i="1"/>
  <c r="GV44" i="1"/>
  <c r="HC44" i="1"/>
  <c r="GX44" i="1" s="1"/>
  <c r="C45" i="1"/>
  <c r="D45" i="1"/>
  <c r="I45" i="1"/>
  <c r="K45" i="1"/>
  <c r="AC45" i="1"/>
  <c r="AE45" i="1"/>
  <c r="AF45" i="1"/>
  <c r="AG45" i="1"/>
  <c r="CU45" i="1" s="1"/>
  <c r="T45" i="1" s="1"/>
  <c r="AH45" i="1"/>
  <c r="AI45" i="1"/>
  <c r="CW45" i="1" s="1"/>
  <c r="AJ45" i="1"/>
  <c r="CQ45" i="1"/>
  <c r="CS45" i="1"/>
  <c r="CT45" i="1"/>
  <c r="CV45" i="1"/>
  <c r="CX45" i="1"/>
  <c r="W45" i="1" s="1"/>
  <c r="GL45" i="1"/>
  <c r="GO45" i="1"/>
  <c r="GP45" i="1"/>
  <c r="GV45" i="1"/>
  <c r="HC45" i="1" s="1"/>
  <c r="GX45" i="1"/>
  <c r="C46" i="1"/>
  <c r="D46" i="1"/>
  <c r="I46" i="1"/>
  <c r="K46" i="1"/>
  <c r="Q46" i="1"/>
  <c r="S46" i="1"/>
  <c r="CZ46" i="1" s="1"/>
  <c r="T46" i="1"/>
  <c r="Y46" i="1"/>
  <c r="AC46" i="1"/>
  <c r="AE46" i="1"/>
  <c r="AF46" i="1"/>
  <c r="AG46" i="1"/>
  <c r="CU46" i="1" s="1"/>
  <c r="AH46" i="1"/>
  <c r="AI46" i="1"/>
  <c r="CW46" i="1" s="1"/>
  <c r="V46" i="1" s="1"/>
  <c r="AJ46" i="1"/>
  <c r="CR46" i="1"/>
  <c r="CT46" i="1"/>
  <c r="CV46" i="1"/>
  <c r="U46" i="1" s="1"/>
  <c r="CX46" i="1"/>
  <c r="CY46" i="1"/>
  <c r="X46" i="1" s="1"/>
  <c r="GL46" i="1"/>
  <c r="GO46" i="1"/>
  <c r="GP46" i="1"/>
  <c r="GV46" i="1"/>
  <c r="HC46" i="1" s="1"/>
  <c r="GX46" i="1" s="1"/>
  <c r="C47" i="1"/>
  <c r="D47" i="1"/>
  <c r="I47" i="1"/>
  <c r="CU33" i="3" s="1"/>
  <c r="K47" i="1"/>
  <c r="P47" i="1"/>
  <c r="Q47" i="1"/>
  <c r="R47" i="1"/>
  <c r="GK47" i="1" s="1"/>
  <c r="S47" i="1"/>
  <c r="W47" i="1"/>
  <c r="X47" i="1"/>
  <c r="Y47" i="1"/>
  <c r="AC47" i="1"/>
  <c r="AD47" i="1"/>
  <c r="AE47" i="1"/>
  <c r="CS47" i="1" s="1"/>
  <c r="AF47" i="1"/>
  <c r="AG47" i="1"/>
  <c r="CU47" i="1" s="1"/>
  <c r="T47" i="1" s="1"/>
  <c r="AH47" i="1"/>
  <c r="CV47" i="1" s="1"/>
  <c r="U47" i="1" s="1"/>
  <c r="AI47" i="1"/>
  <c r="AJ47" i="1"/>
  <c r="CQ47" i="1"/>
  <c r="CR47" i="1"/>
  <c r="CT47" i="1"/>
  <c r="CW47" i="1"/>
  <c r="V47" i="1" s="1"/>
  <c r="CX47" i="1"/>
  <c r="CY47" i="1"/>
  <c r="CZ47" i="1"/>
  <c r="GL47" i="1"/>
  <c r="GO47" i="1"/>
  <c r="GP47" i="1"/>
  <c r="GV47" i="1"/>
  <c r="HC47" i="1"/>
  <c r="GX47" i="1" s="1"/>
  <c r="C48" i="1"/>
  <c r="D48" i="1"/>
  <c r="I48" i="1"/>
  <c r="K48" i="1"/>
  <c r="AC48" i="1"/>
  <c r="AE48" i="1"/>
  <c r="AF48" i="1"/>
  <c r="AG48" i="1"/>
  <c r="CU48" i="1" s="1"/>
  <c r="AH48" i="1"/>
  <c r="CV48" i="1" s="1"/>
  <c r="AI48" i="1"/>
  <c r="CW48" i="1" s="1"/>
  <c r="AJ48" i="1"/>
  <c r="CQ48" i="1"/>
  <c r="CT48" i="1"/>
  <c r="CX48" i="1"/>
  <c r="GL48" i="1"/>
  <c r="GO48" i="1"/>
  <c r="GP48" i="1"/>
  <c r="GV48" i="1"/>
  <c r="HC48" i="1" s="1"/>
  <c r="C49" i="1"/>
  <c r="D49" i="1"/>
  <c r="I49" i="1"/>
  <c r="K49" i="1"/>
  <c r="Q49" i="1"/>
  <c r="R49" i="1"/>
  <c r="GK49" i="1" s="1"/>
  <c r="Y49" i="1"/>
  <c r="AB49" i="1"/>
  <c r="AC49" i="1"/>
  <c r="AE49" i="1"/>
  <c r="AD49" i="1" s="1"/>
  <c r="AF49" i="1"/>
  <c r="S49" i="1" s="1"/>
  <c r="AG49" i="1"/>
  <c r="AH49" i="1"/>
  <c r="CV49" i="1" s="1"/>
  <c r="U49" i="1" s="1"/>
  <c r="AI49" i="1"/>
  <c r="AJ49" i="1"/>
  <c r="CT49" i="1"/>
  <c r="CU49" i="1"/>
  <c r="T49" i="1" s="1"/>
  <c r="CW49" i="1"/>
  <c r="V49" i="1" s="1"/>
  <c r="CX49" i="1"/>
  <c r="W49" i="1" s="1"/>
  <c r="CY49" i="1"/>
  <c r="X49" i="1" s="1"/>
  <c r="CZ49" i="1"/>
  <c r="GL49" i="1"/>
  <c r="GO49" i="1"/>
  <c r="GP49" i="1"/>
  <c r="GV49" i="1"/>
  <c r="HC49" i="1"/>
  <c r="GX49" i="1" s="1"/>
  <c r="C50" i="1"/>
  <c r="D50" i="1"/>
  <c r="I50" i="1"/>
  <c r="K50" i="1"/>
  <c r="AC50" i="1"/>
  <c r="AD50" i="1"/>
  <c r="AE50" i="1"/>
  <c r="CS50" i="1" s="1"/>
  <c r="AF50" i="1"/>
  <c r="AG50" i="1"/>
  <c r="CU50" i="1" s="1"/>
  <c r="AH50" i="1"/>
  <c r="AI50" i="1"/>
  <c r="CW50" i="1" s="1"/>
  <c r="AJ50" i="1"/>
  <c r="CQ50" i="1"/>
  <c r="CR50" i="1"/>
  <c r="CT50" i="1"/>
  <c r="CV50" i="1"/>
  <c r="CX50" i="1"/>
  <c r="W50" i="1" s="1"/>
  <c r="GL50" i="1"/>
  <c r="GO50" i="1"/>
  <c r="GP50" i="1"/>
  <c r="GV50" i="1"/>
  <c r="HC50" i="1" s="1"/>
  <c r="GX50" i="1" s="1"/>
  <c r="C51" i="1"/>
  <c r="D51" i="1"/>
  <c r="I51" i="1"/>
  <c r="K51" i="1"/>
  <c r="P51" i="1"/>
  <c r="CP51" i="1" s="1"/>
  <c r="O51" i="1" s="1"/>
  <c r="Q51" i="1"/>
  <c r="S51" i="1"/>
  <c r="V51" i="1"/>
  <c r="X51" i="1"/>
  <c r="AC51" i="1"/>
  <c r="AE51" i="1"/>
  <c r="AF51" i="1"/>
  <c r="AG51" i="1"/>
  <c r="CU51" i="1" s="1"/>
  <c r="T51" i="1" s="1"/>
  <c r="AH51" i="1"/>
  <c r="AI51" i="1"/>
  <c r="CW51" i="1" s="1"/>
  <c r="AJ51" i="1"/>
  <c r="CX51" i="1" s="1"/>
  <c r="W51" i="1" s="1"/>
  <c r="CQ51" i="1"/>
  <c r="CT51" i="1"/>
  <c r="CV51" i="1"/>
  <c r="U51" i="1" s="1"/>
  <c r="CY51" i="1"/>
  <c r="CZ51" i="1"/>
  <c r="Y51" i="1" s="1"/>
  <c r="GL51" i="1"/>
  <c r="GO51" i="1"/>
  <c r="GP51" i="1"/>
  <c r="GV51" i="1"/>
  <c r="HC51" i="1" s="1"/>
  <c r="GX51" i="1" s="1"/>
  <c r="P52" i="1"/>
  <c r="Q52" i="1"/>
  <c r="R52" i="1"/>
  <c r="GK52" i="1" s="1"/>
  <c r="S52" i="1"/>
  <c r="CY52" i="1" s="1"/>
  <c r="X52" i="1" s="1"/>
  <c r="Y52" i="1"/>
  <c r="AB52" i="1"/>
  <c r="AC52" i="1"/>
  <c r="AD52" i="1"/>
  <c r="AE52" i="1"/>
  <c r="CR52" i="1" s="1"/>
  <c r="AF52" i="1"/>
  <c r="CT52" i="1" s="1"/>
  <c r="AG52" i="1"/>
  <c r="CU52" i="1" s="1"/>
  <c r="T52" i="1" s="1"/>
  <c r="AH52" i="1"/>
  <c r="AI52" i="1"/>
  <c r="AJ52" i="1"/>
  <c r="CQ52" i="1"/>
  <c r="CS52" i="1"/>
  <c r="CV52" i="1"/>
  <c r="U52" i="1" s="1"/>
  <c r="CW52" i="1"/>
  <c r="V52" i="1" s="1"/>
  <c r="CX52" i="1"/>
  <c r="W52" i="1" s="1"/>
  <c r="CZ52" i="1"/>
  <c r="GL52" i="1"/>
  <c r="GO52" i="1"/>
  <c r="GP52" i="1"/>
  <c r="GV52" i="1"/>
  <c r="HC52" i="1"/>
  <c r="GX52" i="1" s="1"/>
  <c r="R53" i="1"/>
  <c r="GK53" i="1" s="1"/>
  <c r="S53" i="1"/>
  <c r="CY53" i="1" s="1"/>
  <c r="X53" i="1" s="1"/>
  <c r="T53" i="1"/>
  <c r="W53" i="1"/>
  <c r="AC53" i="1"/>
  <c r="P53" i="1" s="1"/>
  <c r="AE53" i="1"/>
  <c r="AF53" i="1"/>
  <c r="AG53" i="1"/>
  <c r="CU53" i="1" s="1"/>
  <c r="AH53" i="1"/>
  <c r="AI53" i="1"/>
  <c r="CW53" i="1" s="1"/>
  <c r="V53" i="1" s="1"/>
  <c r="AJ53" i="1"/>
  <c r="CX53" i="1" s="1"/>
  <c r="CT53" i="1"/>
  <c r="CV53" i="1"/>
  <c r="U53" i="1" s="1"/>
  <c r="CZ53" i="1"/>
  <c r="Y53" i="1" s="1"/>
  <c r="GL53" i="1"/>
  <c r="GO53" i="1"/>
  <c r="GP53" i="1"/>
  <c r="GV53" i="1"/>
  <c r="GX53" i="1"/>
  <c r="HC53" i="1"/>
  <c r="S54" i="1"/>
  <c r="CY54" i="1" s="1"/>
  <c r="X54" i="1" s="1"/>
  <c r="AC54" i="1"/>
  <c r="AE54" i="1"/>
  <c r="AF54" i="1"/>
  <c r="AG54" i="1"/>
  <c r="CU54" i="1" s="1"/>
  <c r="T54" i="1" s="1"/>
  <c r="AH54" i="1"/>
  <c r="AI54" i="1"/>
  <c r="CW54" i="1" s="1"/>
  <c r="V54" i="1" s="1"/>
  <c r="AJ54" i="1"/>
  <c r="CT54" i="1"/>
  <c r="CV54" i="1"/>
  <c r="U54" i="1" s="1"/>
  <c r="CX54" i="1"/>
  <c r="W54" i="1" s="1"/>
  <c r="CZ54" i="1"/>
  <c r="Y54" i="1" s="1"/>
  <c r="GL54" i="1"/>
  <c r="GO54" i="1"/>
  <c r="GP54" i="1"/>
  <c r="GV54" i="1"/>
  <c r="GX54" i="1"/>
  <c r="HC54" i="1"/>
  <c r="Q55" i="1"/>
  <c r="R55" i="1"/>
  <c r="GK55" i="1" s="1"/>
  <c r="S55" i="1"/>
  <c r="U55" i="1"/>
  <c r="V55" i="1"/>
  <c r="AC55" i="1"/>
  <c r="AD55" i="1"/>
  <c r="AE55" i="1"/>
  <c r="CR55" i="1" s="1"/>
  <c r="AF55" i="1"/>
  <c r="AG55" i="1"/>
  <c r="AH55" i="1"/>
  <c r="AI55" i="1"/>
  <c r="CW55" i="1" s="1"/>
  <c r="AJ55" i="1"/>
  <c r="CQ55" i="1"/>
  <c r="CT55" i="1"/>
  <c r="CU55" i="1"/>
  <c r="T55" i="1" s="1"/>
  <c r="CV55" i="1"/>
  <c r="CX55" i="1"/>
  <c r="W55" i="1" s="1"/>
  <c r="GL55" i="1"/>
  <c r="GO55" i="1"/>
  <c r="GP55" i="1"/>
  <c r="GV55" i="1"/>
  <c r="HC55" i="1"/>
  <c r="GX55" i="1" s="1"/>
  <c r="R56" i="1"/>
  <c r="GK56" i="1" s="1"/>
  <c r="S56" i="1"/>
  <c r="T56" i="1"/>
  <c r="AC56" i="1"/>
  <c r="AE56" i="1"/>
  <c r="AF56" i="1"/>
  <c r="CT56" i="1" s="1"/>
  <c r="AG56" i="1"/>
  <c r="CU56" i="1" s="1"/>
  <c r="AH56" i="1"/>
  <c r="AI56" i="1"/>
  <c r="CW56" i="1" s="1"/>
  <c r="V56" i="1" s="1"/>
  <c r="AJ56" i="1"/>
  <c r="CV56" i="1"/>
  <c r="U56" i="1" s="1"/>
  <c r="CX56" i="1"/>
  <c r="W56" i="1" s="1"/>
  <c r="GL56" i="1"/>
  <c r="GO56" i="1"/>
  <c r="GP56" i="1"/>
  <c r="GV56" i="1"/>
  <c r="HC56" i="1"/>
  <c r="GX56" i="1" s="1"/>
  <c r="Q57" i="1"/>
  <c r="R57" i="1"/>
  <c r="GK57" i="1" s="1"/>
  <c r="U57" i="1"/>
  <c r="V57" i="1"/>
  <c r="W57" i="1"/>
  <c r="AC57" i="1"/>
  <c r="AD57" i="1"/>
  <c r="AE57" i="1"/>
  <c r="CS57" i="1" s="1"/>
  <c r="AF57" i="1"/>
  <c r="S57" i="1" s="1"/>
  <c r="CZ57" i="1" s="1"/>
  <c r="Y57" i="1" s="1"/>
  <c r="AG57" i="1"/>
  <c r="AH57" i="1"/>
  <c r="AI57" i="1"/>
  <c r="CW57" i="1" s="1"/>
  <c r="AJ57" i="1"/>
  <c r="CX57" i="1" s="1"/>
  <c r="CR57" i="1"/>
  <c r="CU57" i="1"/>
  <c r="T57" i="1" s="1"/>
  <c r="CV57" i="1"/>
  <c r="CY57" i="1"/>
  <c r="X57" i="1" s="1"/>
  <c r="GL57" i="1"/>
  <c r="GO57" i="1"/>
  <c r="GP57" i="1"/>
  <c r="GV57" i="1"/>
  <c r="HC57" i="1"/>
  <c r="GX57" i="1" s="1"/>
  <c r="D58" i="1"/>
  <c r="R58" i="1"/>
  <c r="GK58" i="1" s="1"/>
  <c r="T58" i="1"/>
  <c r="X58" i="1"/>
  <c r="AC58" i="1"/>
  <c r="AD58" i="1"/>
  <c r="AE58" i="1"/>
  <c r="AF58" i="1"/>
  <c r="S58" i="1" s="1"/>
  <c r="AG58" i="1"/>
  <c r="AH58" i="1"/>
  <c r="AI58" i="1"/>
  <c r="CW58" i="1" s="1"/>
  <c r="V58" i="1" s="1"/>
  <c r="AJ58" i="1"/>
  <c r="CX58" i="1" s="1"/>
  <c r="W58" i="1" s="1"/>
  <c r="CT58" i="1"/>
  <c r="CU58" i="1"/>
  <c r="CV58" i="1"/>
  <c r="U58" i="1" s="1"/>
  <c r="CY58" i="1"/>
  <c r="CZ58" i="1"/>
  <c r="Y58" i="1" s="1"/>
  <c r="GL58" i="1"/>
  <c r="GO58" i="1"/>
  <c r="GP58" i="1"/>
  <c r="GV58" i="1"/>
  <c r="HC58" i="1"/>
  <c r="GX58" i="1" s="1"/>
  <c r="D59" i="1"/>
  <c r="P59" i="1"/>
  <c r="Q59" i="1"/>
  <c r="R59" i="1"/>
  <c r="AC59" i="1"/>
  <c r="AE59" i="1"/>
  <c r="AF59" i="1"/>
  <c r="AG59" i="1"/>
  <c r="CU59" i="1" s="1"/>
  <c r="T59" i="1" s="1"/>
  <c r="AH59" i="1"/>
  <c r="AI59" i="1"/>
  <c r="CW59" i="1" s="1"/>
  <c r="V59" i="1" s="1"/>
  <c r="AJ59" i="1"/>
  <c r="CQ59" i="1"/>
  <c r="CR59" i="1"/>
  <c r="CV59" i="1"/>
  <c r="U59" i="1" s="1"/>
  <c r="CX59" i="1"/>
  <c r="W59" i="1" s="1"/>
  <c r="GK59" i="1"/>
  <c r="GL59" i="1"/>
  <c r="GO59" i="1"/>
  <c r="GP59" i="1"/>
  <c r="GV59" i="1"/>
  <c r="GX59" i="1"/>
  <c r="HC59" i="1"/>
  <c r="I60" i="1"/>
  <c r="K60" i="1"/>
  <c r="Q60" i="1"/>
  <c r="R60" i="1"/>
  <c r="GK60" i="1" s="1"/>
  <c r="V60" i="1"/>
  <c r="AC60" i="1"/>
  <c r="AE60" i="1"/>
  <c r="AF60" i="1"/>
  <c r="AG60" i="1"/>
  <c r="CU60" i="1" s="1"/>
  <c r="T60" i="1" s="1"/>
  <c r="AH60" i="1"/>
  <c r="AI60" i="1"/>
  <c r="AJ60" i="1"/>
  <c r="CV60" i="1"/>
  <c r="U60" i="1" s="1"/>
  <c r="CW60" i="1"/>
  <c r="CX60" i="1"/>
  <c r="W60" i="1" s="1"/>
  <c r="GL60" i="1"/>
  <c r="GO60" i="1"/>
  <c r="GP60" i="1"/>
  <c r="GV60" i="1"/>
  <c r="HC60" i="1"/>
  <c r="GX60" i="1" s="1"/>
  <c r="I61" i="1"/>
  <c r="K61" i="1"/>
  <c r="P61" i="1"/>
  <c r="Q61" i="1"/>
  <c r="CP61" i="1" s="1"/>
  <c r="O61" i="1" s="1"/>
  <c r="U61" i="1"/>
  <c r="V61" i="1"/>
  <c r="AC61" i="1"/>
  <c r="AD61" i="1"/>
  <c r="AE61" i="1"/>
  <c r="AF61" i="1"/>
  <c r="S61" i="1" s="1"/>
  <c r="CY61" i="1" s="1"/>
  <c r="X61" i="1" s="1"/>
  <c r="AG61" i="1"/>
  <c r="AH61" i="1"/>
  <c r="AI61" i="1"/>
  <c r="AJ61" i="1"/>
  <c r="CQ61" i="1"/>
  <c r="CU61" i="1"/>
  <c r="CV61" i="1"/>
  <c r="CW61" i="1"/>
  <c r="CX61" i="1"/>
  <c r="W61" i="1" s="1"/>
  <c r="CZ61" i="1"/>
  <c r="Y61" i="1" s="1"/>
  <c r="GL61" i="1"/>
  <c r="GO61" i="1"/>
  <c r="GP61" i="1"/>
  <c r="GV61" i="1"/>
  <c r="HC61" i="1" s="1"/>
  <c r="GX61" i="1" s="1"/>
  <c r="B63" i="1"/>
  <c r="B26" i="1" s="1"/>
  <c r="C63" i="1"/>
  <c r="D63" i="1"/>
  <c r="D26" i="1" s="1"/>
  <c r="F63" i="1"/>
  <c r="G63" i="1"/>
  <c r="G26" i="1" s="1"/>
  <c r="AP63" i="1"/>
  <c r="BC63" i="1"/>
  <c r="BD63" i="1"/>
  <c r="BX63" i="1"/>
  <c r="BY63" i="1"/>
  <c r="BY26" i="1" s="1"/>
  <c r="CK63" i="1"/>
  <c r="CL63" i="1"/>
  <c r="CL26" i="1" s="1"/>
  <c r="CM63" i="1"/>
  <c r="CM26" i="1" s="1"/>
  <c r="EG63" i="1"/>
  <c r="EH63" i="1"/>
  <c r="ET63" i="1"/>
  <c r="EU63" i="1"/>
  <c r="EU26" i="1" s="1"/>
  <c r="FP63" i="1"/>
  <c r="FQ63" i="1"/>
  <c r="FQ26" i="1" s="1"/>
  <c r="GC63" i="1"/>
  <c r="GD63" i="1"/>
  <c r="GE63" i="1"/>
  <c r="P79" i="1"/>
  <c r="D93" i="1"/>
  <c r="B95" i="1"/>
  <c r="C95" i="1"/>
  <c r="E95" i="1"/>
  <c r="F95" i="1"/>
  <c r="Z95" i="1"/>
  <c r="AA95" i="1"/>
  <c r="AM95" i="1"/>
  <c r="AN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CK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R95" i="1"/>
  <c r="DS95" i="1"/>
  <c r="EE95" i="1"/>
  <c r="EF95" i="1"/>
  <c r="EU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C97" i="1"/>
  <c r="D97" i="1"/>
  <c r="I97" i="1"/>
  <c r="K97" i="1"/>
  <c r="V97" i="1"/>
  <c r="AC97" i="1"/>
  <c r="CQ97" i="1" s="1"/>
  <c r="AE97" i="1"/>
  <c r="AF97" i="1"/>
  <c r="AG97" i="1"/>
  <c r="AH97" i="1"/>
  <c r="AI97" i="1"/>
  <c r="AJ97" i="1"/>
  <c r="CX97" i="1" s="1"/>
  <c r="CR97" i="1"/>
  <c r="CS97" i="1"/>
  <c r="CT97" i="1"/>
  <c r="CU97" i="1"/>
  <c r="CV97" i="1"/>
  <c r="CW97" i="1"/>
  <c r="GL97" i="1"/>
  <c r="GN97" i="1"/>
  <c r="GP97" i="1"/>
  <c r="GV97" i="1"/>
  <c r="HC97" i="1"/>
  <c r="GX97" i="1" s="1"/>
  <c r="C98" i="1"/>
  <c r="D98" i="1"/>
  <c r="I98" i="1"/>
  <c r="CX68" i="3" s="1"/>
  <c r="K98" i="1"/>
  <c r="P98" i="1"/>
  <c r="S98" i="1"/>
  <c r="CY98" i="1" s="1"/>
  <c r="X98" i="1" s="1"/>
  <c r="T98" i="1"/>
  <c r="U98" i="1"/>
  <c r="AC98" i="1"/>
  <c r="AE98" i="1"/>
  <c r="AF98" i="1"/>
  <c r="CT98" i="1" s="1"/>
  <c r="AG98" i="1"/>
  <c r="AH98" i="1"/>
  <c r="AI98" i="1"/>
  <c r="CW98" i="1" s="1"/>
  <c r="V98" i="1" s="1"/>
  <c r="AJ98" i="1"/>
  <c r="CX98" i="1" s="1"/>
  <c r="W98" i="1" s="1"/>
  <c r="CU98" i="1"/>
  <c r="CV98" i="1"/>
  <c r="CZ98" i="1"/>
  <c r="Y98" i="1" s="1"/>
  <c r="GL98" i="1"/>
  <c r="GN98" i="1"/>
  <c r="GP98" i="1"/>
  <c r="GV98" i="1"/>
  <c r="GX98" i="1"/>
  <c r="HC98" i="1"/>
  <c r="C99" i="1"/>
  <c r="D99" i="1"/>
  <c r="I99" i="1"/>
  <c r="K99" i="1"/>
  <c r="Q99" i="1"/>
  <c r="R99" i="1"/>
  <c r="GK99" i="1" s="1"/>
  <c r="S99" i="1"/>
  <c r="CY99" i="1" s="1"/>
  <c r="X99" i="1" s="1"/>
  <c r="W99" i="1"/>
  <c r="AC99" i="1"/>
  <c r="P99" i="1" s="1"/>
  <c r="AE99" i="1"/>
  <c r="AF99" i="1"/>
  <c r="AG99" i="1"/>
  <c r="CU99" i="1" s="1"/>
  <c r="T99" i="1" s="1"/>
  <c r="AH99" i="1"/>
  <c r="CV99" i="1" s="1"/>
  <c r="U99" i="1" s="1"/>
  <c r="AI99" i="1"/>
  <c r="AJ99" i="1"/>
  <c r="CQ99" i="1"/>
  <c r="CR99" i="1"/>
  <c r="CT99" i="1"/>
  <c r="CW99" i="1"/>
  <c r="V99" i="1" s="1"/>
  <c r="CX99" i="1"/>
  <c r="CZ99" i="1"/>
  <c r="Y99" i="1" s="1"/>
  <c r="GL99" i="1"/>
  <c r="GN99" i="1"/>
  <c r="GP99" i="1"/>
  <c r="GV99" i="1"/>
  <c r="GX99" i="1"/>
  <c r="HC99" i="1"/>
  <c r="C100" i="1"/>
  <c r="D100" i="1"/>
  <c r="I100" i="1"/>
  <c r="K100" i="1"/>
  <c r="P100" i="1"/>
  <c r="Q100" i="1"/>
  <c r="R100" i="1"/>
  <c r="W100" i="1"/>
  <c r="AC100" i="1"/>
  <c r="AE100" i="1"/>
  <c r="AD100" i="1" s="1"/>
  <c r="AF100" i="1"/>
  <c r="AG100" i="1"/>
  <c r="CU100" i="1" s="1"/>
  <c r="T100" i="1" s="1"/>
  <c r="AH100" i="1"/>
  <c r="AI100" i="1"/>
  <c r="CW100" i="1" s="1"/>
  <c r="V100" i="1" s="1"/>
  <c r="AJ100" i="1"/>
  <c r="CX100" i="1" s="1"/>
  <c r="CQ100" i="1"/>
  <c r="CR100" i="1"/>
  <c r="CS100" i="1"/>
  <c r="CV100" i="1"/>
  <c r="U100" i="1" s="1"/>
  <c r="GK100" i="1"/>
  <c r="GL100" i="1"/>
  <c r="GN100" i="1"/>
  <c r="GP100" i="1"/>
  <c r="GV100" i="1"/>
  <c r="HC100" i="1"/>
  <c r="GX100" i="1" s="1"/>
  <c r="C101" i="1"/>
  <c r="D101" i="1"/>
  <c r="R101" i="1"/>
  <c r="GK101" i="1" s="1"/>
  <c r="S101" i="1"/>
  <c r="U101" i="1"/>
  <c r="AC101" i="1"/>
  <c r="AE101" i="1"/>
  <c r="AF101" i="1"/>
  <c r="CT101" i="1" s="1"/>
  <c r="AG101" i="1"/>
  <c r="CU101" i="1" s="1"/>
  <c r="T101" i="1" s="1"/>
  <c r="AH101" i="1"/>
  <c r="CV101" i="1" s="1"/>
  <c r="AI101" i="1"/>
  <c r="AJ101" i="1"/>
  <c r="CR101" i="1"/>
  <c r="CW101" i="1"/>
  <c r="V101" i="1" s="1"/>
  <c r="CX101" i="1"/>
  <c r="W101" i="1" s="1"/>
  <c r="CY101" i="1"/>
  <c r="X101" i="1" s="1"/>
  <c r="CZ101" i="1"/>
  <c r="Y101" i="1" s="1"/>
  <c r="GL101" i="1"/>
  <c r="GN101" i="1"/>
  <c r="GP101" i="1"/>
  <c r="GV101" i="1"/>
  <c r="HC101" i="1" s="1"/>
  <c r="GX101" i="1" s="1"/>
  <c r="C102" i="1"/>
  <c r="D102" i="1"/>
  <c r="V102" i="1"/>
  <c r="AC102" i="1"/>
  <c r="AE102" i="1"/>
  <c r="AF102" i="1"/>
  <c r="AG102" i="1"/>
  <c r="AH102" i="1"/>
  <c r="AI102" i="1"/>
  <c r="AJ102" i="1"/>
  <c r="CX102" i="1" s="1"/>
  <c r="W102" i="1" s="1"/>
  <c r="CU102" i="1"/>
  <c r="T102" i="1" s="1"/>
  <c r="CV102" i="1"/>
  <c r="U102" i="1" s="1"/>
  <c r="CW102" i="1"/>
  <c r="GL102" i="1"/>
  <c r="GN102" i="1"/>
  <c r="GP102" i="1"/>
  <c r="GV102" i="1"/>
  <c r="HC102" i="1" s="1"/>
  <c r="GX102" i="1"/>
  <c r="I103" i="1"/>
  <c r="K103" i="1"/>
  <c r="Q103" i="1"/>
  <c r="R103" i="1"/>
  <c r="GK103" i="1" s="1"/>
  <c r="AC103" i="1"/>
  <c r="AD103" i="1"/>
  <c r="AE103" i="1"/>
  <c r="CS103" i="1" s="1"/>
  <c r="AF103" i="1"/>
  <c r="AG103" i="1"/>
  <c r="AH103" i="1"/>
  <c r="CV103" i="1" s="1"/>
  <c r="U103" i="1" s="1"/>
  <c r="AI103" i="1"/>
  <c r="CW103" i="1" s="1"/>
  <c r="V103" i="1" s="1"/>
  <c r="AJ103" i="1"/>
  <c r="CX103" i="1" s="1"/>
  <c r="W103" i="1" s="1"/>
  <c r="CR103" i="1"/>
  <c r="CU103" i="1"/>
  <c r="T103" i="1" s="1"/>
  <c r="GL103" i="1"/>
  <c r="GN103" i="1"/>
  <c r="GP103" i="1"/>
  <c r="GV103" i="1"/>
  <c r="HC103" i="1" s="1"/>
  <c r="GX103" i="1"/>
  <c r="I104" i="1"/>
  <c r="K104" i="1"/>
  <c r="S104" i="1"/>
  <c r="CY104" i="1" s="1"/>
  <c r="X104" i="1" s="1"/>
  <c r="V104" i="1"/>
  <c r="W104" i="1"/>
  <c r="AC104" i="1"/>
  <c r="AE104" i="1"/>
  <c r="AF104" i="1"/>
  <c r="AG104" i="1"/>
  <c r="AH104" i="1"/>
  <c r="AI104" i="1"/>
  <c r="CW104" i="1" s="1"/>
  <c r="AJ104" i="1"/>
  <c r="CX104" i="1" s="1"/>
  <c r="CT104" i="1"/>
  <c r="CU104" i="1"/>
  <c r="T104" i="1" s="1"/>
  <c r="CV104" i="1"/>
  <c r="U104" i="1" s="1"/>
  <c r="CZ104" i="1"/>
  <c r="Y104" i="1" s="1"/>
  <c r="GL104" i="1"/>
  <c r="GN104" i="1"/>
  <c r="GP104" i="1"/>
  <c r="GV104" i="1"/>
  <c r="HC104" i="1"/>
  <c r="GX104" i="1" s="1"/>
  <c r="Q105" i="1"/>
  <c r="R105" i="1"/>
  <c r="S105" i="1"/>
  <c r="U105" i="1"/>
  <c r="V105" i="1"/>
  <c r="AC105" i="1"/>
  <c r="AE105" i="1"/>
  <c r="AD105" i="1" s="1"/>
  <c r="AF105" i="1"/>
  <c r="CT105" i="1" s="1"/>
  <c r="AG105" i="1"/>
  <c r="CU105" i="1" s="1"/>
  <c r="T105" i="1" s="1"/>
  <c r="AH105" i="1"/>
  <c r="CV105" i="1" s="1"/>
  <c r="AI105" i="1"/>
  <c r="CW105" i="1" s="1"/>
  <c r="AJ105" i="1"/>
  <c r="CX105" i="1" s="1"/>
  <c r="W105" i="1" s="1"/>
  <c r="CS105" i="1"/>
  <c r="GK105" i="1"/>
  <c r="GL105" i="1"/>
  <c r="GN105" i="1"/>
  <c r="GP105" i="1"/>
  <c r="GV105" i="1"/>
  <c r="GX105" i="1"/>
  <c r="HC105" i="1"/>
  <c r="P106" i="1"/>
  <c r="Q106" i="1"/>
  <c r="R106" i="1"/>
  <c r="GK106" i="1" s="1"/>
  <c r="S106" i="1"/>
  <c r="T106" i="1"/>
  <c r="AB106" i="1"/>
  <c r="AC106" i="1"/>
  <c r="CQ106" i="1" s="1"/>
  <c r="AD106" i="1"/>
  <c r="AE106" i="1"/>
  <c r="CS106" i="1" s="1"/>
  <c r="AF106" i="1"/>
  <c r="AG106" i="1"/>
  <c r="CU106" i="1" s="1"/>
  <c r="AH106" i="1"/>
  <c r="AI106" i="1"/>
  <c r="AJ106" i="1"/>
  <c r="CR106" i="1"/>
  <c r="CT106" i="1"/>
  <c r="CV106" i="1"/>
  <c r="U106" i="1" s="1"/>
  <c r="CW106" i="1"/>
  <c r="V106" i="1" s="1"/>
  <c r="CX106" i="1"/>
  <c r="W106" i="1" s="1"/>
  <c r="GL106" i="1"/>
  <c r="GN106" i="1"/>
  <c r="GP106" i="1"/>
  <c r="GV106" i="1"/>
  <c r="HC106" i="1" s="1"/>
  <c r="GX106" i="1" s="1"/>
  <c r="C107" i="1"/>
  <c r="D107" i="1"/>
  <c r="P107" i="1"/>
  <c r="S107" i="1"/>
  <c r="CZ107" i="1" s="1"/>
  <c r="V107" i="1"/>
  <c r="Y107" i="1"/>
  <c r="AB107" i="1"/>
  <c r="AC107" i="1"/>
  <c r="CQ107" i="1" s="1"/>
  <c r="AD107" i="1"/>
  <c r="AE107" i="1"/>
  <c r="AF107" i="1"/>
  <c r="AG107" i="1"/>
  <c r="AH107" i="1"/>
  <c r="AI107" i="1"/>
  <c r="CW107" i="1" s="1"/>
  <c r="AJ107" i="1"/>
  <c r="CX107" i="1" s="1"/>
  <c r="W107" i="1" s="1"/>
  <c r="CR107" i="1"/>
  <c r="CS107" i="1"/>
  <c r="CT107" i="1"/>
  <c r="CU107" i="1"/>
  <c r="T107" i="1" s="1"/>
  <c r="CV107" i="1"/>
  <c r="U107" i="1" s="1"/>
  <c r="CY107" i="1"/>
  <c r="X107" i="1" s="1"/>
  <c r="GL107" i="1"/>
  <c r="GN107" i="1"/>
  <c r="GP107" i="1"/>
  <c r="GV107" i="1"/>
  <c r="HC107" i="1" s="1"/>
  <c r="GX107" i="1"/>
  <c r="C108" i="1"/>
  <c r="D108" i="1"/>
  <c r="Q108" i="1"/>
  <c r="R108" i="1"/>
  <c r="GK108" i="1" s="1"/>
  <c r="W108" i="1"/>
  <c r="AC108" i="1"/>
  <c r="AD108" i="1"/>
  <c r="AE108" i="1"/>
  <c r="AF108" i="1"/>
  <c r="AB108" i="1" s="1"/>
  <c r="AG108" i="1"/>
  <c r="AH108" i="1"/>
  <c r="CV108" i="1" s="1"/>
  <c r="U108" i="1" s="1"/>
  <c r="AI108" i="1"/>
  <c r="CW108" i="1" s="1"/>
  <c r="V108" i="1" s="1"/>
  <c r="AJ108" i="1"/>
  <c r="CR108" i="1"/>
  <c r="CS108" i="1"/>
  <c r="CT108" i="1"/>
  <c r="CU108" i="1"/>
  <c r="T108" i="1" s="1"/>
  <c r="CX108" i="1"/>
  <c r="GL108" i="1"/>
  <c r="GN108" i="1"/>
  <c r="GP108" i="1"/>
  <c r="GV108" i="1"/>
  <c r="HC108" i="1" s="1"/>
  <c r="GX108" i="1"/>
  <c r="I109" i="1"/>
  <c r="P109" i="1"/>
  <c r="T109" i="1"/>
  <c r="U109" i="1"/>
  <c r="V109" i="1"/>
  <c r="AC109" i="1"/>
  <c r="AE109" i="1"/>
  <c r="AF109" i="1"/>
  <c r="AG109" i="1"/>
  <c r="AH109" i="1"/>
  <c r="CV109" i="1" s="1"/>
  <c r="AI109" i="1"/>
  <c r="AJ109" i="1"/>
  <c r="CX109" i="1" s="1"/>
  <c r="W109" i="1" s="1"/>
  <c r="CQ109" i="1"/>
  <c r="CR109" i="1"/>
  <c r="CU109" i="1"/>
  <c r="CW109" i="1"/>
  <c r="GL109" i="1"/>
  <c r="GN109" i="1"/>
  <c r="GP109" i="1"/>
  <c r="GV109" i="1"/>
  <c r="GX109" i="1"/>
  <c r="HC109" i="1"/>
  <c r="I110" i="1"/>
  <c r="P110" i="1"/>
  <c r="R110" i="1"/>
  <c r="GK110" i="1" s="1"/>
  <c r="S110" i="1"/>
  <c r="CZ110" i="1" s="1"/>
  <c r="U110" i="1"/>
  <c r="Y110" i="1"/>
  <c r="AC110" i="1"/>
  <c r="AE110" i="1"/>
  <c r="AF110" i="1"/>
  <c r="AG110" i="1"/>
  <c r="AH110" i="1"/>
  <c r="CV110" i="1" s="1"/>
  <c r="AI110" i="1"/>
  <c r="AJ110" i="1"/>
  <c r="CX110" i="1" s="1"/>
  <c r="W110" i="1" s="1"/>
  <c r="CR110" i="1"/>
  <c r="CT110" i="1"/>
  <c r="CU110" i="1"/>
  <c r="T110" i="1" s="1"/>
  <c r="CW110" i="1"/>
  <c r="V110" i="1" s="1"/>
  <c r="CY110" i="1"/>
  <c r="X110" i="1" s="1"/>
  <c r="GL110" i="1"/>
  <c r="GN110" i="1"/>
  <c r="GP110" i="1"/>
  <c r="GV110" i="1"/>
  <c r="HC110" i="1" s="1"/>
  <c r="GX110" i="1"/>
  <c r="C111" i="1"/>
  <c r="D111" i="1"/>
  <c r="Q111" i="1"/>
  <c r="R111" i="1"/>
  <c r="GK111" i="1" s="1"/>
  <c r="AC111" i="1"/>
  <c r="AD111" i="1"/>
  <c r="AE111" i="1"/>
  <c r="CR111" i="1" s="1"/>
  <c r="AF111" i="1"/>
  <c r="S111" i="1" s="1"/>
  <c r="AG111" i="1"/>
  <c r="AH111" i="1"/>
  <c r="AI111" i="1"/>
  <c r="AJ111" i="1"/>
  <c r="CS111" i="1"/>
  <c r="CT111" i="1"/>
  <c r="CU111" i="1"/>
  <c r="T111" i="1" s="1"/>
  <c r="CV111" i="1"/>
  <c r="U111" i="1" s="1"/>
  <c r="CW111" i="1"/>
  <c r="V111" i="1" s="1"/>
  <c r="CX111" i="1"/>
  <c r="W111" i="1" s="1"/>
  <c r="GL111" i="1"/>
  <c r="GN111" i="1"/>
  <c r="GP111" i="1"/>
  <c r="GV111" i="1"/>
  <c r="HC111" i="1"/>
  <c r="GX111" i="1" s="1"/>
  <c r="C112" i="1"/>
  <c r="D112" i="1"/>
  <c r="Q112" i="1"/>
  <c r="R112" i="1"/>
  <c r="GK112" i="1" s="1"/>
  <c r="U112" i="1"/>
  <c r="W112" i="1"/>
  <c r="AC112" i="1"/>
  <c r="AD112" i="1"/>
  <c r="AE112" i="1"/>
  <c r="CS112" i="1" s="1"/>
  <c r="AF112" i="1"/>
  <c r="AG112" i="1"/>
  <c r="CU112" i="1" s="1"/>
  <c r="T112" i="1" s="1"/>
  <c r="AH112" i="1"/>
  <c r="AI112" i="1"/>
  <c r="CW112" i="1" s="1"/>
  <c r="V112" i="1" s="1"/>
  <c r="AJ112" i="1"/>
  <c r="CQ112" i="1"/>
  <c r="CR112" i="1"/>
  <c r="CV112" i="1"/>
  <c r="CX112" i="1"/>
  <c r="GL112" i="1"/>
  <c r="GN112" i="1"/>
  <c r="GP112" i="1"/>
  <c r="GV112" i="1"/>
  <c r="HC112" i="1" s="1"/>
  <c r="GX112" i="1" s="1"/>
  <c r="I113" i="1"/>
  <c r="P113" i="1"/>
  <c r="Q113" i="1"/>
  <c r="S113" i="1"/>
  <c r="T113" i="1"/>
  <c r="V113" i="1"/>
  <c r="W113" i="1"/>
  <c r="AC113" i="1"/>
  <c r="AE113" i="1"/>
  <c r="AF113" i="1"/>
  <c r="CT113" i="1" s="1"/>
  <c r="AG113" i="1"/>
  <c r="AH113" i="1"/>
  <c r="CV113" i="1" s="1"/>
  <c r="U113" i="1" s="1"/>
  <c r="AI113" i="1"/>
  <c r="AJ113" i="1"/>
  <c r="CX113" i="1" s="1"/>
  <c r="CQ113" i="1"/>
  <c r="CR113" i="1"/>
  <c r="CS113" i="1"/>
  <c r="CU113" i="1"/>
  <c r="CW113" i="1"/>
  <c r="GL113" i="1"/>
  <c r="GN113" i="1"/>
  <c r="GP113" i="1"/>
  <c r="GV113" i="1"/>
  <c r="GX113" i="1"/>
  <c r="HC113" i="1"/>
  <c r="I114" i="1"/>
  <c r="T114" i="1" s="1"/>
  <c r="R114" i="1"/>
  <c r="GK114" i="1" s="1"/>
  <c r="AC114" i="1"/>
  <c r="AE114" i="1"/>
  <c r="AF114" i="1"/>
  <c r="CT114" i="1" s="1"/>
  <c r="AG114" i="1"/>
  <c r="CU114" i="1" s="1"/>
  <c r="AH114" i="1"/>
  <c r="CV114" i="1" s="1"/>
  <c r="AI114" i="1"/>
  <c r="CW114" i="1" s="1"/>
  <c r="AJ114" i="1"/>
  <c r="CQ114" i="1"/>
  <c r="CS114" i="1"/>
  <c r="CX114" i="1"/>
  <c r="W114" i="1" s="1"/>
  <c r="GL114" i="1"/>
  <c r="GN114" i="1"/>
  <c r="GP114" i="1"/>
  <c r="GV114" i="1"/>
  <c r="HC114" i="1"/>
  <c r="C115" i="1"/>
  <c r="D115" i="1"/>
  <c r="P115" i="1"/>
  <c r="Q115" i="1"/>
  <c r="U115" i="1"/>
  <c r="AC115" i="1"/>
  <c r="AD115" i="1"/>
  <c r="AB115" i="1" s="1"/>
  <c r="AE115" i="1"/>
  <c r="AF115" i="1"/>
  <c r="AG115" i="1"/>
  <c r="CU115" i="1" s="1"/>
  <c r="T115" i="1" s="1"/>
  <c r="AH115" i="1"/>
  <c r="CV115" i="1" s="1"/>
  <c r="AI115" i="1"/>
  <c r="AJ115" i="1"/>
  <c r="CQ115" i="1"/>
  <c r="CR115" i="1"/>
  <c r="CW115" i="1"/>
  <c r="V115" i="1" s="1"/>
  <c r="CX115" i="1"/>
  <c r="W115" i="1" s="1"/>
  <c r="GL115" i="1"/>
  <c r="GN115" i="1"/>
  <c r="GP115" i="1"/>
  <c r="GV115" i="1"/>
  <c r="HC115" i="1"/>
  <c r="GX115" i="1" s="1"/>
  <c r="C116" i="1"/>
  <c r="D116" i="1"/>
  <c r="R116" i="1"/>
  <c r="GK116" i="1" s="1"/>
  <c r="S116" i="1"/>
  <c r="CZ116" i="1" s="1"/>
  <c r="Y116" i="1" s="1"/>
  <c r="T116" i="1"/>
  <c r="W116" i="1"/>
  <c r="AC116" i="1"/>
  <c r="AE116" i="1"/>
  <c r="AF116" i="1"/>
  <c r="AG116" i="1"/>
  <c r="CU116" i="1" s="1"/>
  <c r="AH116" i="1"/>
  <c r="AI116" i="1"/>
  <c r="CW116" i="1" s="1"/>
  <c r="V116" i="1" s="1"/>
  <c r="AJ116" i="1"/>
  <c r="CX116" i="1" s="1"/>
  <c r="CQ116" i="1"/>
  <c r="CT116" i="1"/>
  <c r="CV116" i="1"/>
  <c r="U116" i="1" s="1"/>
  <c r="CY116" i="1"/>
  <c r="X116" i="1" s="1"/>
  <c r="GL116" i="1"/>
  <c r="GN116" i="1"/>
  <c r="GP116" i="1"/>
  <c r="GV116" i="1"/>
  <c r="HC116" i="1"/>
  <c r="GX116" i="1" s="1"/>
  <c r="I117" i="1"/>
  <c r="P117" i="1"/>
  <c r="R117" i="1"/>
  <c r="U117" i="1"/>
  <c r="AC117" i="1"/>
  <c r="AE117" i="1"/>
  <c r="AF117" i="1"/>
  <c r="AG117" i="1"/>
  <c r="CU117" i="1" s="1"/>
  <c r="T117" i="1" s="1"/>
  <c r="AH117" i="1"/>
  <c r="AI117" i="1"/>
  <c r="CW117" i="1" s="1"/>
  <c r="V117" i="1" s="1"/>
  <c r="AJ117" i="1"/>
  <c r="CX117" i="1" s="1"/>
  <c r="W117" i="1" s="1"/>
  <c r="CQ117" i="1"/>
  <c r="CV117" i="1"/>
  <c r="GK117" i="1"/>
  <c r="GL117" i="1"/>
  <c r="GN117" i="1"/>
  <c r="GP117" i="1"/>
  <c r="GV117" i="1"/>
  <c r="GX117" i="1"/>
  <c r="HC117" i="1"/>
  <c r="I118" i="1"/>
  <c r="P118" i="1"/>
  <c r="S118" i="1"/>
  <c r="CZ118" i="1" s="1"/>
  <c r="Y118" i="1" s="1"/>
  <c r="W118" i="1"/>
  <c r="AC118" i="1"/>
  <c r="CQ118" i="1" s="1"/>
  <c r="AD118" i="1"/>
  <c r="AE118" i="1"/>
  <c r="AF118" i="1"/>
  <c r="AG118" i="1"/>
  <c r="CU118" i="1" s="1"/>
  <c r="T118" i="1" s="1"/>
  <c r="AH118" i="1"/>
  <c r="AI118" i="1"/>
  <c r="CW118" i="1" s="1"/>
  <c r="V118" i="1" s="1"/>
  <c r="AJ118" i="1"/>
  <c r="CT118" i="1"/>
  <c r="CV118" i="1"/>
  <c r="U118" i="1" s="1"/>
  <c r="CX118" i="1"/>
  <c r="CY118" i="1"/>
  <c r="X118" i="1" s="1"/>
  <c r="GL118" i="1"/>
  <c r="GN118" i="1"/>
  <c r="GP118" i="1"/>
  <c r="GV118" i="1"/>
  <c r="HC118" i="1" s="1"/>
  <c r="GX118" i="1"/>
  <c r="D119" i="1"/>
  <c r="P119" i="1"/>
  <c r="S119" i="1"/>
  <c r="AC119" i="1"/>
  <c r="AE119" i="1"/>
  <c r="AF119" i="1"/>
  <c r="CT119" i="1" s="1"/>
  <c r="AG119" i="1"/>
  <c r="AH119" i="1"/>
  <c r="CV119" i="1" s="1"/>
  <c r="U119" i="1" s="1"/>
  <c r="AI119" i="1"/>
  <c r="AJ119" i="1"/>
  <c r="CQ119" i="1"/>
  <c r="CU119" i="1"/>
  <c r="T119" i="1" s="1"/>
  <c r="CW119" i="1"/>
  <c r="V119" i="1" s="1"/>
  <c r="CX119" i="1"/>
  <c r="W119" i="1" s="1"/>
  <c r="CY119" i="1"/>
  <c r="X119" i="1" s="1"/>
  <c r="CZ119" i="1"/>
  <c r="Y119" i="1" s="1"/>
  <c r="GL119" i="1"/>
  <c r="GN119" i="1"/>
  <c r="GP119" i="1"/>
  <c r="GV119" i="1"/>
  <c r="HC119" i="1" s="1"/>
  <c r="GX119" i="1" s="1"/>
  <c r="D120" i="1"/>
  <c r="Q120" i="1"/>
  <c r="V120" i="1"/>
  <c r="W120" i="1"/>
  <c r="AC120" i="1"/>
  <c r="AD120" i="1"/>
  <c r="AE120" i="1"/>
  <c r="R120" i="1" s="1"/>
  <c r="GK120" i="1" s="1"/>
  <c r="AF120" i="1"/>
  <c r="S120" i="1" s="1"/>
  <c r="CY120" i="1" s="1"/>
  <c r="X120" i="1" s="1"/>
  <c r="AG120" i="1"/>
  <c r="AH120" i="1"/>
  <c r="AI120" i="1"/>
  <c r="AJ120" i="1"/>
  <c r="CX120" i="1" s="1"/>
  <c r="CR120" i="1"/>
  <c r="CS120" i="1"/>
  <c r="CT120" i="1"/>
  <c r="CU120" i="1"/>
  <c r="T120" i="1" s="1"/>
  <c r="CV120" i="1"/>
  <c r="U120" i="1" s="1"/>
  <c r="CW120" i="1"/>
  <c r="CZ120" i="1"/>
  <c r="Y120" i="1" s="1"/>
  <c r="GL120" i="1"/>
  <c r="GN120" i="1"/>
  <c r="GP120" i="1"/>
  <c r="GV120" i="1"/>
  <c r="HC120" i="1"/>
  <c r="GX120" i="1" s="1"/>
  <c r="S121" i="1"/>
  <c r="W121" i="1"/>
  <c r="AC121" i="1"/>
  <c r="P121" i="1" s="1"/>
  <c r="AE121" i="1"/>
  <c r="AF121" i="1"/>
  <c r="AG121" i="1"/>
  <c r="CU121" i="1" s="1"/>
  <c r="T121" i="1" s="1"/>
  <c r="AH121" i="1"/>
  <c r="CV121" i="1" s="1"/>
  <c r="U121" i="1" s="1"/>
  <c r="AI121" i="1"/>
  <c r="AJ121" i="1"/>
  <c r="CX121" i="1" s="1"/>
  <c r="CQ121" i="1"/>
  <c r="CT121" i="1"/>
  <c r="CW121" i="1"/>
  <c r="V121" i="1" s="1"/>
  <c r="GL121" i="1"/>
  <c r="GN121" i="1"/>
  <c r="GP121" i="1"/>
  <c r="GV121" i="1"/>
  <c r="GX121" i="1"/>
  <c r="HC121" i="1"/>
  <c r="Q122" i="1"/>
  <c r="R122" i="1"/>
  <c r="GK122" i="1" s="1"/>
  <c r="S122" i="1"/>
  <c r="AC122" i="1"/>
  <c r="AE122" i="1"/>
  <c r="AD122" i="1" s="1"/>
  <c r="AF122" i="1"/>
  <c r="CT122" i="1" s="1"/>
  <c r="AG122" i="1"/>
  <c r="AH122" i="1"/>
  <c r="CV122" i="1" s="1"/>
  <c r="U122" i="1" s="1"/>
  <c r="AI122" i="1"/>
  <c r="CW122" i="1" s="1"/>
  <c r="V122" i="1" s="1"/>
  <c r="AJ122" i="1"/>
  <c r="CR122" i="1"/>
  <c r="CS122" i="1"/>
  <c r="CU122" i="1"/>
  <c r="T122" i="1" s="1"/>
  <c r="CX122" i="1"/>
  <c r="W122" i="1" s="1"/>
  <c r="CY122" i="1"/>
  <c r="X122" i="1" s="1"/>
  <c r="CZ122" i="1"/>
  <c r="Y122" i="1" s="1"/>
  <c r="GL122" i="1"/>
  <c r="GN122" i="1"/>
  <c r="GP122" i="1"/>
  <c r="GV122" i="1"/>
  <c r="HC122" i="1" s="1"/>
  <c r="GX122" i="1" s="1"/>
  <c r="D123" i="1"/>
  <c r="I123" i="1"/>
  <c r="P123" i="1" s="1"/>
  <c r="K123" i="1"/>
  <c r="AC123" i="1"/>
  <c r="CQ123" i="1" s="1"/>
  <c r="AD123" i="1"/>
  <c r="AE123" i="1"/>
  <c r="AF123" i="1"/>
  <c r="AG123" i="1"/>
  <c r="AH123" i="1"/>
  <c r="CV123" i="1" s="1"/>
  <c r="U123" i="1" s="1"/>
  <c r="AI123" i="1"/>
  <c r="AJ123" i="1"/>
  <c r="CR123" i="1"/>
  <c r="CS123" i="1"/>
  <c r="CU123" i="1"/>
  <c r="CW123" i="1"/>
  <c r="CX123" i="1"/>
  <c r="GL123" i="1"/>
  <c r="GN123" i="1"/>
  <c r="GP123" i="1"/>
  <c r="GV123" i="1"/>
  <c r="HC123" i="1" s="1"/>
  <c r="D124" i="1"/>
  <c r="I124" i="1"/>
  <c r="K124" i="1"/>
  <c r="T124" i="1"/>
  <c r="U124" i="1"/>
  <c r="W124" i="1"/>
  <c r="AC124" i="1"/>
  <c r="AD124" i="1"/>
  <c r="AE124" i="1"/>
  <c r="R124" i="1" s="1"/>
  <c r="GK124" i="1" s="1"/>
  <c r="AF124" i="1"/>
  <c r="S124" i="1" s="1"/>
  <c r="AG124" i="1"/>
  <c r="AH124" i="1"/>
  <c r="AI124" i="1"/>
  <c r="AJ124" i="1"/>
  <c r="CR124" i="1"/>
  <c r="CS124" i="1"/>
  <c r="CT124" i="1"/>
  <c r="CU124" i="1"/>
  <c r="CV124" i="1"/>
  <c r="CW124" i="1"/>
  <c r="V124" i="1" s="1"/>
  <c r="CX124" i="1"/>
  <c r="GL124" i="1"/>
  <c r="GN124" i="1"/>
  <c r="GP124" i="1"/>
  <c r="GV124" i="1"/>
  <c r="HC124" i="1"/>
  <c r="GX124" i="1" s="1"/>
  <c r="D125" i="1"/>
  <c r="I125" i="1"/>
  <c r="K125" i="1"/>
  <c r="Q125" i="1"/>
  <c r="R125" i="1"/>
  <c r="GK125" i="1" s="1"/>
  <c r="U125" i="1"/>
  <c r="AB125" i="1"/>
  <c r="AC125" i="1"/>
  <c r="AE125" i="1"/>
  <c r="AD125" i="1" s="1"/>
  <c r="AF125" i="1"/>
  <c r="AG125" i="1"/>
  <c r="CU125" i="1" s="1"/>
  <c r="T125" i="1" s="1"/>
  <c r="AH125" i="1"/>
  <c r="CV125" i="1" s="1"/>
  <c r="AI125" i="1"/>
  <c r="CW125" i="1" s="1"/>
  <c r="V125" i="1" s="1"/>
  <c r="AJ125" i="1"/>
  <c r="CQ125" i="1"/>
  <c r="CS125" i="1"/>
  <c r="CX125" i="1"/>
  <c r="W125" i="1" s="1"/>
  <c r="GL125" i="1"/>
  <c r="GN125" i="1"/>
  <c r="GP125" i="1"/>
  <c r="GV125" i="1"/>
  <c r="HC125" i="1"/>
  <c r="D126" i="1"/>
  <c r="I126" i="1"/>
  <c r="K126" i="1"/>
  <c r="U126" i="1"/>
  <c r="AC126" i="1"/>
  <c r="AD126" i="1"/>
  <c r="AE126" i="1"/>
  <c r="CR126" i="1" s="1"/>
  <c r="AF126" i="1"/>
  <c r="AG126" i="1"/>
  <c r="CU126" i="1" s="1"/>
  <c r="T126" i="1" s="1"/>
  <c r="AH126" i="1"/>
  <c r="AI126" i="1"/>
  <c r="CW126" i="1" s="1"/>
  <c r="AJ126" i="1"/>
  <c r="CS126" i="1"/>
  <c r="CV126" i="1"/>
  <c r="CX126" i="1"/>
  <c r="GL126" i="1"/>
  <c r="GN126" i="1"/>
  <c r="GP126" i="1"/>
  <c r="GV126" i="1"/>
  <c r="GX126" i="1"/>
  <c r="HC126" i="1"/>
  <c r="AC127" i="1"/>
  <c r="AD127" i="1"/>
  <c r="AE127" i="1"/>
  <c r="AF127" i="1"/>
  <c r="CT127" i="1" s="1"/>
  <c r="AG127" i="1"/>
  <c r="AH127" i="1"/>
  <c r="CV127" i="1" s="1"/>
  <c r="AI127" i="1"/>
  <c r="AJ127" i="1"/>
  <c r="CX127" i="1" s="1"/>
  <c r="CQ127" i="1"/>
  <c r="CR127" i="1"/>
  <c r="CU127" i="1"/>
  <c r="CW127" i="1"/>
  <c r="GL127" i="1"/>
  <c r="BZ134" i="1" s="1"/>
  <c r="GN127" i="1"/>
  <c r="GP127" i="1"/>
  <c r="GV127" i="1"/>
  <c r="HC127" i="1"/>
  <c r="AC128" i="1"/>
  <c r="AE128" i="1"/>
  <c r="AF128" i="1"/>
  <c r="AG128" i="1"/>
  <c r="CU128" i="1" s="1"/>
  <c r="AH128" i="1"/>
  <c r="AI128" i="1"/>
  <c r="CW128" i="1" s="1"/>
  <c r="AJ128" i="1"/>
  <c r="CQ128" i="1"/>
  <c r="CS128" i="1"/>
  <c r="CV128" i="1"/>
  <c r="CX128" i="1"/>
  <c r="GL128" i="1"/>
  <c r="GN128" i="1"/>
  <c r="GP128" i="1"/>
  <c r="GV128" i="1"/>
  <c r="HC128" i="1" s="1"/>
  <c r="D129" i="1"/>
  <c r="P129" i="1"/>
  <c r="Q129" i="1"/>
  <c r="R129" i="1"/>
  <c r="GK129" i="1" s="1"/>
  <c r="S129" i="1"/>
  <c r="U129" i="1"/>
  <c r="AC129" i="1"/>
  <c r="AD129" i="1"/>
  <c r="AB129" i="1" s="1"/>
  <c r="AE129" i="1"/>
  <c r="CR129" i="1" s="1"/>
  <c r="AF129" i="1"/>
  <c r="CT129" i="1" s="1"/>
  <c r="AG129" i="1"/>
  <c r="AH129" i="1"/>
  <c r="CV129" i="1" s="1"/>
  <c r="AI129" i="1"/>
  <c r="CW129" i="1" s="1"/>
  <c r="V129" i="1" s="1"/>
  <c r="AJ129" i="1"/>
  <c r="CQ129" i="1"/>
  <c r="CS129" i="1"/>
  <c r="CU129" i="1"/>
  <c r="T129" i="1" s="1"/>
  <c r="CX129" i="1"/>
  <c r="W129" i="1" s="1"/>
  <c r="GL129" i="1"/>
  <c r="GN129" i="1"/>
  <c r="GP129" i="1"/>
  <c r="GV129" i="1"/>
  <c r="HC129" i="1"/>
  <c r="GX129" i="1" s="1"/>
  <c r="D130" i="1"/>
  <c r="Q130" i="1"/>
  <c r="R130" i="1"/>
  <c r="GK130" i="1" s="1"/>
  <c r="AB130" i="1"/>
  <c r="AC130" i="1"/>
  <c r="P130" i="1" s="1"/>
  <c r="AD130" i="1"/>
  <c r="AE130" i="1"/>
  <c r="CR130" i="1" s="1"/>
  <c r="AF130" i="1"/>
  <c r="S130" i="1" s="1"/>
  <c r="CY130" i="1" s="1"/>
  <c r="X130" i="1" s="1"/>
  <c r="AG130" i="1"/>
  <c r="AH130" i="1"/>
  <c r="CV130" i="1" s="1"/>
  <c r="U130" i="1" s="1"/>
  <c r="AI130" i="1"/>
  <c r="AJ130" i="1"/>
  <c r="CQ130" i="1"/>
  <c r="CT130" i="1"/>
  <c r="CU130" i="1"/>
  <c r="T130" i="1" s="1"/>
  <c r="CW130" i="1"/>
  <c r="V130" i="1" s="1"/>
  <c r="CX130" i="1"/>
  <c r="W130" i="1" s="1"/>
  <c r="GL130" i="1"/>
  <c r="GN130" i="1"/>
  <c r="GP130" i="1"/>
  <c r="GV130" i="1"/>
  <c r="HC130" i="1" s="1"/>
  <c r="GX130" i="1" s="1"/>
  <c r="Q131" i="1"/>
  <c r="S131" i="1"/>
  <c r="CZ131" i="1" s="1"/>
  <c r="U131" i="1"/>
  <c r="W131" i="1"/>
  <c r="Y131" i="1"/>
  <c r="AC131" i="1"/>
  <c r="AD131" i="1"/>
  <c r="AE131" i="1"/>
  <c r="AF131" i="1"/>
  <c r="AG131" i="1"/>
  <c r="CU131" i="1" s="1"/>
  <c r="T131" i="1" s="1"/>
  <c r="AH131" i="1"/>
  <c r="AI131" i="1"/>
  <c r="CW131" i="1" s="1"/>
  <c r="V131" i="1" s="1"/>
  <c r="AJ131" i="1"/>
  <c r="CQ131" i="1"/>
  <c r="CR131" i="1"/>
  <c r="CT131" i="1"/>
  <c r="CV131" i="1"/>
  <c r="CX131" i="1"/>
  <c r="CY131" i="1"/>
  <c r="X131" i="1" s="1"/>
  <c r="GL131" i="1"/>
  <c r="GO131" i="1"/>
  <c r="GP131" i="1"/>
  <c r="GV131" i="1"/>
  <c r="HC131" i="1" s="1"/>
  <c r="GX131" i="1" s="1"/>
  <c r="P132" i="1"/>
  <c r="Q132" i="1"/>
  <c r="AC132" i="1"/>
  <c r="AD132" i="1"/>
  <c r="AE132" i="1"/>
  <c r="AF132" i="1"/>
  <c r="AG132" i="1"/>
  <c r="AH132" i="1"/>
  <c r="CV132" i="1" s="1"/>
  <c r="U132" i="1" s="1"/>
  <c r="AI132" i="1"/>
  <c r="CW132" i="1" s="1"/>
  <c r="V132" i="1" s="1"/>
  <c r="AJ132" i="1"/>
  <c r="CX132" i="1" s="1"/>
  <c r="W132" i="1" s="1"/>
  <c r="CU132" i="1"/>
  <c r="T132" i="1" s="1"/>
  <c r="GL132" i="1"/>
  <c r="GO132" i="1"/>
  <c r="GP132" i="1"/>
  <c r="GV132" i="1"/>
  <c r="HC132" i="1"/>
  <c r="GX132" i="1" s="1"/>
  <c r="B134" i="1"/>
  <c r="C134" i="1"/>
  <c r="D134" i="1"/>
  <c r="D95" i="1" s="1"/>
  <c r="F134" i="1"/>
  <c r="G134" i="1"/>
  <c r="G95" i="1" s="1"/>
  <c r="AO134" i="1"/>
  <c r="AO95" i="1" s="1"/>
  <c r="AP134" i="1"/>
  <c r="BX134" i="1"/>
  <c r="BY134" i="1"/>
  <c r="BY95" i="1" s="1"/>
  <c r="CI134" i="1"/>
  <c r="CK134" i="1"/>
  <c r="BB134" i="1" s="1"/>
  <c r="BB95" i="1" s="1"/>
  <c r="CL134" i="1"/>
  <c r="CM134" i="1"/>
  <c r="EG134" i="1"/>
  <c r="EU134" i="1"/>
  <c r="EV134" i="1"/>
  <c r="P159" i="1" s="1"/>
  <c r="FP134" i="1"/>
  <c r="FQ134" i="1"/>
  <c r="GC134" i="1"/>
  <c r="GD134" i="1"/>
  <c r="GE134" i="1"/>
  <c r="F138" i="1"/>
  <c r="F147" i="1"/>
  <c r="P150" i="1"/>
  <c r="D164" i="1"/>
  <c r="C166" i="1"/>
  <c r="E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W166" i="1"/>
  <c r="EX166" i="1"/>
  <c r="EY166" i="1"/>
  <c r="EZ166" i="1"/>
  <c r="FA166" i="1"/>
  <c r="FB166" i="1"/>
  <c r="FC166" i="1"/>
  <c r="FD166" i="1"/>
  <c r="FE166" i="1"/>
  <c r="FF166" i="1"/>
  <c r="FG166" i="1"/>
  <c r="FH166" i="1"/>
  <c r="FI166" i="1"/>
  <c r="FJ166" i="1"/>
  <c r="FK166" i="1"/>
  <c r="FL166" i="1"/>
  <c r="FM166" i="1"/>
  <c r="FN166" i="1"/>
  <c r="FO166" i="1"/>
  <c r="FP166" i="1"/>
  <c r="FQ166" i="1"/>
  <c r="FR166" i="1"/>
  <c r="FS166" i="1"/>
  <c r="FT166" i="1"/>
  <c r="FU166" i="1"/>
  <c r="FV166" i="1"/>
  <c r="FW166" i="1"/>
  <c r="FX166" i="1"/>
  <c r="FY166" i="1"/>
  <c r="FZ166" i="1"/>
  <c r="GA166" i="1"/>
  <c r="GB166" i="1"/>
  <c r="GC166" i="1"/>
  <c r="GD166" i="1"/>
  <c r="GE166" i="1"/>
  <c r="GF166" i="1"/>
  <c r="GG166" i="1"/>
  <c r="GH166" i="1"/>
  <c r="GI166" i="1"/>
  <c r="GJ166" i="1"/>
  <c r="GK166" i="1"/>
  <c r="GL166" i="1"/>
  <c r="GM166" i="1"/>
  <c r="GN166" i="1"/>
  <c r="GO166" i="1"/>
  <c r="GP166" i="1"/>
  <c r="GQ166" i="1"/>
  <c r="GR166" i="1"/>
  <c r="GS166" i="1"/>
  <c r="GT166" i="1"/>
  <c r="GU166" i="1"/>
  <c r="GV166" i="1"/>
  <c r="GW166" i="1"/>
  <c r="GX166" i="1"/>
  <c r="D168" i="1"/>
  <c r="C170" i="1"/>
  <c r="D170" i="1"/>
  <c r="E170" i="1"/>
  <c r="G170" i="1"/>
  <c r="Z170" i="1"/>
  <c r="AA170" i="1"/>
  <c r="AM170" i="1"/>
  <c r="AN170" i="1"/>
  <c r="AO170" i="1"/>
  <c r="BC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R170" i="1"/>
  <c r="DS170" i="1"/>
  <c r="EE170" i="1"/>
  <c r="EF170" i="1"/>
  <c r="EW170" i="1"/>
  <c r="EX170" i="1"/>
  <c r="EY170" i="1"/>
  <c r="EZ170" i="1"/>
  <c r="FA170" i="1"/>
  <c r="FB170" i="1"/>
  <c r="FC170" i="1"/>
  <c r="FD170" i="1"/>
  <c r="FE170" i="1"/>
  <c r="FF170" i="1"/>
  <c r="FG170" i="1"/>
  <c r="FH170" i="1"/>
  <c r="FI170" i="1"/>
  <c r="FJ170" i="1"/>
  <c r="FK170" i="1"/>
  <c r="FL170" i="1"/>
  <c r="FM170" i="1"/>
  <c r="FN170" i="1"/>
  <c r="FO170" i="1"/>
  <c r="FQ170" i="1"/>
  <c r="GD170" i="1"/>
  <c r="GE170" i="1"/>
  <c r="GF170" i="1"/>
  <c r="GG170" i="1"/>
  <c r="GH170" i="1"/>
  <c r="GI170" i="1"/>
  <c r="GJ170" i="1"/>
  <c r="GK170" i="1"/>
  <c r="GL170" i="1"/>
  <c r="GM170" i="1"/>
  <c r="GN170" i="1"/>
  <c r="GO170" i="1"/>
  <c r="GP170" i="1"/>
  <c r="GQ170" i="1"/>
  <c r="GR170" i="1"/>
  <c r="GS170" i="1"/>
  <c r="GT170" i="1"/>
  <c r="GU170" i="1"/>
  <c r="GV170" i="1"/>
  <c r="GW170" i="1"/>
  <c r="GX170" i="1"/>
  <c r="C172" i="1"/>
  <c r="D172" i="1"/>
  <c r="I172" i="1"/>
  <c r="K172" i="1"/>
  <c r="R172" i="1"/>
  <c r="S172" i="1"/>
  <c r="U172" i="1"/>
  <c r="W172" i="1"/>
  <c r="AC172" i="1"/>
  <c r="AD172" i="1"/>
  <c r="AE172" i="1"/>
  <c r="AF172" i="1"/>
  <c r="AG172" i="1"/>
  <c r="CU172" i="1" s="1"/>
  <c r="T172" i="1" s="1"/>
  <c r="AH172" i="1"/>
  <c r="CV172" i="1" s="1"/>
  <c r="AI172" i="1"/>
  <c r="AJ172" i="1"/>
  <c r="CX172" i="1" s="1"/>
  <c r="CQ172" i="1"/>
  <c r="CR172" i="1"/>
  <c r="CS172" i="1"/>
  <c r="CT172" i="1"/>
  <c r="CW172" i="1"/>
  <c r="V172" i="1" s="1"/>
  <c r="CY172" i="1"/>
  <c r="X172" i="1" s="1"/>
  <c r="CZ172" i="1"/>
  <c r="Y172" i="1" s="1"/>
  <c r="GL172" i="1"/>
  <c r="GO172" i="1"/>
  <c r="GP172" i="1"/>
  <c r="GV172" i="1"/>
  <c r="HC172" i="1"/>
  <c r="GX172" i="1" s="1"/>
  <c r="C173" i="1"/>
  <c r="D173" i="1"/>
  <c r="I173" i="1"/>
  <c r="K173" i="1"/>
  <c r="Q173" i="1"/>
  <c r="AC173" i="1"/>
  <c r="AE173" i="1"/>
  <c r="AF173" i="1"/>
  <c r="AG173" i="1"/>
  <c r="AH173" i="1"/>
  <c r="CV173" i="1" s="1"/>
  <c r="U173" i="1" s="1"/>
  <c r="AI173" i="1"/>
  <c r="AJ173" i="1"/>
  <c r="CX173" i="1" s="1"/>
  <c r="W173" i="1" s="1"/>
  <c r="CU173" i="1"/>
  <c r="T173" i="1" s="1"/>
  <c r="CW173" i="1"/>
  <c r="GL173" i="1"/>
  <c r="GO173" i="1"/>
  <c r="FU189" i="1" s="1"/>
  <c r="GP173" i="1"/>
  <c r="GV173" i="1"/>
  <c r="HC173" i="1"/>
  <c r="GX173" i="1" s="1"/>
  <c r="I174" i="1"/>
  <c r="Q174" i="1"/>
  <c r="T174" i="1"/>
  <c r="AC174" i="1"/>
  <c r="AE174" i="1"/>
  <c r="AF174" i="1"/>
  <c r="AG174" i="1"/>
  <c r="CU174" i="1" s="1"/>
  <c r="AH174" i="1"/>
  <c r="CV174" i="1" s="1"/>
  <c r="U174" i="1" s="1"/>
  <c r="AI174" i="1"/>
  <c r="AJ174" i="1"/>
  <c r="CQ174" i="1"/>
  <c r="CW174" i="1"/>
  <c r="V174" i="1" s="1"/>
  <c r="CX174" i="1"/>
  <c r="W174" i="1" s="1"/>
  <c r="GL174" i="1"/>
  <c r="GO174" i="1"/>
  <c r="GP174" i="1"/>
  <c r="CD189" i="1" s="1"/>
  <c r="GV174" i="1"/>
  <c r="HC174" i="1"/>
  <c r="GX174" i="1" s="1"/>
  <c r="I175" i="1"/>
  <c r="AC175" i="1"/>
  <c r="CQ175" i="1" s="1"/>
  <c r="AE175" i="1"/>
  <c r="AF175" i="1"/>
  <c r="AG175" i="1"/>
  <c r="AH175" i="1"/>
  <c r="CV175" i="1" s="1"/>
  <c r="AI175" i="1"/>
  <c r="AJ175" i="1"/>
  <c r="CX175" i="1" s="1"/>
  <c r="CR175" i="1"/>
  <c r="CU175" i="1"/>
  <c r="CW175" i="1"/>
  <c r="GL175" i="1"/>
  <c r="GO175" i="1"/>
  <c r="GP175" i="1"/>
  <c r="GV175" i="1"/>
  <c r="HC175" i="1"/>
  <c r="C176" i="1"/>
  <c r="D176" i="1"/>
  <c r="I176" i="1"/>
  <c r="I178" i="1" s="1"/>
  <c r="K176" i="1"/>
  <c r="P176" i="1"/>
  <c r="Q176" i="1"/>
  <c r="R176" i="1"/>
  <c r="GK176" i="1" s="1"/>
  <c r="AB176" i="1"/>
  <c r="AC176" i="1"/>
  <c r="AD176" i="1"/>
  <c r="AE176" i="1"/>
  <c r="AF176" i="1"/>
  <c r="AG176" i="1"/>
  <c r="CU176" i="1" s="1"/>
  <c r="T176" i="1" s="1"/>
  <c r="AH176" i="1"/>
  <c r="CV176" i="1" s="1"/>
  <c r="U176" i="1" s="1"/>
  <c r="AI176" i="1"/>
  <c r="AJ176" i="1"/>
  <c r="CQ176" i="1"/>
  <c r="CR176" i="1"/>
  <c r="CS176" i="1"/>
  <c r="CW176" i="1"/>
  <c r="V176" i="1" s="1"/>
  <c r="CX176" i="1"/>
  <c r="W176" i="1" s="1"/>
  <c r="GL176" i="1"/>
  <c r="GO176" i="1"/>
  <c r="GP176" i="1"/>
  <c r="GV176" i="1"/>
  <c r="HC176" i="1" s="1"/>
  <c r="GX176" i="1"/>
  <c r="C177" i="1"/>
  <c r="D177" i="1"/>
  <c r="I177" i="1"/>
  <c r="K177" i="1"/>
  <c r="AC177" i="1"/>
  <c r="AE177" i="1"/>
  <c r="AF177" i="1"/>
  <c r="AG177" i="1"/>
  <c r="AH177" i="1"/>
  <c r="CV177" i="1" s="1"/>
  <c r="U177" i="1" s="1"/>
  <c r="AI177" i="1"/>
  <c r="AJ177" i="1"/>
  <c r="CX177" i="1" s="1"/>
  <c r="W177" i="1" s="1"/>
  <c r="CQ177" i="1"/>
  <c r="CU177" i="1"/>
  <c r="CW177" i="1"/>
  <c r="V177" i="1" s="1"/>
  <c r="GL177" i="1"/>
  <c r="GO177" i="1"/>
  <c r="GP177" i="1"/>
  <c r="GV177" i="1"/>
  <c r="HC177" i="1"/>
  <c r="P178" i="1"/>
  <c r="T178" i="1"/>
  <c r="AC178" i="1"/>
  <c r="AE178" i="1"/>
  <c r="AF178" i="1"/>
  <c r="AG178" i="1"/>
  <c r="AH178" i="1"/>
  <c r="CV178" i="1" s="1"/>
  <c r="U178" i="1" s="1"/>
  <c r="AI178" i="1"/>
  <c r="CW178" i="1" s="1"/>
  <c r="V178" i="1" s="1"/>
  <c r="AJ178" i="1"/>
  <c r="CQ178" i="1"/>
  <c r="CU178" i="1"/>
  <c r="CX178" i="1"/>
  <c r="W178" i="1" s="1"/>
  <c r="GL178" i="1"/>
  <c r="BZ189" i="1" s="1"/>
  <c r="GO178" i="1"/>
  <c r="GP178" i="1"/>
  <c r="GV178" i="1"/>
  <c r="GX178" i="1"/>
  <c r="HC178" i="1"/>
  <c r="AC179" i="1"/>
  <c r="AD179" i="1"/>
  <c r="AB179" i="1" s="1"/>
  <c r="AE179" i="1"/>
  <c r="CR179" i="1" s="1"/>
  <c r="AF179" i="1"/>
  <c r="AG179" i="1"/>
  <c r="AH179" i="1"/>
  <c r="CV179" i="1" s="1"/>
  <c r="AI179" i="1"/>
  <c r="AJ179" i="1"/>
  <c r="CX179" i="1" s="1"/>
  <c r="CQ179" i="1"/>
  <c r="CS179" i="1"/>
  <c r="CT179" i="1"/>
  <c r="CU179" i="1"/>
  <c r="CW179" i="1"/>
  <c r="GL179" i="1"/>
  <c r="GO179" i="1"/>
  <c r="GP179" i="1"/>
  <c r="GV179" i="1"/>
  <c r="HC179" i="1"/>
  <c r="C180" i="1"/>
  <c r="D180" i="1"/>
  <c r="I180" i="1"/>
  <c r="K180" i="1"/>
  <c r="O180" i="1"/>
  <c r="Q180" i="1"/>
  <c r="R180" i="1"/>
  <c r="S180" i="1"/>
  <c r="T180" i="1"/>
  <c r="V180" i="1"/>
  <c r="AC180" i="1"/>
  <c r="P180" i="1" s="1"/>
  <c r="AD180" i="1"/>
  <c r="AE180" i="1"/>
  <c r="CR180" i="1" s="1"/>
  <c r="AF180" i="1"/>
  <c r="CT180" i="1" s="1"/>
  <c r="AG180" i="1"/>
  <c r="CU180" i="1" s="1"/>
  <c r="AH180" i="1"/>
  <c r="CV180" i="1" s="1"/>
  <c r="U180" i="1" s="1"/>
  <c r="AI180" i="1"/>
  <c r="CW180" i="1" s="1"/>
  <c r="AJ180" i="1"/>
  <c r="CP180" i="1"/>
  <c r="CQ180" i="1"/>
  <c r="CS180" i="1"/>
  <c r="CX180" i="1"/>
  <c r="W180" i="1" s="1"/>
  <c r="GK180" i="1"/>
  <c r="GL180" i="1"/>
  <c r="GO180" i="1"/>
  <c r="GP180" i="1"/>
  <c r="GV180" i="1"/>
  <c r="HC180" i="1" s="1"/>
  <c r="GX180" i="1" s="1"/>
  <c r="C181" i="1"/>
  <c r="D181" i="1"/>
  <c r="I181" i="1"/>
  <c r="K181" i="1"/>
  <c r="R181" i="1"/>
  <c r="GK181" i="1" s="1"/>
  <c r="T181" i="1"/>
  <c r="U181" i="1"/>
  <c r="X181" i="1"/>
  <c r="AC181" i="1"/>
  <c r="AE181" i="1"/>
  <c r="AD181" i="1" s="1"/>
  <c r="AF181" i="1"/>
  <c r="S181" i="1" s="1"/>
  <c r="CY181" i="1" s="1"/>
  <c r="AG181" i="1"/>
  <c r="CU181" i="1" s="1"/>
  <c r="AH181" i="1"/>
  <c r="CV181" i="1" s="1"/>
  <c r="AI181" i="1"/>
  <c r="AJ181" i="1"/>
  <c r="CR181" i="1"/>
  <c r="CS181" i="1"/>
  <c r="CT181" i="1"/>
  <c r="CW181" i="1"/>
  <c r="V181" i="1" s="1"/>
  <c r="CX181" i="1"/>
  <c r="W181" i="1" s="1"/>
  <c r="CZ181" i="1"/>
  <c r="Y181" i="1" s="1"/>
  <c r="GL181" i="1"/>
  <c r="GO181" i="1"/>
  <c r="GP181" i="1"/>
  <c r="GV181" i="1"/>
  <c r="HC181" i="1"/>
  <c r="GX181" i="1" s="1"/>
  <c r="I182" i="1"/>
  <c r="P182" i="1"/>
  <c r="CP182" i="1" s="1"/>
  <c r="O182" i="1" s="1"/>
  <c r="Q182" i="1"/>
  <c r="S182" i="1"/>
  <c r="V182" i="1"/>
  <c r="AC182" i="1"/>
  <c r="AD182" i="1"/>
  <c r="AE182" i="1"/>
  <c r="AF182" i="1"/>
  <c r="AG182" i="1"/>
  <c r="CU182" i="1" s="1"/>
  <c r="T182" i="1" s="1"/>
  <c r="AH182" i="1"/>
  <c r="AI182" i="1"/>
  <c r="CW182" i="1" s="1"/>
  <c r="AJ182" i="1"/>
  <c r="CX182" i="1" s="1"/>
  <c r="W182" i="1" s="1"/>
  <c r="CT182" i="1"/>
  <c r="CV182" i="1"/>
  <c r="U182" i="1" s="1"/>
  <c r="GL182" i="1"/>
  <c r="GO182" i="1"/>
  <c r="GP182" i="1"/>
  <c r="GV182" i="1"/>
  <c r="HC182" i="1" s="1"/>
  <c r="GX182" i="1"/>
  <c r="I183" i="1"/>
  <c r="P183" i="1"/>
  <c r="S183" i="1"/>
  <c r="U183" i="1"/>
  <c r="V183" i="1"/>
  <c r="AC183" i="1"/>
  <c r="AE183" i="1"/>
  <c r="AF183" i="1"/>
  <c r="AG183" i="1"/>
  <c r="CU183" i="1" s="1"/>
  <c r="T183" i="1" s="1"/>
  <c r="AH183" i="1"/>
  <c r="CV183" i="1" s="1"/>
  <c r="AI183" i="1"/>
  <c r="AJ183" i="1"/>
  <c r="CX183" i="1" s="1"/>
  <c r="W183" i="1" s="1"/>
  <c r="CQ183" i="1"/>
  <c r="CS183" i="1"/>
  <c r="CT183" i="1"/>
  <c r="CW183" i="1"/>
  <c r="CY183" i="1"/>
  <c r="X183" i="1" s="1"/>
  <c r="CZ183" i="1"/>
  <c r="Y183" i="1" s="1"/>
  <c r="GL183" i="1"/>
  <c r="GO183" i="1"/>
  <c r="GP183" i="1"/>
  <c r="GV183" i="1"/>
  <c r="HC183" i="1"/>
  <c r="GX183" i="1" s="1"/>
  <c r="C184" i="1"/>
  <c r="D184" i="1"/>
  <c r="I184" i="1"/>
  <c r="K184" i="1"/>
  <c r="R184" i="1"/>
  <c r="AB184" i="1"/>
  <c r="AC184" i="1"/>
  <c r="AD184" i="1"/>
  <c r="AE184" i="1"/>
  <c r="AF184" i="1"/>
  <c r="AG184" i="1"/>
  <c r="AH184" i="1"/>
  <c r="CV184" i="1" s="1"/>
  <c r="U184" i="1" s="1"/>
  <c r="AI184" i="1"/>
  <c r="CW184" i="1" s="1"/>
  <c r="V184" i="1" s="1"/>
  <c r="AJ184" i="1"/>
  <c r="CX184" i="1" s="1"/>
  <c r="W184" i="1" s="1"/>
  <c r="CR184" i="1"/>
  <c r="CS184" i="1"/>
  <c r="CT184" i="1"/>
  <c r="CU184" i="1"/>
  <c r="T184" i="1" s="1"/>
  <c r="GK184" i="1"/>
  <c r="GL184" i="1"/>
  <c r="GO184" i="1"/>
  <c r="GP184" i="1"/>
  <c r="GV184" i="1"/>
  <c r="HC184" i="1" s="1"/>
  <c r="GX184" i="1" s="1"/>
  <c r="C185" i="1"/>
  <c r="D185" i="1"/>
  <c r="I185" i="1"/>
  <c r="K185" i="1"/>
  <c r="P185" i="1"/>
  <c r="R185" i="1"/>
  <c r="GK185" i="1" s="1"/>
  <c r="V185" i="1"/>
  <c r="W185" i="1"/>
  <c r="AC185" i="1"/>
  <c r="AD185" i="1"/>
  <c r="AE185" i="1"/>
  <c r="CS185" i="1" s="1"/>
  <c r="AF185" i="1"/>
  <c r="S185" i="1" s="1"/>
  <c r="AG185" i="1"/>
  <c r="AH185" i="1"/>
  <c r="AI185" i="1"/>
  <c r="AJ185" i="1"/>
  <c r="CX185" i="1" s="1"/>
  <c r="CQ185" i="1"/>
  <c r="CR185" i="1"/>
  <c r="CU185" i="1"/>
  <c r="T185" i="1" s="1"/>
  <c r="CV185" i="1"/>
  <c r="U185" i="1" s="1"/>
  <c r="CW185" i="1"/>
  <c r="GL185" i="1"/>
  <c r="GO185" i="1"/>
  <c r="GP185" i="1"/>
  <c r="GV185" i="1"/>
  <c r="HC185" i="1"/>
  <c r="GX185" i="1" s="1"/>
  <c r="AC186" i="1"/>
  <c r="AE186" i="1"/>
  <c r="AF186" i="1"/>
  <c r="AG186" i="1"/>
  <c r="CU186" i="1" s="1"/>
  <c r="AH186" i="1"/>
  <c r="AI186" i="1"/>
  <c r="AJ186" i="1"/>
  <c r="CX186" i="1" s="1"/>
  <c r="CQ186" i="1"/>
  <c r="CR186" i="1"/>
  <c r="CT186" i="1"/>
  <c r="CV186" i="1"/>
  <c r="CW186" i="1"/>
  <c r="GL186" i="1"/>
  <c r="GO186" i="1"/>
  <c r="GP186" i="1"/>
  <c r="GV186" i="1"/>
  <c r="HC186" i="1"/>
  <c r="AC187" i="1"/>
  <c r="AD187" i="1"/>
  <c r="AB187" i="1" s="1"/>
  <c r="AE187" i="1"/>
  <c r="CS187" i="1" s="1"/>
  <c r="AF187" i="1"/>
  <c r="AG187" i="1"/>
  <c r="CU187" i="1" s="1"/>
  <c r="AH187" i="1"/>
  <c r="AI187" i="1"/>
  <c r="CW187" i="1" s="1"/>
  <c r="AJ187" i="1"/>
  <c r="CQ187" i="1"/>
  <c r="CT187" i="1"/>
  <c r="CV187" i="1"/>
  <c r="CX187" i="1"/>
  <c r="GL187" i="1"/>
  <c r="GO187" i="1"/>
  <c r="GP187" i="1"/>
  <c r="GV187" i="1"/>
  <c r="HC187" i="1"/>
  <c r="B189" i="1"/>
  <c r="B170" i="1" s="1"/>
  <c r="C189" i="1"/>
  <c r="D189" i="1"/>
  <c r="F189" i="1"/>
  <c r="F170" i="1" s="1"/>
  <c r="G189" i="1"/>
  <c r="AO189" i="1"/>
  <c r="BC189" i="1"/>
  <c r="BD189" i="1"/>
  <c r="BD170" i="1" s="1"/>
  <c r="BX189" i="1"/>
  <c r="BY189" i="1"/>
  <c r="AP189" i="1" s="1"/>
  <c r="AP170" i="1" s="1"/>
  <c r="CK189" i="1"/>
  <c r="CL189" i="1"/>
  <c r="CL170" i="1" s="1"/>
  <c r="CM189" i="1"/>
  <c r="EG189" i="1"/>
  <c r="EG170" i="1" s="1"/>
  <c r="EI189" i="1"/>
  <c r="EV189" i="1"/>
  <c r="FP189" i="1"/>
  <c r="FP170" i="1" s="1"/>
  <c r="FQ189" i="1"/>
  <c r="FR189" i="1"/>
  <c r="FR170" i="1" s="1"/>
  <c r="GC189" i="1"/>
  <c r="GD189" i="1"/>
  <c r="EU189" i="1" s="1"/>
  <c r="EU170" i="1" s="1"/>
  <c r="GE189" i="1"/>
  <c r="F193" i="1"/>
  <c r="P193" i="1"/>
  <c r="F198" i="1"/>
  <c r="F205" i="1"/>
  <c r="P205" i="1"/>
  <c r="F214" i="1"/>
  <c r="D219" i="1"/>
  <c r="E221" i="1"/>
  <c r="Z221" i="1"/>
  <c r="AA221" i="1"/>
  <c r="AM221" i="1"/>
  <c r="AN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Y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R221" i="1"/>
  <c r="DS221" i="1"/>
  <c r="EE221" i="1"/>
  <c r="EF221" i="1"/>
  <c r="EW221" i="1"/>
  <c r="EX221" i="1"/>
  <c r="EY221" i="1"/>
  <c r="EZ221" i="1"/>
  <c r="FA221" i="1"/>
  <c r="FB221" i="1"/>
  <c r="FC221" i="1"/>
  <c r="FD221" i="1"/>
  <c r="FE221" i="1"/>
  <c r="FF221" i="1"/>
  <c r="FG221" i="1"/>
  <c r="FH221" i="1"/>
  <c r="FI221" i="1"/>
  <c r="FJ221" i="1"/>
  <c r="FK221" i="1"/>
  <c r="FL221" i="1"/>
  <c r="FM221" i="1"/>
  <c r="FN221" i="1"/>
  <c r="FO221" i="1"/>
  <c r="FQ221" i="1"/>
  <c r="GC221" i="1"/>
  <c r="GF221" i="1"/>
  <c r="GG221" i="1"/>
  <c r="GH221" i="1"/>
  <c r="GI221" i="1"/>
  <c r="GJ221" i="1"/>
  <c r="GK221" i="1"/>
  <c r="GL221" i="1"/>
  <c r="GM221" i="1"/>
  <c r="GN221" i="1"/>
  <c r="GO221" i="1"/>
  <c r="GP221" i="1"/>
  <c r="GQ221" i="1"/>
  <c r="GR221" i="1"/>
  <c r="GS221" i="1"/>
  <c r="GT221" i="1"/>
  <c r="GU221" i="1"/>
  <c r="GV221" i="1"/>
  <c r="GW221" i="1"/>
  <c r="GX221" i="1"/>
  <c r="D223" i="1"/>
  <c r="I223" i="1"/>
  <c r="K223" i="1"/>
  <c r="P223" i="1"/>
  <c r="W223" i="1"/>
  <c r="AC223" i="1"/>
  <c r="AE223" i="1"/>
  <c r="AD223" i="1" s="1"/>
  <c r="AB223" i="1" s="1"/>
  <c r="AF223" i="1"/>
  <c r="AG223" i="1"/>
  <c r="CU223" i="1" s="1"/>
  <c r="AH223" i="1"/>
  <c r="AI223" i="1"/>
  <c r="AJ223" i="1"/>
  <c r="CQ223" i="1"/>
  <c r="CV223" i="1"/>
  <c r="U223" i="1" s="1"/>
  <c r="CW223" i="1"/>
  <c r="V223" i="1" s="1"/>
  <c r="CX223" i="1"/>
  <c r="GL223" i="1"/>
  <c r="GO223" i="1"/>
  <c r="GP223" i="1"/>
  <c r="GV223" i="1"/>
  <c r="HC223" i="1" s="1"/>
  <c r="D224" i="1"/>
  <c r="I224" i="1"/>
  <c r="K224" i="1"/>
  <c r="P224" i="1"/>
  <c r="Q224" i="1"/>
  <c r="S224" i="1"/>
  <c r="V224" i="1"/>
  <c r="AC224" i="1"/>
  <c r="AE224" i="1"/>
  <c r="AF224" i="1"/>
  <c r="CT224" i="1" s="1"/>
  <c r="AG224" i="1"/>
  <c r="AH224" i="1"/>
  <c r="AI224" i="1"/>
  <c r="AJ224" i="1"/>
  <c r="CX224" i="1" s="1"/>
  <c r="W224" i="1" s="1"/>
  <c r="CQ224" i="1"/>
  <c r="CU224" i="1"/>
  <c r="CV224" i="1"/>
  <c r="CW224" i="1"/>
  <c r="GL224" i="1"/>
  <c r="GO224" i="1"/>
  <c r="GP224" i="1"/>
  <c r="GV224" i="1"/>
  <c r="HC224" i="1"/>
  <c r="GX224" i="1" s="1"/>
  <c r="D225" i="1"/>
  <c r="I225" i="1"/>
  <c r="K225" i="1"/>
  <c r="P225" i="1"/>
  <c r="S225" i="1"/>
  <c r="V225" i="1"/>
  <c r="AC225" i="1"/>
  <c r="AE225" i="1"/>
  <c r="AF225" i="1"/>
  <c r="CT225" i="1" s="1"/>
  <c r="AG225" i="1"/>
  <c r="CU225" i="1" s="1"/>
  <c r="T225" i="1" s="1"/>
  <c r="AH225" i="1"/>
  <c r="AI225" i="1"/>
  <c r="AJ225" i="1"/>
  <c r="CX225" i="1" s="1"/>
  <c r="W225" i="1" s="1"/>
  <c r="CQ225" i="1"/>
  <c r="CS225" i="1"/>
  <c r="CV225" i="1"/>
  <c r="U225" i="1" s="1"/>
  <c r="CW225" i="1"/>
  <c r="GL225" i="1"/>
  <c r="GO225" i="1"/>
  <c r="GP225" i="1"/>
  <c r="GV225" i="1"/>
  <c r="HC225" i="1"/>
  <c r="GX225" i="1" s="1"/>
  <c r="D226" i="1"/>
  <c r="I226" i="1"/>
  <c r="K226" i="1"/>
  <c r="Q226" i="1"/>
  <c r="S226" i="1"/>
  <c r="CY226" i="1" s="1"/>
  <c r="X226" i="1" s="1"/>
  <c r="AC226" i="1"/>
  <c r="AE226" i="1"/>
  <c r="AF226" i="1"/>
  <c r="AG226" i="1"/>
  <c r="AH226" i="1"/>
  <c r="AI226" i="1"/>
  <c r="CW226" i="1" s="1"/>
  <c r="V226" i="1" s="1"/>
  <c r="AJ226" i="1"/>
  <c r="CT226" i="1"/>
  <c r="CU226" i="1"/>
  <c r="T226" i="1" s="1"/>
  <c r="CV226" i="1"/>
  <c r="U226" i="1" s="1"/>
  <c r="CX226" i="1"/>
  <c r="W226" i="1" s="1"/>
  <c r="CZ226" i="1"/>
  <c r="Y226" i="1" s="1"/>
  <c r="GL226" i="1"/>
  <c r="GO226" i="1"/>
  <c r="GP226" i="1"/>
  <c r="GV226" i="1"/>
  <c r="GX226" i="1"/>
  <c r="HC226" i="1"/>
  <c r="D227" i="1"/>
  <c r="I227" i="1"/>
  <c r="T227" i="1" s="1"/>
  <c r="AB227" i="1"/>
  <c r="AC227" i="1"/>
  <c r="AD227" i="1"/>
  <c r="AE227" i="1"/>
  <c r="AF227" i="1"/>
  <c r="AG227" i="1"/>
  <c r="CU227" i="1" s="1"/>
  <c r="AH227" i="1"/>
  <c r="CV227" i="1" s="1"/>
  <c r="AI227" i="1"/>
  <c r="CW227" i="1" s="1"/>
  <c r="AJ227" i="1"/>
  <c r="CX227" i="1" s="1"/>
  <c r="CQ227" i="1"/>
  <c r="CR227" i="1"/>
  <c r="CS227" i="1"/>
  <c r="CT227" i="1"/>
  <c r="GL227" i="1"/>
  <c r="GO227" i="1"/>
  <c r="GP227" i="1"/>
  <c r="GV227" i="1"/>
  <c r="HC227" i="1" s="1"/>
  <c r="GX227" i="1"/>
  <c r="D228" i="1"/>
  <c r="AC228" i="1"/>
  <c r="AD228" i="1"/>
  <c r="AE228" i="1"/>
  <c r="AF228" i="1"/>
  <c r="AG228" i="1"/>
  <c r="CU228" i="1" s="1"/>
  <c r="AH228" i="1"/>
  <c r="AI228" i="1"/>
  <c r="CW228" i="1" s="1"/>
  <c r="AJ228" i="1"/>
  <c r="CX228" i="1" s="1"/>
  <c r="CQ228" i="1"/>
  <c r="CR228" i="1"/>
  <c r="CS228" i="1"/>
  <c r="CV228" i="1"/>
  <c r="GL228" i="1"/>
  <c r="GO228" i="1"/>
  <c r="GP228" i="1"/>
  <c r="GV228" i="1"/>
  <c r="HC228" i="1" s="1"/>
  <c r="C229" i="1"/>
  <c r="D229" i="1"/>
  <c r="I229" i="1"/>
  <c r="K229" i="1"/>
  <c r="AC229" i="1"/>
  <c r="AE229" i="1"/>
  <c r="AF229" i="1"/>
  <c r="AG229" i="1"/>
  <c r="CU229" i="1" s="1"/>
  <c r="AH229" i="1"/>
  <c r="AI229" i="1"/>
  <c r="CW229" i="1" s="1"/>
  <c r="AJ229" i="1"/>
  <c r="CX229" i="1" s="1"/>
  <c r="CQ229" i="1"/>
  <c r="CR229" i="1"/>
  <c r="CS229" i="1"/>
  <c r="CV229" i="1"/>
  <c r="GL229" i="1"/>
  <c r="GO229" i="1"/>
  <c r="GP229" i="1"/>
  <c r="GV229" i="1"/>
  <c r="HC229" i="1" s="1"/>
  <c r="C230" i="1"/>
  <c r="D230" i="1"/>
  <c r="I230" i="1"/>
  <c r="CX176" i="3" s="1"/>
  <c r="DG176" i="3" s="1"/>
  <c r="K230" i="1"/>
  <c r="Q230" i="1"/>
  <c r="R230" i="1"/>
  <c r="GK230" i="1" s="1"/>
  <c r="T230" i="1"/>
  <c r="U230" i="1"/>
  <c r="Y230" i="1"/>
  <c r="AC230" i="1"/>
  <c r="AD230" i="1"/>
  <c r="AE230" i="1"/>
  <c r="AF230" i="1"/>
  <c r="S230" i="1" s="1"/>
  <c r="AG230" i="1"/>
  <c r="AH230" i="1"/>
  <c r="AI230" i="1"/>
  <c r="AJ230" i="1"/>
  <c r="CX230" i="1" s="1"/>
  <c r="W230" i="1" s="1"/>
  <c r="CQ230" i="1"/>
  <c r="CT230" i="1"/>
  <c r="CU230" i="1"/>
  <c r="CV230" i="1"/>
  <c r="CW230" i="1"/>
  <c r="V230" i="1" s="1"/>
  <c r="CY230" i="1"/>
  <c r="X230" i="1" s="1"/>
  <c r="CZ230" i="1"/>
  <c r="GL230" i="1"/>
  <c r="GO230" i="1"/>
  <c r="FU258" i="1" s="1"/>
  <c r="GP230" i="1"/>
  <c r="GV230" i="1"/>
  <c r="HC230" i="1" s="1"/>
  <c r="GX230" i="1"/>
  <c r="AC231" i="1"/>
  <c r="AE231" i="1"/>
  <c r="CS231" i="1" s="1"/>
  <c r="AF231" i="1"/>
  <c r="CT231" i="1" s="1"/>
  <c r="AG231" i="1"/>
  <c r="AH231" i="1"/>
  <c r="CV231" i="1" s="1"/>
  <c r="AI231" i="1"/>
  <c r="AJ231" i="1"/>
  <c r="CX231" i="1" s="1"/>
  <c r="CR231" i="1"/>
  <c r="CU231" i="1"/>
  <c r="CW231" i="1"/>
  <c r="GL231" i="1"/>
  <c r="GO231" i="1"/>
  <c r="GP231" i="1"/>
  <c r="GV231" i="1"/>
  <c r="HC231" i="1"/>
  <c r="I232" i="1"/>
  <c r="Q232" i="1"/>
  <c r="R232" i="1"/>
  <c r="GK232" i="1" s="1"/>
  <c r="S232" i="1"/>
  <c r="V232" i="1"/>
  <c r="AC232" i="1"/>
  <c r="AD232" i="1"/>
  <c r="AB232" i="1" s="1"/>
  <c r="AE232" i="1"/>
  <c r="CR232" i="1" s="1"/>
  <c r="AF232" i="1"/>
  <c r="AG232" i="1"/>
  <c r="CU232" i="1" s="1"/>
  <c r="T232" i="1" s="1"/>
  <c r="AH232" i="1"/>
  <c r="CV232" i="1" s="1"/>
  <c r="U232" i="1" s="1"/>
  <c r="AI232" i="1"/>
  <c r="AJ232" i="1"/>
  <c r="CX232" i="1" s="1"/>
  <c r="W232" i="1" s="1"/>
  <c r="CQ232" i="1"/>
  <c r="CS232" i="1"/>
  <c r="CT232" i="1"/>
  <c r="CW232" i="1"/>
  <c r="GL232" i="1"/>
  <c r="GO232" i="1"/>
  <c r="GP232" i="1"/>
  <c r="GV232" i="1"/>
  <c r="HC232" i="1" s="1"/>
  <c r="GX232" i="1"/>
  <c r="C233" i="1"/>
  <c r="D233" i="1"/>
  <c r="I233" i="1"/>
  <c r="K233" i="1"/>
  <c r="P233" i="1"/>
  <c r="Q233" i="1"/>
  <c r="R233" i="1"/>
  <c r="GK233" i="1" s="1"/>
  <c r="T233" i="1"/>
  <c r="U233" i="1"/>
  <c r="AC233" i="1"/>
  <c r="AD233" i="1"/>
  <c r="AB233" i="1" s="1"/>
  <c r="AE233" i="1"/>
  <c r="AF233" i="1"/>
  <c r="AG233" i="1"/>
  <c r="CU233" i="1" s="1"/>
  <c r="AH233" i="1"/>
  <c r="AI233" i="1"/>
  <c r="AJ233" i="1"/>
  <c r="CX233" i="1" s="1"/>
  <c r="W233" i="1" s="1"/>
  <c r="CQ233" i="1"/>
  <c r="CV233" i="1"/>
  <c r="CW233" i="1"/>
  <c r="V233" i="1" s="1"/>
  <c r="GL233" i="1"/>
  <c r="GO233" i="1"/>
  <c r="GP233" i="1"/>
  <c r="GV233" i="1"/>
  <c r="HC233" i="1"/>
  <c r="GX233" i="1" s="1"/>
  <c r="C234" i="1"/>
  <c r="D234" i="1"/>
  <c r="I234" i="1"/>
  <c r="K234" i="1"/>
  <c r="R234" i="1"/>
  <c r="GK234" i="1" s="1"/>
  <c r="U234" i="1"/>
  <c r="AB234" i="1"/>
  <c r="AC234" i="1"/>
  <c r="AD234" i="1"/>
  <c r="AE234" i="1"/>
  <c r="AF234" i="1"/>
  <c r="AG234" i="1"/>
  <c r="CU234" i="1" s="1"/>
  <c r="T234" i="1" s="1"/>
  <c r="AH234" i="1"/>
  <c r="CV234" i="1" s="1"/>
  <c r="AI234" i="1"/>
  <c r="AJ234" i="1"/>
  <c r="CQ234" i="1"/>
  <c r="CR234" i="1"/>
  <c r="CS234" i="1"/>
  <c r="CT234" i="1"/>
  <c r="CW234" i="1"/>
  <c r="CX234" i="1"/>
  <c r="GL234" i="1"/>
  <c r="GO234" i="1"/>
  <c r="GP234" i="1"/>
  <c r="FV258" i="1" s="1"/>
  <c r="GV234" i="1"/>
  <c r="HC234" i="1"/>
  <c r="GX234" i="1" s="1"/>
  <c r="I235" i="1"/>
  <c r="Q235" i="1"/>
  <c r="R235" i="1"/>
  <c r="V235" i="1"/>
  <c r="W235" i="1"/>
  <c r="Y235" i="1"/>
  <c r="AC235" i="1"/>
  <c r="AD235" i="1"/>
  <c r="AE235" i="1"/>
  <c r="AF235" i="1"/>
  <c r="S235" i="1" s="1"/>
  <c r="CZ235" i="1" s="1"/>
  <c r="AG235" i="1"/>
  <c r="AH235" i="1"/>
  <c r="AI235" i="1"/>
  <c r="CW235" i="1" s="1"/>
  <c r="AJ235" i="1"/>
  <c r="CR235" i="1"/>
  <c r="CS235" i="1"/>
  <c r="CT235" i="1"/>
  <c r="CU235" i="1"/>
  <c r="T235" i="1" s="1"/>
  <c r="CV235" i="1"/>
  <c r="U235" i="1" s="1"/>
  <c r="CX235" i="1"/>
  <c r="CY235" i="1"/>
  <c r="X235" i="1" s="1"/>
  <c r="GK235" i="1"/>
  <c r="GL235" i="1"/>
  <c r="GO235" i="1"/>
  <c r="GP235" i="1"/>
  <c r="GV235" i="1"/>
  <c r="HC235" i="1" s="1"/>
  <c r="GX235" i="1"/>
  <c r="AB236" i="1"/>
  <c r="AC236" i="1"/>
  <c r="AD236" i="1"/>
  <c r="AE236" i="1"/>
  <c r="AF236" i="1"/>
  <c r="AG236" i="1"/>
  <c r="AH236" i="1"/>
  <c r="CV236" i="1" s="1"/>
  <c r="AI236" i="1"/>
  <c r="CW236" i="1" s="1"/>
  <c r="AJ236" i="1"/>
  <c r="CX236" i="1" s="1"/>
  <c r="CQ236" i="1"/>
  <c r="CR236" i="1"/>
  <c r="CS236" i="1"/>
  <c r="CT236" i="1"/>
  <c r="CU236" i="1"/>
  <c r="GL236" i="1"/>
  <c r="GO236" i="1"/>
  <c r="GP236" i="1"/>
  <c r="GV236" i="1"/>
  <c r="HC236" i="1"/>
  <c r="C237" i="1"/>
  <c r="D237" i="1"/>
  <c r="I237" i="1"/>
  <c r="V237" i="1" s="1"/>
  <c r="K237" i="1"/>
  <c r="AC237" i="1"/>
  <c r="AE237" i="1"/>
  <c r="AF237" i="1"/>
  <c r="CT237" i="1" s="1"/>
  <c r="AG237" i="1"/>
  <c r="AH237" i="1"/>
  <c r="CV237" i="1" s="1"/>
  <c r="AI237" i="1"/>
  <c r="CW237" i="1" s="1"/>
  <c r="AJ237" i="1"/>
  <c r="CU237" i="1"/>
  <c r="T237" i="1" s="1"/>
  <c r="CX237" i="1"/>
  <c r="GL237" i="1"/>
  <c r="GO237" i="1"/>
  <c r="GP237" i="1"/>
  <c r="GV237" i="1"/>
  <c r="HC237" i="1"/>
  <c r="C238" i="1"/>
  <c r="D238" i="1"/>
  <c r="I238" i="1"/>
  <c r="CX180" i="3" s="1"/>
  <c r="K238" i="1"/>
  <c r="P238" i="1"/>
  <c r="CP238" i="1" s="1"/>
  <c r="O238" i="1" s="1"/>
  <c r="Q238" i="1"/>
  <c r="S238" i="1"/>
  <c r="CY238" i="1" s="1"/>
  <c r="X238" i="1" s="1"/>
  <c r="W238" i="1"/>
  <c r="Y238" i="1"/>
  <c r="AC238" i="1"/>
  <c r="AD238" i="1"/>
  <c r="AB238" i="1" s="1"/>
  <c r="AE238" i="1"/>
  <c r="R238" i="1" s="1"/>
  <c r="AF238" i="1"/>
  <c r="CT238" i="1" s="1"/>
  <c r="AG238" i="1"/>
  <c r="CU238" i="1" s="1"/>
  <c r="T238" i="1" s="1"/>
  <c r="AH238" i="1"/>
  <c r="CV238" i="1" s="1"/>
  <c r="U238" i="1" s="1"/>
  <c r="AI238" i="1"/>
  <c r="AJ238" i="1"/>
  <c r="CX238" i="1" s="1"/>
  <c r="CQ238" i="1"/>
  <c r="CR238" i="1"/>
  <c r="CS238" i="1"/>
  <c r="CW238" i="1"/>
  <c r="V238" i="1" s="1"/>
  <c r="CZ238" i="1"/>
  <c r="GK238" i="1"/>
  <c r="GL238" i="1"/>
  <c r="GO238" i="1"/>
  <c r="GP238" i="1"/>
  <c r="GV238" i="1"/>
  <c r="HC238" i="1" s="1"/>
  <c r="GX238" i="1" s="1"/>
  <c r="AC239" i="1"/>
  <c r="AE239" i="1"/>
  <c r="AF239" i="1"/>
  <c r="CT239" i="1" s="1"/>
  <c r="AG239" i="1"/>
  <c r="CU239" i="1" s="1"/>
  <c r="AH239" i="1"/>
  <c r="AI239" i="1"/>
  <c r="AJ239" i="1"/>
  <c r="CQ239" i="1"/>
  <c r="CV239" i="1"/>
  <c r="CW239" i="1"/>
  <c r="CX239" i="1"/>
  <c r="GL239" i="1"/>
  <c r="GO239" i="1"/>
  <c r="GP239" i="1"/>
  <c r="CD258" i="1" s="1"/>
  <c r="GV239" i="1"/>
  <c r="HC239" i="1"/>
  <c r="I240" i="1"/>
  <c r="Q240" i="1" s="1"/>
  <c r="R240" i="1"/>
  <c r="GK240" i="1" s="1"/>
  <c r="U240" i="1"/>
  <c r="AC240" i="1"/>
  <c r="AD240" i="1"/>
  <c r="AE240" i="1"/>
  <c r="AF240" i="1"/>
  <c r="AG240" i="1"/>
  <c r="CU240" i="1" s="1"/>
  <c r="T240" i="1" s="1"/>
  <c r="AH240" i="1"/>
  <c r="CV240" i="1" s="1"/>
  <c r="AI240" i="1"/>
  <c r="CW240" i="1" s="1"/>
  <c r="AJ240" i="1"/>
  <c r="CR240" i="1"/>
  <c r="CS240" i="1"/>
  <c r="CX240" i="1"/>
  <c r="W240" i="1" s="1"/>
  <c r="GL240" i="1"/>
  <c r="GO240" i="1"/>
  <c r="GP240" i="1"/>
  <c r="GV240" i="1"/>
  <c r="HC240" i="1"/>
  <c r="C241" i="1"/>
  <c r="D241" i="1"/>
  <c r="I241" i="1"/>
  <c r="CX181" i="3" s="1"/>
  <c r="K241" i="1"/>
  <c r="Q241" i="1"/>
  <c r="S241" i="1"/>
  <c r="CZ241" i="1" s="1"/>
  <c r="Y241" i="1" s="1"/>
  <c r="T241" i="1"/>
  <c r="V241" i="1"/>
  <c r="AC241" i="1"/>
  <c r="AD241" i="1"/>
  <c r="AE241" i="1"/>
  <c r="R241" i="1" s="1"/>
  <c r="AF241" i="1"/>
  <c r="AG241" i="1"/>
  <c r="AH241" i="1"/>
  <c r="CV241" i="1" s="1"/>
  <c r="U241" i="1" s="1"/>
  <c r="AI241" i="1"/>
  <c r="AJ241" i="1"/>
  <c r="CX241" i="1" s="1"/>
  <c r="W241" i="1" s="1"/>
  <c r="CQ241" i="1"/>
  <c r="CR241" i="1"/>
  <c r="CS241" i="1"/>
  <c r="CT241" i="1"/>
  <c r="CU241" i="1"/>
  <c r="CW241" i="1"/>
  <c r="CY241" i="1"/>
  <c r="X241" i="1" s="1"/>
  <c r="GK241" i="1"/>
  <c r="GL241" i="1"/>
  <c r="GO241" i="1"/>
  <c r="GP241" i="1"/>
  <c r="GV241" i="1"/>
  <c r="HC241" i="1" s="1"/>
  <c r="GX241" i="1" s="1"/>
  <c r="C242" i="1"/>
  <c r="D242" i="1"/>
  <c r="I242" i="1"/>
  <c r="CX182" i="3" s="1"/>
  <c r="K242" i="1"/>
  <c r="P242" i="1"/>
  <c r="R242" i="1"/>
  <c r="GK242" i="1" s="1"/>
  <c r="S242" i="1"/>
  <c r="AC242" i="1"/>
  <c r="AD242" i="1"/>
  <c r="AE242" i="1"/>
  <c r="AF242" i="1"/>
  <c r="AG242" i="1"/>
  <c r="CU242" i="1" s="1"/>
  <c r="T242" i="1" s="1"/>
  <c r="AH242" i="1"/>
  <c r="CV242" i="1" s="1"/>
  <c r="U242" i="1" s="1"/>
  <c r="AI242" i="1"/>
  <c r="AJ242" i="1"/>
  <c r="CX242" i="1" s="1"/>
  <c r="W242" i="1" s="1"/>
  <c r="CQ242" i="1"/>
  <c r="CT242" i="1"/>
  <c r="CW242" i="1"/>
  <c r="V242" i="1" s="1"/>
  <c r="GL242" i="1"/>
  <c r="GO242" i="1"/>
  <c r="GP242" i="1"/>
  <c r="GV242" i="1"/>
  <c r="HC242" i="1" s="1"/>
  <c r="GX242" i="1" s="1"/>
  <c r="I243" i="1"/>
  <c r="Q243" i="1" s="1"/>
  <c r="AC243" i="1"/>
  <c r="AE243" i="1"/>
  <c r="AD243" i="1" s="1"/>
  <c r="AF243" i="1"/>
  <c r="AG243" i="1"/>
  <c r="AH243" i="1"/>
  <c r="AI243" i="1"/>
  <c r="AJ243" i="1"/>
  <c r="CR243" i="1"/>
  <c r="CS243" i="1"/>
  <c r="CU243" i="1"/>
  <c r="CV243" i="1"/>
  <c r="CW243" i="1"/>
  <c r="CX243" i="1"/>
  <c r="GL243" i="1"/>
  <c r="GO243" i="1"/>
  <c r="GP243" i="1"/>
  <c r="GV243" i="1"/>
  <c r="HC243" i="1"/>
  <c r="I244" i="1"/>
  <c r="W244" i="1" s="1"/>
  <c r="P244" i="1"/>
  <c r="AC244" i="1"/>
  <c r="AE244" i="1"/>
  <c r="AF244" i="1"/>
  <c r="AG244" i="1"/>
  <c r="AH244" i="1"/>
  <c r="AI244" i="1"/>
  <c r="CW244" i="1" s="1"/>
  <c r="AJ244" i="1"/>
  <c r="CQ244" i="1"/>
  <c r="CU244" i="1"/>
  <c r="CV244" i="1"/>
  <c r="CX244" i="1"/>
  <c r="GL244" i="1"/>
  <c r="GO244" i="1"/>
  <c r="GP244" i="1"/>
  <c r="GV244" i="1"/>
  <c r="HC244" i="1"/>
  <c r="C245" i="1"/>
  <c r="D245" i="1"/>
  <c r="I245" i="1"/>
  <c r="K245" i="1"/>
  <c r="P245" i="1"/>
  <c r="T245" i="1"/>
  <c r="W245" i="1"/>
  <c r="AC245" i="1"/>
  <c r="AE245" i="1"/>
  <c r="AF245" i="1"/>
  <c r="AG245" i="1"/>
  <c r="AH245" i="1"/>
  <c r="CV245" i="1" s="1"/>
  <c r="U245" i="1" s="1"/>
  <c r="AI245" i="1"/>
  <c r="CW245" i="1" s="1"/>
  <c r="V245" i="1" s="1"/>
  <c r="AJ245" i="1"/>
  <c r="CX245" i="1" s="1"/>
  <c r="CQ245" i="1"/>
  <c r="CU245" i="1"/>
  <c r="GL245" i="1"/>
  <c r="GO245" i="1"/>
  <c r="GP245" i="1"/>
  <c r="GV245" i="1"/>
  <c r="HC245" i="1" s="1"/>
  <c r="GX245" i="1" s="1"/>
  <c r="C246" i="1"/>
  <c r="D246" i="1"/>
  <c r="I246" i="1"/>
  <c r="K246" i="1"/>
  <c r="Q246" i="1"/>
  <c r="R246" i="1"/>
  <c r="GK246" i="1" s="1"/>
  <c r="T246" i="1"/>
  <c r="AC246" i="1"/>
  <c r="AD246" i="1"/>
  <c r="AE246" i="1"/>
  <c r="AF246" i="1"/>
  <c r="AG246" i="1"/>
  <c r="CU246" i="1" s="1"/>
  <c r="AH246" i="1"/>
  <c r="AI246" i="1"/>
  <c r="AJ246" i="1"/>
  <c r="CX246" i="1" s="1"/>
  <c r="W246" i="1" s="1"/>
  <c r="CR246" i="1"/>
  <c r="CS246" i="1"/>
  <c r="CT246" i="1"/>
  <c r="CV246" i="1"/>
  <c r="U246" i="1" s="1"/>
  <c r="CW246" i="1"/>
  <c r="V246" i="1" s="1"/>
  <c r="GL246" i="1"/>
  <c r="GO246" i="1"/>
  <c r="GP246" i="1"/>
  <c r="GV246" i="1"/>
  <c r="GX246" i="1"/>
  <c r="HC246" i="1"/>
  <c r="I247" i="1"/>
  <c r="Q247" i="1"/>
  <c r="S247" i="1"/>
  <c r="T247" i="1"/>
  <c r="W247" i="1"/>
  <c r="AC247" i="1"/>
  <c r="AD247" i="1"/>
  <c r="AB247" i="1" s="1"/>
  <c r="AE247" i="1"/>
  <c r="AF247" i="1"/>
  <c r="AG247" i="1"/>
  <c r="CU247" i="1" s="1"/>
  <c r="AH247" i="1"/>
  <c r="CV247" i="1" s="1"/>
  <c r="U247" i="1" s="1"/>
  <c r="AI247" i="1"/>
  <c r="CW247" i="1" s="1"/>
  <c r="V247" i="1" s="1"/>
  <c r="AJ247" i="1"/>
  <c r="CX247" i="1" s="1"/>
  <c r="CR247" i="1"/>
  <c r="CS247" i="1"/>
  <c r="CT247" i="1"/>
  <c r="GL247" i="1"/>
  <c r="GO247" i="1"/>
  <c r="GP247" i="1"/>
  <c r="GV247" i="1"/>
  <c r="HC247" i="1" s="1"/>
  <c r="GX247" i="1" s="1"/>
  <c r="AB248" i="1"/>
  <c r="AC248" i="1"/>
  <c r="AD248" i="1"/>
  <c r="AE248" i="1"/>
  <c r="CR248" i="1" s="1"/>
  <c r="AF248" i="1"/>
  <c r="AG248" i="1"/>
  <c r="CU248" i="1" s="1"/>
  <c r="AH248" i="1"/>
  <c r="CV248" i="1" s="1"/>
  <c r="AI248" i="1"/>
  <c r="CW248" i="1" s="1"/>
  <c r="AJ248" i="1"/>
  <c r="CX248" i="1" s="1"/>
  <c r="CQ248" i="1"/>
  <c r="CS248" i="1"/>
  <c r="CT248" i="1"/>
  <c r="GL248" i="1"/>
  <c r="GO248" i="1"/>
  <c r="GP248" i="1"/>
  <c r="GV248" i="1"/>
  <c r="HC248" i="1" s="1"/>
  <c r="C249" i="1"/>
  <c r="D249" i="1"/>
  <c r="I249" i="1"/>
  <c r="K249" i="1"/>
  <c r="P249" i="1"/>
  <c r="R249" i="1"/>
  <c r="T249" i="1"/>
  <c r="U249" i="1"/>
  <c r="AC249" i="1"/>
  <c r="AD249" i="1"/>
  <c r="AB249" i="1" s="1"/>
  <c r="AE249" i="1"/>
  <c r="AF249" i="1"/>
  <c r="AG249" i="1"/>
  <c r="CU249" i="1" s="1"/>
  <c r="AH249" i="1"/>
  <c r="CV249" i="1" s="1"/>
  <c r="AI249" i="1"/>
  <c r="CW249" i="1" s="1"/>
  <c r="V249" i="1" s="1"/>
  <c r="AJ249" i="1"/>
  <c r="CQ249" i="1"/>
  <c r="CR249" i="1"/>
  <c r="CS249" i="1"/>
  <c r="CX249" i="1"/>
  <c r="W249" i="1" s="1"/>
  <c r="GK249" i="1"/>
  <c r="GL249" i="1"/>
  <c r="GO249" i="1"/>
  <c r="GP249" i="1"/>
  <c r="GV249" i="1"/>
  <c r="HC249" i="1"/>
  <c r="GX249" i="1" s="1"/>
  <c r="C250" i="1"/>
  <c r="D250" i="1"/>
  <c r="I250" i="1"/>
  <c r="K250" i="1"/>
  <c r="Q250" i="1"/>
  <c r="T250" i="1"/>
  <c r="V250" i="1"/>
  <c r="X250" i="1"/>
  <c r="Y250" i="1"/>
  <c r="AC250" i="1"/>
  <c r="P250" i="1" s="1"/>
  <c r="CP250" i="1" s="1"/>
  <c r="O250" i="1" s="1"/>
  <c r="AD250" i="1"/>
  <c r="AB250" i="1" s="1"/>
  <c r="AE250" i="1"/>
  <c r="AF250" i="1"/>
  <c r="S250" i="1" s="1"/>
  <c r="CZ250" i="1" s="1"/>
  <c r="AG250" i="1"/>
  <c r="AH250" i="1"/>
  <c r="CV250" i="1" s="1"/>
  <c r="U250" i="1" s="1"/>
  <c r="AI250" i="1"/>
  <c r="AJ250" i="1"/>
  <c r="CX250" i="1" s="1"/>
  <c r="W250" i="1" s="1"/>
  <c r="CQ250" i="1"/>
  <c r="CR250" i="1"/>
  <c r="CS250" i="1"/>
  <c r="CT250" i="1"/>
  <c r="CU250" i="1"/>
  <c r="CW250" i="1"/>
  <c r="CY250" i="1"/>
  <c r="GL250" i="1"/>
  <c r="GO250" i="1"/>
  <c r="GP250" i="1"/>
  <c r="GV250" i="1"/>
  <c r="HC250" i="1" s="1"/>
  <c r="GX250" i="1"/>
  <c r="I251" i="1"/>
  <c r="Q251" i="1"/>
  <c r="R251" i="1"/>
  <c r="GK251" i="1" s="1"/>
  <c r="S251" i="1"/>
  <c r="CZ251" i="1" s="1"/>
  <c r="Y251" i="1" s="1"/>
  <c r="AC251" i="1"/>
  <c r="AE251" i="1"/>
  <c r="AF251" i="1"/>
  <c r="CT251" i="1" s="1"/>
  <c r="AG251" i="1"/>
  <c r="CU251" i="1" s="1"/>
  <c r="T251" i="1" s="1"/>
  <c r="AH251" i="1"/>
  <c r="CV251" i="1" s="1"/>
  <c r="U251" i="1" s="1"/>
  <c r="AI251" i="1"/>
  <c r="AJ251" i="1"/>
  <c r="CX251" i="1" s="1"/>
  <c r="W251" i="1" s="1"/>
  <c r="CR251" i="1"/>
  <c r="CW251" i="1"/>
  <c r="V251" i="1" s="1"/>
  <c r="CY251" i="1"/>
  <c r="X251" i="1" s="1"/>
  <c r="GL251" i="1"/>
  <c r="GO251" i="1"/>
  <c r="GP251" i="1"/>
  <c r="GV251" i="1"/>
  <c r="HC251" i="1"/>
  <c r="GX251" i="1" s="1"/>
  <c r="AC252" i="1"/>
  <c r="AE252" i="1"/>
  <c r="AF252" i="1"/>
  <c r="AG252" i="1"/>
  <c r="CU252" i="1" s="1"/>
  <c r="AH252" i="1"/>
  <c r="CV252" i="1" s="1"/>
  <c r="AI252" i="1"/>
  <c r="CW252" i="1" s="1"/>
  <c r="AJ252" i="1"/>
  <c r="CT252" i="1"/>
  <c r="CX252" i="1"/>
  <c r="GL252" i="1"/>
  <c r="GO252" i="1"/>
  <c r="GP252" i="1"/>
  <c r="GV252" i="1"/>
  <c r="HC252" i="1" s="1"/>
  <c r="C253" i="1"/>
  <c r="D253" i="1"/>
  <c r="I253" i="1"/>
  <c r="K253" i="1"/>
  <c r="P253" i="1"/>
  <c r="S253" i="1"/>
  <c r="W253" i="1"/>
  <c r="AB253" i="1"/>
  <c r="AC253" i="1"/>
  <c r="AD253" i="1"/>
  <c r="AE253" i="1"/>
  <c r="AF253" i="1"/>
  <c r="CT253" i="1" s="1"/>
  <c r="AG253" i="1"/>
  <c r="AH253" i="1"/>
  <c r="AI253" i="1"/>
  <c r="CW253" i="1" s="1"/>
  <c r="V253" i="1" s="1"/>
  <c r="AJ253" i="1"/>
  <c r="CX253" i="1" s="1"/>
  <c r="CQ253" i="1"/>
  <c r="CS253" i="1"/>
  <c r="CU253" i="1"/>
  <c r="T253" i="1" s="1"/>
  <c r="CV253" i="1"/>
  <c r="U253" i="1" s="1"/>
  <c r="GL253" i="1"/>
  <c r="GO253" i="1"/>
  <c r="GP253" i="1"/>
  <c r="GV253" i="1"/>
  <c r="HC253" i="1"/>
  <c r="GX253" i="1" s="1"/>
  <c r="C254" i="1"/>
  <c r="D254" i="1"/>
  <c r="I254" i="1"/>
  <c r="I256" i="1" s="1"/>
  <c r="K254" i="1"/>
  <c r="AC254" i="1"/>
  <c r="AE254" i="1"/>
  <c r="AF254" i="1"/>
  <c r="AG254" i="1"/>
  <c r="AH254" i="1"/>
  <c r="CV254" i="1" s="1"/>
  <c r="AI254" i="1"/>
  <c r="AJ254" i="1"/>
  <c r="CX254" i="1" s="1"/>
  <c r="W254" i="1" s="1"/>
  <c r="CT254" i="1"/>
  <c r="CU254" i="1"/>
  <c r="T254" i="1" s="1"/>
  <c r="CW254" i="1"/>
  <c r="V254" i="1" s="1"/>
  <c r="GL254" i="1"/>
  <c r="GO254" i="1"/>
  <c r="GP254" i="1"/>
  <c r="GV254" i="1"/>
  <c r="HC254" i="1"/>
  <c r="GX254" i="1" s="1"/>
  <c r="AC255" i="1"/>
  <c r="AE255" i="1"/>
  <c r="AF255" i="1"/>
  <c r="AG255" i="1"/>
  <c r="CU255" i="1" s="1"/>
  <c r="AH255" i="1"/>
  <c r="AI255" i="1"/>
  <c r="AJ255" i="1"/>
  <c r="CQ255" i="1"/>
  <c r="CT255" i="1"/>
  <c r="CV255" i="1"/>
  <c r="CW255" i="1"/>
  <c r="CX255" i="1"/>
  <c r="GL255" i="1"/>
  <c r="GO255" i="1"/>
  <c r="GP255" i="1"/>
  <c r="GV255" i="1"/>
  <c r="HC255" i="1"/>
  <c r="AC256" i="1"/>
  <c r="AE256" i="1"/>
  <c r="AF256" i="1"/>
  <c r="AG256" i="1"/>
  <c r="CU256" i="1" s="1"/>
  <c r="AH256" i="1"/>
  <c r="CV256" i="1" s="1"/>
  <c r="U256" i="1" s="1"/>
  <c r="AI256" i="1"/>
  <c r="AJ256" i="1"/>
  <c r="CX256" i="1" s="1"/>
  <c r="CQ256" i="1"/>
  <c r="CW256" i="1"/>
  <c r="GL256" i="1"/>
  <c r="GO256" i="1"/>
  <c r="GP256" i="1"/>
  <c r="GV256" i="1"/>
  <c r="HC256" i="1"/>
  <c r="B258" i="1"/>
  <c r="B221" i="1" s="1"/>
  <c r="C258" i="1"/>
  <c r="C221" i="1" s="1"/>
  <c r="D258" i="1"/>
  <c r="D221" i="1" s="1"/>
  <c r="F258" i="1"/>
  <c r="F221" i="1" s="1"/>
  <c r="G258" i="1"/>
  <c r="G221" i="1" s="1"/>
  <c r="BB258" i="1"/>
  <c r="BB221" i="1" s="1"/>
  <c r="BC258" i="1"/>
  <c r="BX258" i="1"/>
  <c r="BY258" i="1"/>
  <c r="AP258" i="1" s="1"/>
  <c r="CK258" i="1"/>
  <c r="CL258" i="1"/>
  <c r="CM258" i="1"/>
  <c r="BD258" i="1" s="1"/>
  <c r="EH258" i="1"/>
  <c r="EH221" i="1" s="1"/>
  <c r="EU258" i="1"/>
  <c r="EU221" i="1" s="1"/>
  <c r="FP258" i="1"/>
  <c r="FQ258" i="1"/>
  <c r="GC258" i="1"/>
  <c r="ET258" i="1" s="1"/>
  <c r="GD258" i="1"/>
  <c r="GD221" i="1" s="1"/>
  <c r="GE258" i="1"/>
  <c r="P274" i="1"/>
  <c r="D288" i="1"/>
  <c r="B290" i="1"/>
  <c r="E290" i="1"/>
  <c r="F290" i="1"/>
  <c r="G290" i="1"/>
  <c r="Z290" i="1"/>
  <c r="AA290" i="1"/>
  <c r="AM290" i="1"/>
  <c r="AN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CK290" i="1"/>
  <c r="CM290" i="1"/>
  <c r="CN290" i="1"/>
  <c r="CO290" i="1"/>
  <c r="CP290" i="1"/>
  <c r="CQ290" i="1"/>
  <c r="CR290" i="1"/>
  <c r="CS290" i="1"/>
  <c r="CT290" i="1"/>
  <c r="CU290" i="1"/>
  <c r="CV290" i="1"/>
  <c r="CW290" i="1"/>
  <c r="CX290" i="1"/>
  <c r="CY290" i="1"/>
  <c r="CZ290" i="1"/>
  <c r="DA290" i="1"/>
  <c r="DB290" i="1"/>
  <c r="DC290" i="1"/>
  <c r="DD290" i="1"/>
  <c r="DE290" i="1"/>
  <c r="DF290" i="1"/>
  <c r="DR290" i="1"/>
  <c r="DS290" i="1"/>
  <c r="EE290" i="1"/>
  <c r="EF290" i="1"/>
  <c r="EW290" i="1"/>
  <c r="EX290" i="1"/>
  <c r="EY290" i="1"/>
  <c r="EZ290" i="1"/>
  <c r="FA290" i="1"/>
  <c r="FB290" i="1"/>
  <c r="FC290" i="1"/>
  <c r="FD290" i="1"/>
  <c r="FE290" i="1"/>
  <c r="FF290" i="1"/>
  <c r="FG290" i="1"/>
  <c r="FH290" i="1"/>
  <c r="FI290" i="1"/>
  <c r="FJ290" i="1"/>
  <c r="FK290" i="1"/>
  <c r="FL290" i="1"/>
  <c r="FM290" i="1"/>
  <c r="FN290" i="1"/>
  <c r="FO290" i="1"/>
  <c r="FP290" i="1"/>
  <c r="GC290" i="1"/>
  <c r="GF290" i="1"/>
  <c r="GG290" i="1"/>
  <c r="GH290" i="1"/>
  <c r="GI290" i="1"/>
  <c r="GJ290" i="1"/>
  <c r="GK290" i="1"/>
  <c r="GL290" i="1"/>
  <c r="GM290" i="1"/>
  <c r="GN290" i="1"/>
  <c r="GO290" i="1"/>
  <c r="GP290" i="1"/>
  <c r="GQ290" i="1"/>
  <c r="GR290" i="1"/>
  <c r="GS290" i="1"/>
  <c r="GT290" i="1"/>
  <c r="GU290" i="1"/>
  <c r="GV290" i="1"/>
  <c r="GW290" i="1"/>
  <c r="GX290" i="1"/>
  <c r="D292" i="1"/>
  <c r="R292" i="1"/>
  <c r="T292" i="1"/>
  <c r="V292" i="1"/>
  <c r="X292" i="1"/>
  <c r="AB292" i="1"/>
  <c r="AC292" i="1"/>
  <c r="P292" i="1" s="1"/>
  <c r="AD292" i="1"/>
  <c r="AE292" i="1"/>
  <c r="Q292" i="1" s="1"/>
  <c r="AF292" i="1"/>
  <c r="S292" i="1" s="1"/>
  <c r="CY292" i="1" s="1"/>
  <c r="AG292" i="1"/>
  <c r="AH292" i="1"/>
  <c r="CV292" i="1" s="1"/>
  <c r="U292" i="1" s="1"/>
  <c r="AI292" i="1"/>
  <c r="CW292" i="1" s="1"/>
  <c r="AJ292" i="1"/>
  <c r="CX292" i="1" s="1"/>
  <c r="W292" i="1" s="1"/>
  <c r="CP292" i="1"/>
  <c r="O292" i="1" s="1"/>
  <c r="CQ292" i="1"/>
  <c r="CR292" i="1"/>
  <c r="CS292" i="1"/>
  <c r="CU292" i="1"/>
  <c r="GL292" i="1"/>
  <c r="GO292" i="1"/>
  <c r="GP292" i="1"/>
  <c r="GV292" i="1"/>
  <c r="HC292" i="1"/>
  <c r="GX292" i="1" s="1"/>
  <c r="D293" i="1"/>
  <c r="P293" i="1"/>
  <c r="Q293" i="1"/>
  <c r="R293" i="1"/>
  <c r="S293" i="1"/>
  <c r="U293" i="1"/>
  <c r="V293" i="1"/>
  <c r="W293" i="1"/>
  <c r="AB293" i="1"/>
  <c r="AC293" i="1"/>
  <c r="CQ293" i="1" s="1"/>
  <c r="AD293" i="1"/>
  <c r="AE293" i="1"/>
  <c r="AF293" i="1"/>
  <c r="AG293" i="1"/>
  <c r="CU293" i="1" s="1"/>
  <c r="T293" i="1" s="1"/>
  <c r="AH293" i="1"/>
  <c r="CV293" i="1" s="1"/>
  <c r="AI293" i="1"/>
  <c r="CW293" i="1" s="1"/>
  <c r="AJ293" i="1"/>
  <c r="CX293" i="1" s="1"/>
  <c r="CP293" i="1"/>
  <c r="O293" i="1" s="1"/>
  <c r="CR293" i="1"/>
  <c r="CS293" i="1"/>
  <c r="CT293" i="1"/>
  <c r="GK293" i="1"/>
  <c r="GL293" i="1"/>
  <c r="FR319" i="1" s="1"/>
  <c r="GO293" i="1"/>
  <c r="GP293" i="1"/>
  <c r="GV293" i="1"/>
  <c r="HC293" i="1"/>
  <c r="GX293" i="1" s="1"/>
  <c r="D294" i="1"/>
  <c r="P294" i="1"/>
  <c r="R294" i="1"/>
  <c r="GK294" i="1" s="1"/>
  <c r="W294" i="1"/>
  <c r="AB294" i="1"/>
  <c r="AC294" i="1"/>
  <c r="AD294" i="1"/>
  <c r="AE294" i="1"/>
  <c r="CR294" i="1" s="1"/>
  <c r="AF294" i="1"/>
  <c r="AG294" i="1"/>
  <c r="AH294" i="1"/>
  <c r="AI294" i="1"/>
  <c r="CW294" i="1" s="1"/>
  <c r="V294" i="1" s="1"/>
  <c r="AJ294" i="1"/>
  <c r="CX294" i="1" s="1"/>
  <c r="CQ294" i="1"/>
  <c r="CS294" i="1"/>
  <c r="CU294" i="1"/>
  <c r="T294" i="1" s="1"/>
  <c r="CV294" i="1"/>
  <c r="U294" i="1" s="1"/>
  <c r="GL294" i="1"/>
  <c r="GO294" i="1"/>
  <c r="GP294" i="1"/>
  <c r="GV294" i="1"/>
  <c r="GX294" i="1"/>
  <c r="HC294" i="1"/>
  <c r="D295" i="1"/>
  <c r="S295" i="1"/>
  <c r="T295" i="1"/>
  <c r="AC295" i="1"/>
  <c r="AE295" i="1"/>
  <c r="AF295" i="1"/>
  <c r="AG295" i="1"/>
  <c r="AH295" i="1"/>
  <c r="AI295" i="1"/>
  <c r="AJ295" i="1"/>
  <c r="CT295" i="1"/>
  <c r="CU295" i="1"/>
  <c r="CV295" i="1"/>
  <c r="U295" i="1" s="1"/>
  <c r="CW295" i="1"/>
  <c r="V295" i="1" s="1"/>
  <c r="CX295" i="1"/>
  <c r="W295" i="1" s="1"/>
  <c r="GL295" i="1"/>
  <c r="GO295" i="1"/>
  <c r="GP295" i="1"/>
  <c r="GV295" i="1"/>
  <c r="HC295" i="1"/>
  <c r="GX295" i="1" s="1"/>
  <c r="D296" i="1"/>
  <c r="W296" i="1"/>
  <c r="AC296" i="1"/>
  <c r="P296" i="1" s="1"/>
  <c r="AE296" i="1"/>
  <c r="AF296" i="1"/>
  <c r="AG296" i="1"/>
  <c r="AH296" i="1"/>
  <c r="AI296" i="1"/>
  <c r="AJ296" i="1"/>
  <c r="CX296" i="1" s="1"/>
  <c r="CU296" i="1"/>
  <c r="T296" i="1" s="1"/>
  <c r="CV296" i="1"/>
  <c r="U296" i="1" s="1"/>
  <c r="CW296" i="1"/>
  <c r="V296" i="1" s="1"/>
  <c r="GL296" i="1"/>
  <c r="GO296" i="1"/>
  <c r="GP296" i="1"/>
  <c r="GV296" i="1"/>
  <c r="GX296" i="1"/>
  <c r="HC296" i="1"/>
  <c r="D297" i="1"/>
  <c r="Q297" i="1"/>
  <c r="R297" i="1"/>
  <c r="T297" i="1"/>
  <c r="V297" i="1"/>
  <c r="W297" i="1"/>
  <c r="EB319" i="1" s="1"/>
  <c r="X297" i="1"/>
  <c r="AC297" i="1"/>
  <c r="AE297" i="1"/>
  <c r="AD297" i="1" s="1"/>
  <c r="AF297" i="1"/>
  <c r="S297" i="1" s="1"/>
  <c r="CY297" i="1" s="1"/>
  <c r="AG297" i="1"/>
  <c r="CU297" i="1" s="1"/>
  <c r="AH297" i="1"/>
  <c r="AI297" i="1"/>
  <c r="CW297" i="1" s="1"/>
  <c r="AJ297" i="1"/>
  <c r="CR297" i="1"/>
  <c r="CS297" i="1"/>
  <c r="CT297" i="1"/>
  <c r="CV297" i="1"/>
  <c r="U297" i="1" s="1"/>
  <c r="CX297" i="1"/>
  <c r="GK297" i="1"/>
  <c r="GL297" i="1"/>
  <c r="GO297" i="1"/>
  <c r="GP297" i="1"/>
  <c r="GV297" i="1"/>
  <c r="GX297" i="1"/>
  <c r="HC297" i="1"/>
  <c r="C298" i="1"/>
  <c r="D298" i="1"/>
  <c r="P298" i="1"/>
  <c r="U298" i="1"/>
  <c r="AC298" i="1"/>
  <c r="AE298" i="1"/>
  <c r="AF298" i="1"/>
  <c r="AG298" i="1"/>
  <c r="AH298" i="1"/>
  <c r="AI298" i="1"/>
  <c r="AJ298" i="1"/>
  <c r="CQ298" i="1"/>
  <c r="CU298" i="1"/>
  <c r="T298" i="1" s="1"/>
  <c r="CV298" i="1"/>
  <c r="CW298" i="1"/>
  <c r="V298" i="1" s="1"/>
  <c r="CX298" i="1"/>
  <c r="W298" i="1" s="1"/>
  <c r="GL298" i="1"/>
  <c r="GO298" i="1"/>
  <c r="GP298" i="1"/>
  <c r="GV298" i="1"/>
  <c r="GX298" i="1"/>
  <c r="HC298" i="1"/>
  <c r="C299" i="1"/>
  <c r="D299" i="1"/>
  <c r="AC299" i="1"/>
  <c r="AE299" i="1"/>
  <c r="AF299" i="1"/>
  <c r="AG299" i="1"/>
  <c r="CU299" i="1" s="1"/>
  <c r="T299" i="1" s="1"/>
  <c r="AH299" i="1"/>
  <c r="AI299" i="1"/>
  <c r="AJ299" i="1"/>
  <c r="CV299" i="1"/>
  <c r="U299" i="1" s="1"/>
  <c r="CW299" i="1"/>
  <c r="V299" i="1" s="1"/>
  <c r="CX299" i="1"/>
  <c r="W299" i="1" s="1"/>
  <c r="GL299" i="1"/>
  <c r="GO299" i="1"/>
  <c r="GP299" i="1"/>
  <c r="GV299" i="1"/>
  <c r="HC299" i="1"/>
  <c r="GX299" i="1" s="1"/>
  <c r="I300" i="1"/>
  <c r="P300" i="1" s="1"/>
  <c r="AC300" i="1"/>
  <c r="CQ300" i="1" s="1"/>
  <c r="AE300" i="1"/>
  <c r="AF300" i="1"/>
  <c r="AG300" i="1"/>
  <c r="AH300" i="1"/>
  <c r="CV300" i="1" s="1"/>
  <c r="U300" i="1" s="1"/>
  <c r="AI300" i="1"/>
  <c r="AJ300" i="1"/>
  <c r="CU300" i="1"/>
  <c r="CW300" i="1"/>
  <c r="V300" i="1" s="1"/>
  <c r="CX300" i="1"/>
  <c r="W300" i="1" s="1"/>
  <c r="GL300" i="1"/>
  <c r="GO300" i="1"/>
  <c r="GP300" i="1"/>
  <c r="GV300" i="1"/>
  <c r="HC300" i="1" s="1"/>
  <c r="GX300" i="1"/>
  <c r="I301" i="1"/>
  <c r="Q301" i="1" s="1"/>
  <c r="S301" i="1"/>
  <c r="CY301" i="1" s="1"/>
  <c r="X301" i="1" s="1"/>
  <c r="U301" i="1"/>
  <c r="AC301" i="1"/>
  <c r="AE301" i="1"/>
  <c r="AF301" i="1"/>
  <c r="AG301" i="1"/>
  <c r="CU301" i="1" s="1"/>
  <c r="T301" i="1" s="1"/>
  <c r="AH301" i="1"/>
  <c r="AI301" i="1"/>
  <c r="CW301" i="1" s="1"/>
  <c r="V301" i="1" s="1"/>
  <c r="AJ301" i="1"/>
  <c r="CX301" i="1" s="1"/>
  <c r="W301" i="1" s="1"/>
  <c r="CS301" i="1"/>
  <c r="CT301" i="1"/>
  <c r="CV301" i="1"/>
  <c r="CZ301" i="1"/>
  <c r="Y301" i="1" s="1"/>
  <c r="GL301" i="1"/>
  <c r="GO301" i="1"/>
  <c r="GP301" i="1"/>
  <c r="GV301" i="1"/>
  <c r="HC301" i="1" s="1"/>
  <c r="C302" i="1"/>
  <c r="D302" i="1"/>
  <c r="P302" i="1"/>
  <c r="Q302" i="1"/>
  <c r="R302" i="1"/>
  <c r="GK302" i="1" s="1"/>
  <c r="S302" i="1"/>
  <c r="CZ302" i="1" s="1"/>
  <c r="Y302" i="1" s="1"/>
  <c r="T302" i="1"/>
  <c r="U302" i="1"/>
  <c r="AC302" i="1"/>
  <c r="CQ302" i="1" s="1"/>
  <c r="AE302" i="1"/>
  <c r="AF302" i="1"/>
  <c r="CT302" i="1" s="1"/>
  <c r="AG302" i="1"/>
  <c r="CU302" i="1" s="1"/>
  <c r="AH302" i="1"/>
  <c r="CV302" i="1" s="1"/>
  <c r="AI302" i="1"/>
  <c r="CW302" i="1" s="1"/>
  <c r="V302" i="1" s="1"/>
  <c r="AJ302" i="1"/>
  <c r="CX302" i="1" s="1"/>
  <c r="W302" i="1" s="1"/>
  <c r="CP302" i="1"/>
  <c r="O302" i="1" s="1"/>
  <c r="CY302" i="1"/>
  <c r="X302" i="1" s="1"/>
  <c r="GL302" i="1"/>
  <c r="GO302" i="1"/>
  <c r="GP302" i="1"/>
  <c r="GV302" i="1"/>
  <c r="HC302" i="1" s="1"/>
  <c r="GX302" i="1" s="1"/>
  <c r="C303" i="1"/>
  <c r="D303" i="1"/>
  <c r="P303" i="1"/>
  <c r="S303" i="1"/>
  <c r="T303" i="1"/>
  <c r="U303" i="1"/>
  <c r="W303" i="1"/>
  <c r="AC303" i="1"/>
  <c r="CQ303" i="1" s="1"/>
  <c r="AE303" i="1"/>
  <c r="R303" i="1" s="1"/>
  <c r="GK303" i="1" s="1"/>
  <c r="AF303" i="1"/>
  <c r="AG303" i="1"/>
  <c r="CU303" i="1" s="1"/>
  <c r="AH303" i="1"/>
  <c r="CV303" i="1" s="1"/>
  <c r="AI303" i="1"/>
  <c r="CW303" i="1" s="1"/>
  <c r="V303" i="1" s="1"/>
  <c r="EA319" i="1" s="1"/>
  <c r="AJ303" i="1"/>
  <c r="CR303" i="1"/>
  <c r="CS303" i="1"/>
  <c r="CT303" i="1"/>
  <c r="CX303" i="1"/>
  <c r="GL303" i="1"/>
  <c r="GO303" i="1"/>
  <c r="GP303" i="1"/>
  <c r="GV303" i="1"/>
  <c r="HC303" i="1" s="1"/>
  <c r="GX303" i="1" s="1"/>
  <c r="I304" i="1"/>
  <c r="Q304" i="1"/>
  <c r="R304" i="1"/>
  <c r="GK304" i="1" s="1"/>
  <c r="W304" i="1"/>
  <c r="X304" i="1"/>
  <c r="AC304" i="1"/>
  <c r="P304" i="1" s="1"/>
  <c r="AD304" i="1"/>
  <c r="AE304" i="1"/>
  <c r="CR304" i="1" s="1"/>
  <c r="AF304" i="1"/>
  <c r="S304" i="1" s="1"/>
  <c r="CZ304" i="1" s="1"/>
  <c r="Y304" i="1" s="1"/>
  <c r="AG304" i="1"/>
  <c r="AH304" i="1"/>
  <c r="AI304" i="1"/>
  <c r="CW304" i="1" s="1"/>
  <c r="V304" i="1" s="1"/>
  <c r="AJ304" i="1"/>
  <c r="CP304" i="1"/>
  <c r="O304" i="1" s="1"/>
  <c r="GM304" i="1" s="1"/>
  <c r="GN304" i="1" s="1"/>
  <c r="CS304" i="1"/>
  <c r="CT304" i="1"/>
  <c r="CU304" i="1"/>
  <c r="T304" i="1" s="1"/>
  <c r="CV304" i="1"/>
  <c r="U304" i="1" s="1"/>
  <c r="CX304" i="1"/>
  <c r="CY304" i="1"/>
  <c r="GL304" i="1"/>
  <c r="GO304" i="1"/>
  <c r="GP304" i="1"/>
  <c r="GV304" i="1"/>
  <c r="HC304" i="1" s="1"/>
  <c r="GX304" i="1" s="1"/>
  <c r="I305" i="1"/>
  <c r="R305" i="1"/>
  <c r="U305" i="1"/>
  <c r="V305" i="1"/>
  <c r="AC305" i="1"/>
  <c r="AD305" i="1"/>
  <c r="AE305" i="1"/>
  <c r="AF305" i="1"/>
  <c r="AG305" i="1"/>
  <c r="AH305" i="1"/>
  <c r="AI305" i="1"/>
  <c r="CW305" i="1" s="1"/>
  <c r="AJ305" i="1"/>
  <c r="CX305" i="1" s="1"/>
  <c r="W305" i="1" s="1"/>
  <c r="CR305" i="1"/>
  <c r="CS305" i="1"/>
  <c r="CT305" i="1"/>
  <c r="CU305" i="1"/>
  <c r="T305" i="1" s="1"/>
  <c r="CV305" i="1"/>
  <c r="GK305" i="1"/>
  <c r="GL305" i="1"/>
  <c r="GO305" i="1"/>
  <c r="GP305" i="1"/>
  <c r="GV305" i="1"/>
  <c r="HC305" i="1"/>
  <c r="GX305" i="1" s="1"/>
  <c r="C306" i="1"/>
  <c r="D306" i="1"/>
  <c r="P306" i="1"/>
  <c r="Q306" i="1"/>
  <c r="R306" i="1"/>
  <c r="GK306" i="1" s="1"/>
  <c r="AC306" i="1"/>
  <c r="AE306" i="1"/>
  <c r="CS306" i="1" s="1"/>
  <c r="AF306" i="1"/>
  <c r="CT306" i="1" s="1"/>
  <c r="AG306" i="1"/>
  <c r="CU306" i="1" s="1"/>
  <c r="T306" i="1" s="1"/>
  <c r="AH306" i="1"/>
  <c r="CV306" i="1" s="1"/>
  <c r="U306" i="1" s="1"/>
  <c r="AI306" i="1"/>
  <c r="CW306" i="1" s="1"/>
  <c r="V306" i="1" s="1"/>
  <c r="AJ306" i="1"/>
  <c r="CX306" i="1" s="1"/>
  <c r="W306" i="1" s="1"/>
  <c r="CQ306" i="1"/>
  <c r="CR306" i="1"/>
  <c r="GL306" i="1"/>
  <c r="GO306" i="1"/>
  <c r="GP306" i="1"/>
  <c r="GV306" i="1"/>
  <c r="HC306" i="1" s="1"/>
  <c r="GX306" i="1" s="1"/>
  <c r="C307" i="1"/>
  <c r="D307" i="1"/>
  <c r="P307" i="1"/>
  <c r="U307" i="1"/>
  <c r="W307" i="1"/>
  <c r="AC307" i="1"/>
  <c r="AE307" i="1"/>
  <c r="AF307" i="1"/>
  <c r="AG307" i="1"/>
  <c r="AH307" i="1"/>
  <c r="AI307" i="1"/>
  <c r="AJ307" i="1"/>
  <c r="CQ307" i="1"/>
  <c r="CU307" i="1"/>
  <c r="T307" i="1" s="1"/>
  <c r="CV307" i="1"/>
  <c r="CW307" i="1"/>
  <c r="V307" i="1" s="1"/>
  <c r="CX307" i="1"/>
  <c r="GL307" i="1"/>
  <c r="GO307" i="1"/>
  <c r="GP307" i="1"/>
  <c r="GV307" i="1"/>
  <c r="HC307" i="1"/>
  <c r="GX307" i="1" s="1"/>
  <c r="I308" i="1"/>
  <c r="P308" i="1" s="1"/>
  <c r="AC308" i="1"/>
  <c r="AD308" i="1"/>
  <c r="AE308" i="1"/>
  <c r="CR308" i="1" s="1"/>
  <c r="AF308" i="1"/>
  <c r="AG308" i="1"/>
  <c r="AH308" i="1"/>
  <c r="CV308" i="1" s="1"/>
  <c r="U308" i="1" s="1"/>
  <c r="AI308" i="1"/>
  <c r="CW308" i="1" s="1"/>
  <c r="V308" i="1" s="1"/>
  <c r="AJ308" i="1"/>
  <c r="CX308" i="1" s="1"/>
  <c r="W308" i="1" s="1"/>
  <c r="CQ308" i="1"/>
  <c r="CS308" i="1"/>
  <c r="CU308" i="1"/>
  <c r="T308" i="1" s="1"/>
  <c r="GL308" i="1"/>
  <c r="GO308" i="1"/>
  <c r="GP308" i="1"/>
  <c r="GV308" i="1"/>
  <c r="HC308" i="1"/>
  <c r="GX308" i="1" s="1"/>
  <c r="I309" i="1"/>
  <c r="Q309" i="1"/>
  <c r="R309" i="1"/>
  <c r="GK309" i="1" s="1"/>
  <c r="AC309" i="1"/>
  <c r="AE309" i="1"/>
  <c r="AD309" i="1" s="1"/>
  <c r="AF309" i="1"/>
  <c r="AG309" i="1"/>
  <c r="CU309" i="1" s="1"/>
  <c r="T309" i="1" s="1"/>
  <c r="AH309" i="1"/>
  <c r="CV309" i="1" s="1"/>
  <c r="U309" i="1" s="1"/>
  <c r="AI309" i="1"/>
  <c r="CW309" i="1" s="1"/>
  <c r="V309" i="1" s="1"/>
  <c r="AJ309" i="1"/>
  <c r="CS309" i="1"/>
  <c r="CX309" i="1"/>
  <c r="W309" i="1" s="1"/>
  <c r="GL309" i="1"/>
  <c r="GO309" i="1"/>
  <c r="GP309" i="1"/>
  <c r="GV309" i="1"/>
  <c r="HC309" i="1"/>
  <c r="GX309" i="1" s="1"/>
  <c r="C310" i="1"/>
  <c r="D310" i="1"/>
  <c r="Q310" i="1"/>
  <c r="R310" i="1"/>
  <c r="S310" i="1"/>
  <c r="CY310" i="1" s="1"/>
  <c r="X310" i="1" s="1"/>
  <c r="T310" i="1"/>
  <c r="AC310" i="1"/>
  <c r="AE310" i="1"/>
  <c r="AF310" i="1"/>
  <c r="CT310" i="1" s="1"/>
  <c r="AG310" i="1"/>
  <c r="CU310" i="1" s="1"/>
  <c r="AH310" i="1"/>
  <c r="AI310" i="1"/>
  <c r="AJ310" i="1"/>
  <c r="CX310" i="1" s="1"/>
  <c r="W310" i="1" s="1"/>
  <c r="CV310" i="1"/>
  <c r="U310" i="1" s="1"/>
  <c r="CW310" i="1"/>
  <c r="V310" i="1" s="1"/>
  <c r="GK310" i="1"/>
  <c r="GL310" i="1"/>
  <c r="GO310" i="1"/>
  <c r="GP310" i="1"/>
  <c r="GV310" i="1"/>
  <c r="HC310" i="1"/>
  <c r="GX310" i="1" s="1"/>
  <c r="C311" i="1"/>
  <c r="D311" i="1"/>
  <c r="P311" i="1"/>
  <c r="Q311" i="1"/>
  <c r="R311" i="1"/>
  <c r="GK311" i="1" s="1"/>
  <c r="AB311" i="1"/>
  <c r="AC311" i="1"/>
  <c r="AD311" i="1"/>
  <c r="AE311" i="1"/>
  <c r="AF311" i="1"/>
  <c r="AG311" i="1"/>
  <c r="CU311" i="1" s="1"/>
  <c r="T311" i="1" s="1"/>
  <c r="AH311" i="1"/>
  <c r="CV311" i="1" s="1"/>
  <c r="U311" i="1" s="1"/>
  <c r="AI311" i="1"/>
  <c r="AJ311" i="1"/>
  <c r="CQ311" i="1"/>
  <c r="CR311" i="1"/>
  <c r="CS311" i="1"/>
  <c r="CW311" i="1"/>
  <c r="V311" i="1" s="1"/>
  <c r="CX311" i="1"/>
  <c r="W311" i="1" s="1"/>
  <c r="GL311" i="1"/>
  <c r="GO311" i="1"/>
  <c r="GP311" i="1"/>
  <c r="GV311" i="1"/>
  <c r="HC311" i="1"/>
  <c r="GX311" i="1" s="1"/>
  <c r="I312" i="1"/>
  <c r="AC312" i="1"/>
  <c r="AD312" i="1"/>
  <c r="AE312" i="1"/>
  <c r="AF312" i="1"/>
  <c r="AG312" i="1"/>
  <c r="CU312" i="1" s="1"/>
  <c r="T312" i="1" s="1"/>
  <c r="AH312" i="1"/>
  <c r="CV312" i="1" s="1"/>
  <c r="AI312" i="1"/>
  <c r="AJ312" i="1"/>
  <c r="CX312" i="1" s="1"/>
  <c r="CQ312" i="1"/>
  <c r="CR312" i="1"/>
  <c r="CS312" i="1"/>
  <c r="CT312" i="1"/>
  <c r="CW312" i="1"/>
  <c r="GL312" i="1"/>
  <c r="GO312" i="1"/>
  <c r="GP312" i="1"/>
  <c r="GV312" i="1"/>
  <c r="HC312" i="1"/>
  <c r="I313" i="1"/>
  <c r="AC313" i="1"/>
  <c r="AE313" i="1"/>
  <c r="AF313" i="1"/>
  <c r="AG313" i="1"/>
  <c r="CU313" i="1" s="1"/>
  <c r="T313" i="1" s="1"/>
  <c r="AH313" i="1"/>
  <c r="CV313" i="1" s="1"/>
  <c r="U313" i="1" s="1"/>
  <c r="AI313" i="1"/>
  <c r="AJ313" i="1"/>
  <c r="CW313" i="1"/>
  <c r="V313" i="1" s="1"/>
  <c r="CX313" i="1"/>
  <c r="W313" i="1" s="1"/>
  <c r="GL313" i="1"/>
  <c r="GO313" i="1"/>
  <c r="GP313" i="1"/>
  <c r="GV313" i="1"/>
  <c r="HC313" i="1" s="1"/>
  <c r="GX313" i="1" s="1"/>
  <c r="C314" i="1"/>
  <c r="D314" i="1"/>
  <c r="P314" i="1"/>
  <c r="S314" i="1"/>
  <c r="X314" i="1"/>
  <c r="AC314" i="1"/>
  <c r="AE314" i="1"/>
  <c r="AD314" i="1" s="1"/>
  <c r="AB314" i="1" s="1"/>
  <c r="AF314" i="1"/>
  <c r="AG314" i="1"/>
  <c r="CU314" i="1" s="1"/>
  <c r="T314" i="1" s="1"/>
  <c r="AH314" i="1"/>
  <c r="AI314" i="1"/>
  <c r="CW314" i="1" s="1"/>
  <c r="V314" i="1" s="1"/>
  <c r="AJ314" i="1"/>
  <c r="CQ314" i="1"/>
  <c r="CT314" i="1"/>
  <c r="CV314" i="1"/>
  <c r="U314" i="1" s="1"/>
  <c r="CX314" i="1"/>
  <c r="W314" i="1" s="1"/>
  <c r="CY314" i="1"/>
  <c r="CZ314" i="1"/>
  <c r="Y314" i="1" s="1"/>
  <c r="GL314" i="1"/>
  <c r="GO314" i="1"/>
  <c r="GP314" i="1"/>
  <c r="GV314" i="1"/>
  <c r="HC314" i="1" s="1"/>
  <c r="GX314" i="1" s="1"/>
  <c r="C315" i="1"/>
  <c r="D315" i="1"/>
  <c r="P315" i="1"/>
  <c r="Q315" i="1"/>
  <c r="W315" i="1"/>
  <c r="AC315" i="1"/>
  <c r="AD315" i="1"/>
  <c r="AE315" i="1"/>
  <c r="R315" i="1" s="1"/>
  <c r="GK315" i="1" s="1"/>
  <c r="AF315" i="1"/>
  <c r="AG315" i="1"/>
  <c r="AH315" i="1"/>
  <c r="AI315" i="1"/>
  <c r="AJ315" i="1"/>
  <c r="CR315" i="1"/>
  <c r="CS315" i="1"/>
  <c r="CU315" i="1"/>
  <c r="T315" i="1" s="1"/>
  <c r="CV315" i="1"/>
  <c r="U315" i="1" s="1"/>
  <c r="DZ319" i="1" s="1"/>
  <c r="CW315" i="1"/>
  <c r="V315" i="1" s="1"/>
  <c r="CX315" i="1"/>
  <c r="GL315" i="1"/>
  <c r="GO315" i="1"/>
  <c r="GP315" i="1"/>
  <c r="GV315" i="1"/>
  <c r="HC315" i="1"/>
  <c r="GX315" i="1" s="1"/>
  <c r="D316" i="1"/>
  <c r="P316" i="1"/>
  <c r="W316" i="1"/>
  <c r="AC316" i="1"/>
  <c r="CQ316" i="1" s="1"/>
  <c r="AD316" i="1"/>
  <c r="AE316" i="1"/>
  <c r="AF316" i="1"/>
  <c r="AG316" i="1"/>
  <c r="AH316" i="1"/>
  <c r="AI316" i="1"/>
  <c r="AJ316" i="1"/>
  <c r="CX316" i="1" s="1"/>
  <c r="CU316" i="1"/>
  <c r="T316" i="1" s="1"/>
  <c r="CV316" i="1"/>
  <c r="U316" i="1" s="1"/>
  <c r="CW316" i="1"/>
  <c r="V316" i="1" s="1"/>
  <c r="GL316" i="1"/>
  <c r="GO316" i="1"/>
  <c r="GP316" i="1"/>
  <c r="GV316" i="1"/>
  <c r="HC316" i="1" s="1"/>
  <c r="GX316" i="1" s="1"/>
  <c r="D317" i="1"/>
  <c r="Q317" i="1"/>
  <c r="R317" i="1"/>
  <c r="V317" i="1"/>
  <c r="AC317" i="1"/>
  <c r="AD317" i="1"/>
  <c r="AE317" i="1"/>
  <c r="CS317" i="1" s="1"/>
  <c r="AF317" i="1"/>
  <c r="S317" i="1" s="1"/>
  <c r="AG317" i="1"/>
  <c r="AH317" i="1"/>
  <c r="AI317" i="1"/>
  <c r="CW317" i="1" s="1"/>
  <c r="AJ317" i="1"/>
  <c r="CR317" i="1"/>
  <c r="CT317" i="1"/>
  <c r="CU317" i="1"/>
  <c r="T317" i="1" s="1"/>
  <c r="CV317" i="1"/>
  <c r="U317" i="1" s="1"/>
  <c r="CX317" i="1"/>
  <c r="W317" i="1" s="1"/>
  <c r="GK317" i="1"/>
  <c r="GL317" i="1"/>
  <c r="GO317" i="1"/>
  <c r="GP317" i="1"/>
  <c r="GV317" i="1"/>
  <c r="HC317" i="1" s="1"/>
  <c r="GX317" i="1"/>
  <c r="B319" i="1"/>
  <c r="C319" i="1"/>
  <c r="C290" i="1" s="1"/>
  <c r="D319" i="1"/>
  <c r="D290" i="1" s="1"/>
  <c r="F319" i="1"/>
  <c r="G319" i="1"/>
  <c r="AO319" i="1"/>
  <c r="AO290" i="1" s="1"/>
  <c r="AP319" i="1"/>
  <c r="BB319" i="1"/>
  <c r="BC319" i="1"/>
  <c r="BX319" i="1"/>
  <c r="BY319" i="1"/>
  <c r="CK319" i="1"/>
  <c r="CL319" i="1"/>
  <c r="CL290" i="1" s="1"/>
  <c r="CM319" i="1"/>
  <c r="BD319" i="1" s="1"/>
  <c r="EG319" i="1"/>
  <c r="EG290" i="1" s="1"/>
  <c r="ET319" i="1"/>
  <c r="ET290" i="1" s="1"/>
  <c r="FP319" i="1"/>
  <c r="FQ319" i="1"/>
  <c r="GC319" i="1"/>
  <c r="GD319" i="1"/>
  <c r="GE319" i="1"/>
  <c r="F323" i="1"/>
  <c r="P323" i="1"/>
  <c r="D349" i="1"/>
  <c r="D351" i="1"/>
  <c r="E351" i="1"/>
  <c r="F351" i="1"/>
  <c r="G351" i="1"/>
  <c r="Z351" i="1"/>
  <c r="AA351" i="1"/>
  <c r="AM351" i="1"/>
  <c r="AN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BX351" i="1"/>
  <c r="CK351" i="1"/>
  <c r="CN351" i="1"/>
  <c r="CO351" i="1"/>
  <c r="CP351" i="1"/>
  <c r="CQ351" i="1"/>
  <c r="CR351" i="1"/>
  <c r="CS351" i="1"/>
  <c r="CT351" i="1"/>
  <c r="CU351" i="1"/>
  <c r="CV351" i="1"/>
  <c r="CW351" i="1"/>
  <c r="CX351" i="1"/>
  <c r="CY351" i="1"/>
  <c r="CZ351" i="1"/>
  <c r="DA351" i="1"/>
  <c r="DB351" i="1"/>
  <c r="DC351" i="1"/>
  <c r="DD351" i="1"/>
  <c r="DE351" i="1"/>
  <c r="DF351" i="1"/>
  <c r="DR351" i="1"/>
  <c r="DS351" i="1"/>
  <c r="EE351" i="1"/>
  <c r="EF351" i="1"/>
  <c r="EV351" i="1"/>
  <c r="EW351" i="1"/>
  <c r="EX351" i="1"/>
  <c r="EY351" i="1"/>
  <c r="EZ351" i="1"/>
  <c r="FA351" i="1"/>
  <c r="FB351" i="1"/>
  <c r="FC351" i="1"/>
  <c r="FD351" i="1"/>
  <c r="FE351" i="1"/>
  <c r="FF351" i="1"/>
  <c r="FG351" i="1"/>
  <c r="FH351" i="1"/>
  <c r="FI351" i="1"/>
  <c r="FJ351" i="1"/>
  <c r="FK351" i="1"/>
  <c r="FL351" i="1"/>
  <c r="FM351" i="1"/>
  <c r="FN351" i="1"/>
  <c r="FO351" i="1"/>
  <c r="GE351" i="1"/>
  <c r="GF351" i="1"/>
  <c r="GG351" i="1"/>
  <c r="GH351" i="1"/>
  <c r="GI351" i="1"/>
  <c r="GJ351" i="1"/>
  <c r="GK351" i="1"/>
  <c r="GL351" i="1"/>
  <c r="GM351" i="1"/>
  <c r="GN351" i="1"/>
  <c r="GO351" i="1"/>
  <c r="GP351" i="1"/>
  <c r="GQ351" i="1"/>
  <c r="GR351" i="1"/>
  <c r="GS351" i="1"/>
  <c r="GT351" i="1"/>
  <c r="GU351" i="1"/>
  <c r="GV351" i="1"/>
  <c r="GW351" i="1"/>
  <c r="GX351" i="1"/>
  <c r="D353" i="1"/>
  <c r="P353" i="1"/>
  <c r="Q353" i="1"/>
  <c r="R353" i="1"/>
  <c r="U353" i="1"/>
  <c r="AC353" i="1"/>
  <c r="CQ353" i="1" s="1"/>
  <c r="AE353" i="1"/>
  <c r="AD353" i="1" s="1"/>
  <c r="AF353" i="1"/>
  <c r="CT353" i="1" s="1"/>
  <c r="AG353" i="1"/>
  <c r="CU353" i="1" s="1"/>
  <c r="T353" i="1" s="1"/>
  <c r="AH353" i="1"/>
  <c r="AI353" i="1"/>
  <c r="CW353" i="1" s="1"/>
  <c r="V353" i="1" s="1"/>
  <c r="AJ353" i="1"/>
  <c r="CR353" i="1"/>
  <c r="CS353" i="1"/>
  <c r="CV353" i="1"/>
  <c r="CX353" i="1"/>
  <c r="W353" i="1" s="1"/>
  <c r="GK353" i="1"/>
  <c r="GL353" i="1"/>
  <c r="GO353" i="1"/>
  <c r="GP353" i="1"/>
  <c r="GV353" i="1"/>
  <c r="HC353" i="1" s="1"/>
  <c r="GX353" i="1" s="1"/>
  <c r="D354" i="1"/>
  <c r="P354" i="1"/>
  <c r="AC354" i="1"/>
  <c r="AE354" i="1"/>
  <c r="AD354" i="1" s="1"/>
  <c r="AB354" i="1" s="1"/>
  <c r="AF354" i="1"/>
  <c r="AG354" i="1"/>
  <c r="AH354" i="1"/>
  <c r="AI354" i="1"/>
  <c r="AJ354" i="1"/>
  <c r="CQ354" i="1"/>
  <c r="CU354" i="1"/>
  <c r="T354" i="1" s="1"/>
  <c r="CV354" i="1"/>
  <c r="U354" i="1" s="1"/>
  <c r="CW354" i="1"/>
  <c r="V354" i="1" s="1"/>
  <c r="CX354" i="1"/>
  <c r="W354" i="1" s="1"/>
  <c r="GL354" i="1"/>
  <c r="FR380" i="1" s="1"/>
  <c r="GO354" i="1"/>
  <c r="GP354" i="1"/>
  <c r="GV354" i="1"/>
  <c r="HC354" i="1"/>
  <c r="GX354" i="1" s="1"/>
  <c r="D355" i="1"/>
  <c r="Q355" i="1"/>
  <c r="R355" i="1"/>
  <c r="GK355" i="1" s="1"/>
  <c r="S355" i="1"/>
  <c r="CZ355" i="1" s="1"/>
  <c r="Y355" i="1" s="1"/>
  <c r="T355" i="1"/>
  <c r="W355" i="1"/>
  <c r="AB355" i="1"/>
  <c r="AC355" i="1"/>
  <c r="P355" i="1" s="1"/>
  <c r="AD355" i="1"/>
  <c r="AE355" i="1"/>
  <c r="AF355" i="1"/>
  <c r="AG355" i="1"/>
  <c r="CU355" i="1" s="1"/>
  <c r="AH355" i="1"/>
  <c r="CV355" i="1" s="1"/>
  <c r="U355" i="1" s="1"/>
  <c r="AI355" i="1"/>
  <c r="CW355" i="1" s="1"/>
  <c r="V355" i="1" s="1"/>
  <c r="AJ355" i="1"/>
  <c r="CP355" i="1"/>
  <c r="O355" i="1" s="1"/>
  <c r="CQ355" i="1"/>
  <c r="CR355" i="1"/>
  <c r="CS355" i="1"/>
  <c r="CT355" i="1"/>
  <c r="CX355" i="1"/>
  <c r="CY355" i="1"/>
  <c r="X355" i="1" s="1"/>
  <c r="GL355" i="1"/>
  <c r="GO355" i="1"/>
  <c r="GP355" i="1"/>
  <c r="GV355" i="1"/>
  <c r="HC355" i="1" s="1"/>
  <c r="GX355" i="1" s="1"/>
  <c r="D356" i="1"/>
  <c r="P356" i="1"/>
  <c r="R356" i="1"/>
  <c r="GK356" i="1" s="1"/>
  <c r="T356" i="1"/>
  <c r="DY380" i="1" s="1"/>
  <c r="U356" i="1"/>
  <c r="V356" i="1"/>
  <c r="AC356" i="1"/>
  <c r="AD356" i="1"/>
  <c r="AE356" i="1"/>
  <c r="Q356" i="1" s="1"/>
  <c r="AF356" i="1"/>
  <c r="AG356" i="1"/>
  <c r="AH356" i="1"/>
  <c r="CV356" i="1" s="1"/>
  <c r="AI356" i="1"/>
  <c r="AJ356" i="1"/>
  <c r="CX356" i="1" s="1"/>
  <c r="W356" i="1" s="1"/>
  <c r="CQ356" i="1"/>
  <c r="CR356" i="1"/>
  <c r="CS356" i="1"/>
  <c r="CU356" i="1"/>
  <c r="CW356" i="1"/>
  <c r="GL356" i="1"/>
  <c r="GO356" i="1"/>
  <c r="GP356" i="1"/>
  <c r="GV356" i="1"/>
  <c r="HC356" i="1"/>
  <c r="GX356" i="1" s="1"/>
  <c r="D357" i="1"/>
  <c r="Q357" i="1"/>
  <c r="R357" i="1"/>
  <c r="AC357" i="1"/>
  <c r="AD357" i="1"/>
  <c r="AE357" i="1"/>
  <c r="CR357" i="1" s="1"/>
  <c r="AF357" i="1"/>
  <c r="AG357" i="1"/>
  <c r="CU357" i="1" s="1"/>
  <c r="T357" i="1" s="1"/>
  <c r="AH357" i="1"/>
  <c r="CV357" i="1" s="1"/>
  <c r="U357" i="1" s="1"/>
  <c r="AI357" i="1"/>
  <c r="CW357" i="1" s="1"/>
  <c r="V357" i="1" s="1"/>
  <c r="AJ357" i="1"/>
  <c r="CX357" i="1"/>
  <c r="W357" i="1" s="1"/>
  <c r="GK357" i="1"/>
  <c r="GL357" i="1"/>
  <c r="GO357" i="1"/>
  <c r="GP357" i="1"/>
  <c r="GV357" i="1"/>
  <c r="HC357" i="1" s="1"/>
  <c r="GX357" i="1" s="1"/>
  <c r="D358" i="1"/>
  <c r="P358" i="1"/>
  <c r="Q358" i="1"/>
  <c r="R358" i="1"/>
  <c r="GK358" i="1" s="1"/>
  <c r="T358" i="1"/>
  <c r="W358" i="1"/>
  <c r="AB358" i="1"/>
  <c r="AC358" i="1"/>
  <c r="AD358" i="1"/>
  <c r="AE358" i="1"/>
  <c r="AF358" i="1"/>
  <c r="AG358" i="1"/>
  <c r="AH358" i="1"/>
  <c r="CV358" i="1" s="1"/>
  <c r="U358" i="1" s="1"/>
  <c r="DZ380" i="1" s="1"/>
  <c r="AI358" i="1"/>
  <c r="AJ358" i="1"/>
  <c r="CX358" i="1" s="1"/>
  <c r="CQ358" i="1"/>
  <c r="CR358" i="1"/>
  <c r="CS358" i="1"/>
  <c r="CU358" i="1"/>
  <c r="CW358" i="1"/>
  <c r="V358" i="1" s="1"/>
  <c r="GL358" i="1"/>
  <c r="GO358" i="1"/>
  <c r="GP358" i="1"/>
  <c r="GV358" i="1"/>
  <c r="HC358" i="1"/>
  <c r="GX358" i="1" s="1"/>
  <c r="D359" i="1"/>
  <c r="V359" i="1"/>
  <c r="AC359" i="1"/>
  <c r="AE359" i="1"/>
  <c r="AF359" i="1"/>
  <c r="S359" i="1" s="1"/>
  <c r="AG359" i="1"/>
  <c r="AH359" i="1"/>
  <c r="AI359" i="1"/>
  <c r="AJ359" i="1"/>
  <c r="CX359" i="1" s="1"/>
  <c r="W359" i="1" s="1"/>
  <c r="CR359" i="1"/>
  <c r="CT359" i="1"/>
  <c r="CU359" i="1"/>
  <c r="T359" i="1" s="1"/>
  <c r="CV359" i="1"/>
  <c r="U359" i="1" s="1"/>
  <c r="CW359" i="1"/>
  <c r="GL359" i="1"/>
  <c r="GO359" i="1"/>
  <c r="GP359" i="1"/>
  <c r="GV359" i="1"/>
  <c r="HC359" i="1"/>
  <c r="GX359" i="1" s="1"/>
  <c r="D360" i="1"/>
  <c r="Q360" i="1"/>
  <c r="R360" i="1"/>
  <c r="GK360" i="1" s="1"/>
  <c r="S360" i="1"/>
  <c r="CZ360" i="1" s="1"/>
  <c r="Y360" i="1" s="1"/>
  <c r="V360" i="1"/>
  <c r="AC360" i="1"/>
  <c r="P360" i="1" s="1"/>
  <c r="AE360" i="1"/>
  <c r="AD360" i="1" s="1"/>
  <c r="AB360" i="1" s="1"/>
  <c r="AF360" i="1"/>
  <c r="CT360" i="1" s="1"/>
  <c r="AG360" i="1"/>
  <c r="CU360" i="1" s="1"/>
  <c r="T360" i="1" s="1"/>
  <c r="AH360" i="1"/>
  <c r="CV360" i="1" s="1"/>
  <c r="U360" i="1" s="1"/>
  <c r="AI360" i="1"/>
  <c r="AJ360" i="1"/>
  <c r="CX360" i="1" s="1"/>
  <c r="W360" i="1" s="1"/>
  <c r="CP360" i="1"/>
  <c r="O360" i="1" s="1"/>
  <c r="CQ360" i="1"/>
  <c r="CR360" i="1"/>
  <c r="CS360" i="1"/>
  <c r="CW360" i="1"/>
  <c r="GL360" i="1"/>
  <c r="GO360" i="1"/>
  <c r="GP360" i="1"/>
  <c r="GV360" i="1"/>
  <c r="HC360" i="1" s="1"/>
  <c r="GX360" i="1" s="1"/>
  <c r="C361" i="1"/>
  <c r="D361" i="1"/>
  <c r="P361" i="1"/>
  <c r="Q361" i="1"/>
  <c r="R361" i="1"/>
  <c r="GK361" i="1" s="1"/>
  <c r="S361" i="1"/>
  <c r="CY361" i="1" s="1"/>
  <c r="X361" i="1" s="1"/>
  <c r="U361" i="1"/>
  <c r="V361" i="1"/>
  <c r="AC361" i="1"/>
  <c r="AD361" i="1"/>
  <c r="AB361" i="1" s="1"/>
  <c r="AE361" i="1"/>
  <c r="CR361" i="1" s="1"/>
  <c r="AF361" i="1"/>
  <c r="CT361" i="1" s="1"/>
  <c r="AG361" i="1"/>
  <c r="AH361" i="1"/>
  <c r="AI361" i="1"/>
  <c r="AJ361" i="1"/>
  <c r="CQ361" i="1"/>
  <c r="CS361" i="1"/>
  <c r="CU361" i="1"/>
  <c r="T361" i="1" s="1"/>
  <c r="CV361" i="1"/>
  <c r="CW361" i="1"/>
  <c r="CX361" i="1"/>
  <c r="W361" i="1" s="1"/>
  <c r="GL361" i="1"/>
  <c r="GO361" i="1"/>
  <c r="GP361" i="1"/>
  <c r="GV361" i="1"/>
  <c r="HC361" i="1"/>
  <c r="GX361" i="1" s="1"/>
  <c r="C362" i="1"/>
  <c r="D362" i="1"/>
  <c r="W362" i="1"/>
  <c r="AC362" i="1"/>
  <c r="P362" i="1" s="1"/>
  <c r="AD362" i="1"/>
  <c r="AE362" i="1"/>
  <c r="AF362" i="1"/>
  <c r="S362" i="1" s="1"/>
  <c r="AG362" i="1"/>
  <c r="AH362" i="1"/>
  <c r="AI362" i="1"/>
  <c r="AJ362" i="1"/>
  <c r="CX362" i="1" s="1"/>
  <c r="CQ362" i="1"/>
  <c r="CS362" i="1"/>
  <c r="CT362" i="1"/>
  <c r="CU362" i="1"/>
  <c r="T362" i="1" s="1"/>
  <c r="CV362" i="1"/>
  <c r="U362" i="1" s="1"/>
  <c r="CW362" i="1"/>
  <c r="V362" i="1" s="1"/>
  <c r="GL362" i="1"/>
  <c r="GO362" i="1"/>
  <c r="GP362" i="1"/>
  <c r="GV362" i="1"/>
  <c r="HC362" i="1"/>
  <c r="GX362" i="1" s="1"/>
  <c r="I363" i="1"/>
  <c r="S363" i="1"/>
  <c r="T363" i="1"/>
  <c r="AC363" i="1"/>
  <c r="AE363" i="1"/>
  <c r="AD363" i="1" s="1"/>
  <c r="AF363" i="1"/>
  <c r="AG363" i="1"/>
  <c r="CU363" i="1" s="1"/>
  <c r="AH363" i="1"/>
  <c r="AI363" i="1"/>
  <c r="CW363" i="1" s="1"/>
  <c r="AJ363" i="1"/>
  <c r="CX363" i="1" s="1"/>
  <c r="CR363" i="1"/>
  <c r="CS363" i="1"/>
  <c r="CT363" i="1"/>
  <c r="CV363" i="1"/>
  <c r="U363" i="1" s="1"/>
  <c r="GL363" i="1"/>
  <c r="GO363" i="1"/>
  <c r="GP363" i="1"/>
  <c r="GV363" i="1"/>
  <c r="HC363" i="1"/>
  <c r="I364" i="1"/>
  <c r="P364" i="1"/>
  <c r="CP364" i="1" s="1"/>
  <c r="O364" i="1" s="1"/>
  <c r="Q364" i="1"/>
  <c r="R364" i="1"/>
  <c r="GK364" i="1" s="1"/>
  <c r="S364" i="1"/>
  <c r="U364" i="1"/>
  <c r="AC364" i="1"/>
  <c r="AE364" i="1"/>
  <c r="AD364" i="1" s="1"/>
  <c r="AF364" i="1"/>
  <c r="CT364" i="1" s="1"/>
  <c r="AG364" i="1"/>
  <c r="CU364" i="1" s="1"/>
  <c r="T364" i="1" s="1"/>
  <c r="AH364" i="1"/>
  <c r="CV364" i="1" s="1"/>
  <c r="AI364" i="1"/>
  <c r="CW364" i="1" s="1"/>
  <c r="V364" i="1" s="1"/>
  <c r="AJ364" i="1"/>
  <c r="CX364" i="1" s="1"/>
  <c r="W364" i="1" s="1"/>
  <c r="CQ364" i="1"/>
  <c r="CR364" i="1"/>
  <c r="CS364" i="1"/>
  <c r="GL364" i="1"/>
  <c r="GO364" i="1"/>
  <c r="GP364" i="1"/>
  <c r="GV364" i="1"/>
  <c r="HC364" i="1"/>
  <c r="GX364" i="1" s="1"/>
  <c r="C365" i="1"/>
  <c r="D365" i="1"/>
  <c r="R365" i="1"/>
  <c r="GK365" i="1" s="1"/>
  <c r="S365" i="1"/>
  <c r="CZ365" i="1" s="1"/>
  <c r="Y365" i="1" s="1"/>
  <c r="U365" i="1"/>
  <c r="AC365" i="1"/>
  <c r="AD365" i="1"/>
  <c r="AE365" i="1"/>
  <c r="Q365" i="1" s="1"/>
  <c r="AF365" i="1"/>
  <c r="AG365" i="1"/>
  <c r="AH365" i="1"/>
  <c r="CV365" i="1" s="1"/>
  <c r="AI365" i="1"/>
  <c r="AJ365" i="1"/>
  <c r="CR365" i="1"/>
  <c r="CS365" i="1"/>
  <c r="CT365" i="1"/>
  <c r="CU365" i="1"/>
  <c r="T365" i="1" s="1"/>
  <c r="CW365" i="1"/>
  <c r="V365" i="1" s="1"/>
  <c r="CX365" i="1"/>
  <c r="W365" i="1" s="1"/>
  <c r="CY365" i="1"/>
  <c r="X365" i="1" s="1"/>
  <c r="GL365" i="1"/>
  <c r="GO365" i="1"/>
  <c r="GP365" i="1"/>
  <c r="GV365" i="1"/>
  <c r="HC365" i="1"/>
  <c r="GX365" i="1" s="1"/>
  <c r="C366" i="1"/>
  <c r="D366" i="1"/>
  <c r="P366" i="1"/>
  <c r="AC366" i="1"/>
  <c r="CQ366" i="1" s="1"/>
  <c r="AD366" i="1"/>
  <c r="AB366" i="1" s="1"/>
  <c r="AE366" i="1"/>
  <c r="AF366" i="1"/>
  <c r="AG366" i="1"/>
  <c r="AH366" i="1"/>
  <c r="AI366" i="1"/>
  <c r="AJ366" i="1"/>
  <c r="CU366" i="1"/>
  <c r="T366" i="1" s="1"/>
  <c r="CV366" i="1"/>
  <c r="U366" i="1" s="1"/>
  <c r="CW366" i="1"/>
  <c r="V366" i="1" s="1"/>
  <c r="CX366" i="1"/>
  <c r="W366" i="1" s="1"/>
  <c r="GL366" i="1"/>
  <c r="GO366" i="1"/>
  <c r="GP366" i="1"/>
  <c r="GV366" i="1"/>
  <c r="HC366" i="1"/>
  <c r="GX366" i="1" s="1"/>
  <c r="I367" i="1"/>
  <c r="Q367" i="1" s="1"/>
  <c r="S367" i="1"/>
  <c r="CY367" i="1" s="1"/>
  <c r="T367" i="1"/>
  <c r="U367" i="1"/>
  <c r="V367" i="1"/>
  <c r="W367" i="1"/>
  <c r="X367" i="1"/>
  <c r="AB367" i="1"/>
  <c r="AC367" i="1"/>
  <c r="AD367" i="1"/>
  <c r="AE367" i="1"/>
  <c r="AF367" i="1"/>
  <c r="AG367" i="1"/>
  <c r="CU367" i="1" s="1"/>
  <c r="AH367" i="1"/>
  <c r="CV367" i="1" s="1"/>
  <c r="AI367" i="1"/>
  <c r="CW367" i="1" s="1"/>
  <c r="AJ367" i="1"/>
  <c r="CX367" i="1" s="1"/>
  <c r="CQ367" i="1"/>
  <c r="CR367" i="1"/>
  <c r="CS367" i="1"/>
  <c r="CT367" i="1"/>
  <c r="CZ367" i="1"/>
  <c r="Y367" i="1" s="1"/>
  <c r="GL367" i="1"/>
  <c r="BZ380" i="1" s="1"/>
  <c r="GO367" i="1"/>
  <c r="GP367" i="1"/>
  <c r="GV367" i="1"/>
  <c r="HC367" i="1" s="1"/>
  <c r="GX367" i="1" s="1"/>
  <c r="I368" i="1"/>
  <c r="P368" i="1"/>
  <c r="S368" i="1"/>
  <c r="T368" i="1"/>
  <c r="U368" i="1"/>
  <c r="AC368" i="1"/>
  <c r="AE368" i="1"/>
  <c r="AF368" i="1"/>
  <c r="CT368" i="1" s="1"/>
  <c r="AG368" i="1"/>
  <c r="CU368" i="1" s="1"/>
  <c r="AH368" i="1"/>
  <c r="CV368" i="1" s="1"/>
  <c r="AI368" i="1"/>
  <c r="AJ368" i="1"/>
  <c r="CX368" i="1" s="1"/>
  <c r="W368" i="1" s="1"/>
  <c r="CQ368" i="1"/>
  <c r="CS368" i="1"/>
  <c r="CW368" i="1"/>
  <c r="V368" i="1" s="1"/>
  <c r="GL368" i="1"/>
  <c r="GO368" i="1"/>
  <c r="GP368" i="1"/>
  <c r="GV368" i="1"/>
  <c r="HC368" i="1" s="1"/>
  <c r="GX368" i="1" s="1"/>
  <c r="C369" i="1"/>
  <c r="D369" i="1"/>
  <c r="P369" i="1"/>
  <c r="Q369" i="1"/>
  <c r="R369" i="1"/>
  <c r="T369" i="1"/>
  <c r="AC369" i="1"/>
  <c r="AE369" i="1"/>
  <c r="AF369" i="1"/>
  <c r="AG369" i="1"/>
  <c r="AH369" i="1"/>
  <c r="CV369" i="1" s="1"/>
  <c r="U369" i="1" s="1"/>
  <c r="AI369" i="1"/>
  <c r="AJ369" i="1"/>
  <c r="CX369" i="1" s="1"/>
  <c r="W369" i="1" s="1"/>
  <c r="CU369" i="1"/>
  <c r="CW369" i="1"/>
  <c r="V369" i="1" s="1"/>
  <c r="GK369" i="1"/>
  <c r="GL369" i="1"/>
  <c r="GO369" i="1"/>
  <c r="GP369" i="1"/>
  <c r="GV369" i="1"/>
  <c r="HC369" i="1" s="1"/>
  <c r="GX369" i="1" s="1"/>
  <c r="C370" i="1"/>
  <c r="D370" i="1"/>
  <c r="P370" i="1"/>
  <c r="Q370" i="1"/>
  <c r="U370" i="1"/>
  <c r="V370" i="1"/>
  <c r="W370" i="1"/>
  <c r="AB370" i="1"/>
  <c r="AC370" i="1"/>
  <c r="AD370" i="1"/>
  <c r="AE370" i="1"/>
  <c r="AF370" i="1"/>
  <c r="S370" i="1" s="1"/>
  <c r="AG370" i="1"/>
  <c r="AH370" i="1"/>
  <c r="AI370" i="1"/>
  <c r="AJ370" i="1"/>
  <c r="CX370" i="1" s="1"/>
  <c r="CP370" i="1"/>
  <c r="O370" i="1" s="1"/>
  <c r="CQ370" i="1"/>
  <c r="CS370" i="1"/>
  <c r="CT370" i="1"/>
  <c r="CU370" i="1"/>
  <c r="T370" i="1" s="1"/>
  <c r="CV370" i="1"/>
  <c r="CW370" i="1"/>
  <c r="GL370" i="1"/>
  <c r="GO370" i="1"/>
  <c r="GP370" i="1"/>
  <c r="GV370" i="1"/>
  <c r="HC370" i="1"/>
  <c r="GX370" i="1" s="1"/>
  <c r="I371" i="1"/>
  <c r="AC371" i="1"/>
  <c r="AD371" i="1"/>
  <c r="AE371" i="1"/>
  <c r="AF371" i="1"/>
  <c r="AG371" i="1"/>
  <c r="AH371" i="1"/>
  <c r="AI371" i="1"/>
  <c r="CW371" i="1" s="1"/>
  <c r="AJ371" i="1"/>
  <c r="CX371" i="1" s="1"/>
  <c r="CR371" i="1"/>
  <c r="CS371" i="1"/>
  <c r="CT371" i="1"/>
  <c r="CU371" i="1"/>
  <c r="CV371" i="1"/>
  <c r="GL371" i="1"/>
  <c r="GO371" i="1"/>
  <c r="GP371" i="1"/>
  <c r="GV371" i="1"/>
  <c r="HC371" i="1" s="1"/>
  <c r="GX371" i="1" s="1"/>
  <c r="I372" i="1"/>
  <c r="P372" i="1"/>
  <c r="AC372" i="1"/>
  <c r="AE372" i="1"/>
  <c r="AF372" i="1"/>
  <c r="AG372" i="1"/>
  <c r="CU372" i="1" s="1"/>
  <c r="T372" i="1" s="1"/>
  <c r="AH372" i="1"/>
  <c r="CV372" i="1" s="1"/>
  <c r="U372" i="1" s="1"/>
  <c r="AI372" i="1"/>
  <c r="AJ372" i="1"/>
  <c r="CQ372" i="1"/>
  <c r="CW372" i="1"/>
  <c r="V372" i="1" s="1"/>
  <c r="CX372" i="1"/>
  <c r="W372" i="1" s="1"/>
  <c r="GL372" i="1"/>
  <c r="GO372" i="1"/>
  <c r="GP372" i="1"/>
  <c r="GV372" i="1"/>
  <c r="HC372" i="1"/>
  <c r="GX372" i="1" s="1"/>
  <c r="C373" i="1"/>
  <c r="D373" i="1"/>
  <c r="P373" i="1"/>
  <c r="Q373" i="1"/>
  <c r="R373" i="1"/>
  <c r="S373" i="1"/>
  <c r="CZ373" i="1" s="1"/>
  <c r="Y373" i="1" s="1"/>
  <c r="AC373" i="1"/>
  <c r="CQ373" i="1" s="1"/>
  <c r="AD373" i="1"/>
  <c r="AE373" i="1"/>
  <c r="CS373" i="1" s="1"/>
  <c r="AF373" i="1"/>
  <c r="CT373" i="1" s="1"/>
  <c r="AG373" i="1"/>
  <c r="CU373" i="1" s="1"/>
  <c r="T373" i="1" s="1"/>
  <c r="AH373" i="1"/>
  <c r="CV373" i="1" s="1"/>
  <c r="U373" i="1" s="1"/>
  <c r="AI373" i="1"/>
  <c r="AJ373" i="1"/>
  <c r="CR373" i="1"/>
  <c r="CW373" i="1"/>
  <c r="V373" i="1" s="1"/>
  <c r="CX373" i="1"/>
  <c r="W373" i="1" s="1"/>
  <c r="GK373" i="1"/>
  <c r="GL373" i="1"/>
  <c r="GO373" i="1"/>
  <c r="GP373" i="1"/>
  <c r="GV373" i="1"/>
  <c r="HC373" i="1" s="1"/>
  <c r="GX373" i="1" s="1"/>
  <c r="C374" i="1"/>
  <c r="D374" i="1"/>
  <c r="P374" i="1"/>
  <c r="Q374" i="1"/>
  <c r="U374" i="1"/>
  <c r="V374" i="1"/>
  <c r="W374" i="1"/>
  <c r="AB374" i="1"/>
  <c r="AC374" i="1"/>
  <c r="AD374" i="1"/>
  <c r="AE374" i="1"/>
  <c r="R374" i="1" s="1"/>
  <c r="AF374" i="1"/>
  <c r="CT374" i="1" s="1"/>
  <c r="AG374" i="1"/>
  <c r="AH374" i="1"/>
  <c r="AI374" i="1"/>
  <c r="CW374" i="1" s="1"/>
  <c r="AJ374" i="1"/>
  <c r="CX374" i="1" s="1"/>
  <c r="CQ374" i="1"/>
  <c r="CR374" i="1"/>
  <c r="CS374" i="1"/>
  <c r="CU374" i="1"/>
  <c r="T374" i="1" s="1"/>
  <c r="CV374" i="1"/>
  <c r="GK374" i="1"/>
  <c r="GL374" i="1"/>
  <c r="GO374" i="1"/>
  <c r="GP374" i="1"/>
  <c r="GV374" i="1"/>
  <c r="HC374" i="1"/>
  <c r="GX374" i="1" s="1"/>
  <c r="I375" i="1"/>
  <c r="Q375" i="1"/>
  <c r="R375" i="1"/>
  <c r="GK375" i="1" s="1"/>
  <c r="S375" i="1"/>
  <c r="CZ375" i="1" s="1"/>
  <c r="T375" i="1"/>
  <c r="U375" i="1"/>
  <c r="Y375" i="1"/>
  <c r="AC375" i="1"/>
  <c r="P375" i="1" s="1"/>
  <c r="CP375" i="1" s="1"/>
  <c r="O375" i="1" s="1"/>
  <c r="AE375" i="1"/>
  <c r="AD375" i="1" s="1"/>
  <c r="AB375" i="1" s="1"/>
  <c r="AF375" i="1"/>
  <c r="CT375" i="1" s="1"/>
  <c r="AG375" i="1"/>
  <c r="CU375" i="1" s="1"/>
  <c r="AH375" i="1"/>
  <c r="CV375" i="1" s="1"/>
  <c r="AI375" i="1"/>
  <c r="AJ375" i="1"/>
  <c r="CQ375" i="1"/>
  <c r="CR375" i="1"/>
  <c r="CS375" i="1"/>
  <c r="CW375" i="1"/>
  <c r="V375" i="1" s="1"/>
  <c r="CX375" i="1"/>
  <c r="W375" i="1" s="1"/>
  <c r="CY375" i="1"/>
  <c r="X375" i="1" s="1"/>
  <c r="GL375" i="1"/>
  <c r="GO375" i="1"/>
  <c r="GP375" i="1"/>
  <c r="GV375" i="1"/>
  <c r="HC375" i="1" s="1"/>
  <c r="GX375" i="1" s="1"/>
  <c r="I376" i="1"/>
  <c r="Q376" i="1" s="1"/>
  <c r="R376" i="1"/>
  <c r="AC376" i="1"/>
  <c r="AD376" i="1"/>
  <c r="AE376" i="1"/>
  <c r="AF376" i="1"/>
  <c r="CT376" i="1" s="1"/>
  <c r="AG376" i="1"/>
  <c r="CU376" i="1" s="1"/>
  <c r="T376" i="1" s="1"/>
  <c r="AH376" i="1"/>
  <c r="CV376" i="1" s="1"/>
  <c r="U376" i="1" s="1"/>
  <c r="AI376" i="1"/>
  <c r="CW376" i="1" s="1"/>
  <c r="V376" i="1" s="1"/>
  <c r="AJ376" i="1"/>
  <c r="CR376" i="1"/>
  <c r="CS376" i="1"/>
  <c r="CX376" i="1"/>
  <c r="W376" i="1" s="1"/>
  <c r="GK376" i="1"/>
  <c r="GL376" i="1"/>
  <c r="GO376" i="1"/>
  <c r="GP376" i="1"/>
  <c r="GV376" i="1"/>
  <c r="HC376" i="1"/>
  <c r="D377" i="1"/>
  <c r="P377" i="1"/>
  <c r="Q377" i="1"/>
  <c r="R377" i="1"/>
  <c r="GK377" i="1" s="1"/>
  <c r="T377" i="1"/>
  <c r="AC377" i="1"/>
  <c r="CQ377" i="1" s="1"/>
  <c r="AE377" i="1"/>
  <c r="CR377" i="1" s="1"/>
  <c r="AF377" i="1"/>
  <c r="CT377" i="1" s="1"/>
  <c r="AG377" i="1"/>
  <c r="AH377" i="1"/>
  <c r="CV377" i="1" s="1"/>
  <c r="U377" i="1" s="1"/>
  <c r="AI377" i="1"/>
  <c r="CW377" i="1" s="1"/>
  <c r="V377" i="1" s="1"/>
  <c r="AJ377" i="1"/>
  <c r="CS377" i="1"/>
  <c r="CU377" i="1"/>
  <c r="CX377" i="1"/>
  <c r="W377" i="1" s="1"/>
  <c r="GL377" i="1"/>
  <c r="GO377" i="1"/>
  <c r="GP377" i="1"/>
  <c r="GV377" i="1"/>
  <c r="HC377" i="1" s="1"/>
  <c r="GX377" i="1" s="1"/>
  <c r="D378" i="1"/>
  <c r="R378" i="1"/>
  <c r="GK378" i="1" s="1"/>
  <c r="W378" i="1"/>
  <c r="X378" i="1"/>
  <c r="Y378" i="1"/>
  <c r="AC378" i="1"/>
  <c r="P378" i="1" s="1"/>
  <c r="CP378" i="1" s="1"/>
  <c r="O378" i="1" s="1"/>
  <c r="AD378" i="1"/>
  <c r="AE378" i="1"/>
  <c r="Q378" i="1" s="1"/>
  <c r="AF378" i="1"/>
  <c r="S378" i="1" s="1"/>
  <c r="CZ378" i="1" s="1"/>
  <c r="AG378" i="1"/>
  <c r="AH378" i="1"/>
  <c r="AI378" i="1"/>
  <c r="AJ378" i="1"/>
  <c r="CX378" i="1" s="1"/>
  <c r="CT378" i="1"/>
  <c r="CU378" i="1"/>
  <c r="T378" i="1" s="1"/>
  <c r="CV378" i="1"/>
  <c r="U378" i="1" s="1"/>
  <c r="CW378" i="1"/>
  <c r="V378" i="1" s="1"/>
  <c r="CY378" i="1"/>
  <c r="GL378" i="1"/>
  <c r="GO378" i="1"/>
  <c r="GP378" i="1"/>
  <c r="GV378" i="1"/>
  <c r="HC378" i="1" s="1"/>
  <c r="GX378" i="1" s="1"/>
  <c r="B380" i="1"/>
  <c r="B351" i="1" s="1"/>
  <c r="C380" i="1"/>
  <c r="C351" i="1" s="1"/>
  <c r="D380" i="1"/>
  <c r="F380" i="1"/>
  <c r="G380" i="1"/>
  <c r="AO380" i="1"/>
  <c r="BB380" i="1"/>
  <c r="BX380" i="1"/>
  <c r="BY380" i="1"/>
  <c r="CD380" i="1"/>
  <c r="CK380" i="1"/>
  <c r="CL380" i="1"/>
  <c r="CM380" i="1"/>
  <c r="FP380" i="1"/>
  <c r="FQ380" i="1"/>
  <c r="GC380" i="1"/>
  <c r="GD380" i="1"/>
  <c r="EU380" i="1" s="1"/>
  <c r="EU351" i="1" s="1"/>
  <c r="GE380" i="1"/>
  <c r="EV380" i="1" s="1"/>
  <c r="P405" i="1" s="1"/>
  <c r="B410" i="1"/>
  <c r="B166" i="1" s="1"/>
  <c r="C410" i="1"/>
  <c r="D410" i="1"/>
  <c r="D166" i="1" s="1"/>
  <c r="F410" i="1"/>
  <c r="F166" i="1" s="1"/>
  <c r="G410" i="1"/>
  <c r="G166" i="1" s="1"/>
  <c r="B440" i="1"/>
  <c r="B22" i="1" s="1"/>
  <c r="C440" i="1"/>
  <c r="C22" i="1" s="1"/>
  <c r="D440" i="1"/>
  <c r="D22" i="1" s="1"/>
  <c r="F440" i="1"/>
  <c r="F22" i="1" s="1"/>
  <c r="G440" i="1"/>
  <c r="G22" i="1" s="1"/>
  <c r="B470" i="1"/>
  <c r="B18" i="1" s="1"/>
  <c r="C470" i="1"/>
  <c r="C18" i="1" s="1"/>
  <c r="D470" i="1"/>
  <c r="D18" i="1" s="1"/>
  <c r="F470" i="1"/>
  <c r="F18" i="1" s="1"/>
  <c r="G470" i="1"/>
  <c r="G18" i="1" s="1"/>
  <c r="F12" i="6"/>
  <c r="G12" i="6"/>
  <c r="I286" i="7" l="1"/>
  <c r="I322" i="7"/>
  <c r="K348" i="7"/>
  <c r="J79" i="7"/>
  <c r="K212" i="7"/>
  <c r="J190" i="7"/>
  <c r="I310" i="7"/>
  <c r="K230" i="7"/>
  <c r="P232" i="7" s="1"/>
  <c r="K299" i="7"/>
  <c r="O132" i="7"/>
  <c r="K286" i="7"/>
  <c r="K349" i="7"/>
  <c r="K287" i="7"/>
  <c r="K322" i="7"/>
  <c r="I311" i="7"/>
  <c r="K323" i="7"/>
  <c r="J14" i="7"/>
  <c r="I337" i="7"/>
  <c r="K300" i="7"/>
  <c r="I362" i="7"/>
  <c r="K336" i="7"/>
  <c r="K360" i="7"/>
  <c r="P364" i="7" s="1"/>
  <c r="I239" i="7"/>
  <c r="K220" i="7"/>
  <c r="P223" i="7" s="1"/>
  <c r="J150" i="7"/>
  <c r="H112" i="7"/>
  <c r="J126" i="7"/>
  <c r="I229" i="7"/>
  <c r="I287" i="7"/>
  <c r="H290" i="7" s="1"/>
  <c r="J101" i="7"/>
  <c r="H126" i="7"/>
  <c r="I230" i="7"/>
  <c r="O232" i="7" s="1"/>
  <c r="K240" i="7"/>
  <c r="J242" i="7" s="1"/>
  <c r="I301" i="7"/>
  <c r="H303" i="7" s="1"/>
  <c r="I335" i="7"/>
  <c r="H339" i="7" s="1"/>
  <c r="P68" i="7"/>
  <c r="O90" i="7"/>
  <c r="O194" i="7"/>
  <c r="I212" i="7"/>
  <c r="H214" i="7" s="1"/>
  <c r="K288" i="7"/>
  <c r="I336" i="7"/>
  <c r="P123" i="7"/>
  <c r="J270" i="7"/>
  <c r="H60" i="7"/>
  <c r="K324" i="7"/>
  <c r="K361" i="7"/>
  <c r="J364" i="7" s="1"/>
  <c r="H101" i="7"/>
  <c r="J259" i="7"/>
  <c r="P79" i="7"/>
  <c r="H79" i="7"/>
  <c r="P259" i="7"/>
  <c r="H38" i="7"/>
  <c r="J38" i="7"/>
  <c r="H129" i="7"/>
  <c r="P190" i="7"/>
  <c r="K210" i="7"/>
  <c r="P214" i="7" s="1"/>
  <c r="K347" i="7"/>
  <c r="J351" i="7" s="1"/>
  <c r="I347" i="7"/>
  <c r="H351" i="7" s="1"/>
  <c r="I361" i="7"/>
  <c r="P90" i="7"/>
  <c r="P101" i="7"/>
  <c r="I240" i="7"/>
  <c r="O259" i="7"/>
  <c r="O112" i="7"/>
  <c r="P150" i="7"/>
  <c r="P162" i="7"/>
  <c r="K211" i="7"/>
  <c r="I220" i="7"/>
  <c r="K335" i="7"/>
  <c r="P178" i="7"/>
  <c r="I221" i="7"/>
  <c r="O270" i="7"/>
  <c r="O178" i="7"/>
  <c r="H68" i="7"/>
  <c r="O68" i="7"/>
  <c r="P60" i="7"/>
  <c r="J60" i="7"/>
  <c r="J90" i="7"/>
  <c r="O101" i="7"/>
  <c r="P277" i="7"/>
  <c r="O351" i="7"/>
  <c r="H178" i="7"/>
  <c r="O190" i="7"/>
  <c r="H190" i="7"/>
  <c r="P49" i="7"/>
  <c r="J49" i="7"/>
  <c r="O123" i="7"/>
  <c r="H123" i="7"/>
  <c r="H270" i="7"/>
  <c r="J132" i="7"/>
  <c r="J326" i="7"/>
  <c r="O60" i="7"/>
  <c r="O277" i="7"/>
  <c r="H277" i="7"/>
  <c r="I323" i="7"/>
  <c r="H326" i="7" s="1"/>
  <c r="I324" i="7"/>
  <c r="J68" i="7"/>
  <c r="K337" i="7"/>
  <c r="J162" i="7"/>
  <c r="H259" i="7"/>
  <c r="P112" i="7"/>
  <c r="O166" i="7"/>
  <c r="H166" i="7"/>
  <c r="K310" i="7"/>
  <c r="O38" i="7"/>
  <c r="O79" i="7"/>
  <c r="H90" i="7"/>
  <c r="P166" i="7"/>
  <c r="J166" i="7"/>
  <c r="K311" i="7"/>
  <c r="O313" i="7"/>
  <c r="O49" i="7"/>
  <c r="H49" i="7"/>
  <c r="O150" i="7"/>
  <c r="H150" i="7"/>
  <c r="O162" i="7"/>
  <c r="P270" i="7"/>
  <c r="J123" i="7"/>
  <c r="J129" i="7"/>
  <c r="P38" i="7"/>
  <c r="J112" i="7"/>
  <c r="J178" i="7"/>
  <c r="J194" i="7"/>
  <c r="H162" i="7"/>
  <c r="EB290" i="1"/>
  <c r="DO319" i="1"/>
  <c r="BZ351" i="1"/>
  <c r="AQ380" i="1"/>
  <c r="CG380" i="1"/>
  <c r="DM319" i="1"/>
  <c r="DZ290" i="1"/>
  <c r="GM370" i="1"/>
  <c r="GN370" i="1" s="1"/>
  <c r="FR290" i="1"/>
  <c r="EI319" i="1"/>
  <c r="FY319" i="1"/>
  <c r="EB380" i="1"/>
  <c r="EA380" i="1"/>
  <c r="DZ351" i="1"/>
  <c r="DM380" i="1"/>
  <c r="FR351" i="1"/>
  <c r="EI380" i="1"/>
  <c r="DY351" i="1"/>
  <c r="DL380" i="1"/>
  <c r="DN319" i="1"/>
  <c r="EA290" i="1"/>
  <c r="GA319" i="1"/>
  <c r="FQ290" i="1"/>
  <c r="EH319" i="1"/>
  <c r="DF137" i="3"/>
  <c r="DJ137" i="3" s="1"/>
  <c r="DG137" i="3"/>
  <c r="DH137" i="3"/>
  <c r="DI137" i="3"/>
  <c r="CP373" i="1"/>
  <c r="O373" i="1" s="1"/>
  <c r="GM373" i="1" s="1"/>
  <c r="GN373" i="1" s="1"/>
  <c r="AB357" i="1"/>
  <c r="BC290" i="1"/>
  <c r="F335" i="1"/>
  <c r="P246" i="1"/>
  <c r="CQ246" i="1"/>
  <c r="AB246" i="1"/>
  <c r="T243" i="1"/>
  <c r="R243" i="1"/>
  <c r="GK243" i="1" s="1"/>
  <c r="BZ95" i="1"/>
  <c r="CG134" i="1"/>
  <c r="AQ134" i="1"/>
  <c r="CY363" i="1"/>
  <c r="X363" i="1" s="1"/>
  <c r="CZ363" i="1"/>
  <c r="Y363" i="1" s="1"/>
  <c r="GM364" i="1"/>
  <c r="GN364" i="1" s="1"/>
  <c r="V243" i="1"/>
  <c r="DF117" i="3"/>
  <c r="DJ117" i="3" s="1"/>
  <c r="DI117" i="3"/>
  <c r="DG117" i="3"/>
  <c r="DH117" i="3"/>
  <c r="BY351" i="1"/>
  <c r="AP380" i="1"/>
  <c r="CI380" i="1"/>
  <c r="FV380" i="1"/>
  <c r="S353" i="1"/>
  <c r="BB290" i="1"/>
  <c r="F332" i="1"/>
  <c r="Q312" i="1"/>
  <c r="R312" i="1"/>
  <c r="GK312" i="1" s="1"/>
  <c r="W312" i="1"/>
  <c r="S312" i="1"/>
  <c r="P312" i="1"/>
  <c r="CP312" i="1" s="1"/>
  <c r="O312" i="1" s="1"/>
  <c r="S300" i="1"/>
  <c r="CT300" i="1"/>
  <c r="AP410" i="1"/>
  <c r="F267" i="1"/>
  <c r="AP221" i="1"/>
  <c r="CT178" i="1"/>
  <c r="S178" i="1"/>
  <c r="FY380" i="1"/>
  <c r="EG380" i="1"/>
  <c r="FP351" i="1"/>
  <c r="CT307" i="1"/>
  <c r="S307" i="1"/>
  <c r="CJ319" i="1"/>
  <c r="CX39" i="3"/>
  <c r="CW39" i="3"/>
  <c r="CX40" i="3"/>
  <c r="CW40" i="3"/>
  <c r="Q48" i="1"/>
  <c r="S48" i="1"/>
  <c r="T48" i="1"/>
  <c r="CU37" i="3"/>
  <c r="CS372" i="1"/>
  <c r="AD372" i="1"/>
  <c r="AB372" i="1" s="1"/>
  <c r="Q372" i="1"/>
  <c r="CP372" i="1" s="1"/>
  <c r="O372" i="1" s="1"/>
  <c r="CR372" i="1"/>
  <c r="R372" i="1"/>
  <c r="GK372" i="1" s="1"/>
  <c r="CJ380" i="1"/>
  <c r="FV189" i="1"/>
  <c r="V175" i="1"/>
  <c r="CY55" i="1"/>
  <c r="X55" i="1" s="1"/>
  <c r="CZ55" i="1"/>
  <c r="Y55" i="1" s="1"/>
  <c r="CY373" i="1"/>
  <c r="X373" i="1" s="1"/>
  <c r="CY368" i="1"/>
  <c r="X368" i="1" s="1"/>
  <c r="CZ368" i="1"/>
  <c r="Y368" i="1" s="1"/>
  <c r="Q363" i="1"/>
  <c r="GX363" i="1"/>
  <c r="CZ310" i="1"/>
  <c r="Y310" i="1" s="1"/>
  <c r="CX175" i="3"/>
  <c r="I231" i="1"/>
  <c r="Q229" i="1"/>
  <c r="U229" i="1"/>
  <c r="W229" i="1"/>
  <c r="P229" i="1"/>
  <c r="DF1" i="3"/>
  <c r="DG1" i="3"/>
  <c r="DH1" i="3"/>
  <c r="DI1" i="3"/>
  <c r="DJ1" i="3" s="1"/>
  <c r="CC380" i="1"/>
  <c r="AU189" i="1"/>
  <c r="CD170" i="1"/>
  <c r="CY56" i="1"/>
  <c r="X56" i="1" s="1"/>
  <c r="CZ56" i="1"/>
  <c r="Y56" i="1" s="1"/>
  <c r="AD313" i="1"/>
  <c r="AB313" i="1" s="1"/>
  <c r="CR313" i="1"/>
  <c r="CS313" i="1"/>
  <c r="R313" i="1"/>
  <c r="GK313" i="1" s="1"/>
  <c r="R300" i="1"/>
  <c r="GK300" i="1" s="1"/>
  <c r="CR300" i="1"/>
  <c r="CS300" i="1"/>
  <c r="Q300" i="1"/>
  <c r="GX239" i="1"/>
  <c r="FU221" i="1"/>
  <c r="EL258" i="1"/>
  <c r="CT112" i="1"/>
  <c r="S112" i="1"/>
  <c r="CT103" i="1"/>
  <c r="S103" i="1"/>
  <c r="AB305" i="1"/>
  <c r="CD221" i="1"/>
  <c r="AU258" i="1"/>
  <c r="V236" i="1"/>
  <c r="W186" i="1"/>
  <c r="AJ189" i="1" s="1"/>
  <c r="CP38" i="1"/>
  <c r="O38" i="1" s="1"/>
  <c r="CR378" i="1"/>
  <c r="S366" i="1"/>
  <c r="CT366" i="1"/>
  <c r="V363" i="1"/>
  <c r="AB362" i="1"/>
  <c r="GM355" i="1"/>
  <c r="GN355" i="1" s="1"/>
  <c r="Q313" i="1"/>
  <c r="CY303" i="1"/>
  <c r="X303" i="1" s="1"/>
  <c r="CZ303" i="1"/>
  <c r="Y303" i="1" s="1"/>
  <c r="AJ319" i="1"/>
  <c r="GK292" i="1"/>
  <c r="CP253" i="1"/>
  <c r="O253" i="1" s="1"/>
  <c r="GX236" i="1"/>
  <c r="CT372" i="1"/>
  <c r="S372" i="1"/>
  <c r="AH319" i="1"/>
  <c r="P175" i="1"/>
  <c r="Q175" i="1"/>
  <c r="U175" i="1"/>
  <c r="CY121" i="1"/>
  <c r="X121" i="1" s="1"/>
  <c r="CZ121" i="1"/>
  <c r="Y121" i="1" s="1"/>
  <c r="AB317" i="1"/>
  <c r="P317" i="1"/>
  <c r="CP317" i="1" s="1"/>
  <c r="O317" i="1" s="1"/>
  <c r="GM317" i="1" s="1"/>
  <c r="GN317" i="1" s="1"/>
  <c r="CQ317" i="1"/>
  <c r="CR307" i="1"/>
  <c r="CS307" i="1"/>
  <c r="AD307" i="1"/>
  <c r="Q307" i="1"/>
  <c r="R307" i="1"/>
  <c r="GK307" i="1" s="1"/>
  <c r="CD351" i="1"/>
  <c r="AU380" i="1"/>
  <c r="Q371" i="1"/>
  <c r="AD380" i="1" s="1"/>
  <c r="S371" i="1"/>
  <c r="U371" i="1"/>
  <c r="AH380" i="1" s="1"/>
  <c r="V371" i="1"/>
  <c r="W371" i="1"/>
  <c r="CT308" i="1"/>
  <c r="S308" i="1"/>
  <c r="CD319" i="1"/>
  <c r="T175" i="1"/>
  <c r="CP369" i="1"/>
  <c r="O369" i="1" s="1"/>
  <c r="W363" i="1"/>
  <c r="CP358" i="1"/>
  <c r="O358" i="1" s="1"/>
  <c r="S357" i="1"/>
  <c r="CT357" i="1"/>
  <c r="AB353" i="1"/>
  <c r="GM375" i="1"/>
  <c r="GN375" i="1" s="1"/>
  <c r="ET380" i="1"/>
  <c r="GC351" i="1"/>
  <c r="GM378" i="1"/>
  <c r="GN378" i="1" s="1"/>
  <c r="FU380" i="1"/>
  <c r="CT354" i="1"/>
  <c r="S354" i="1"/>
  <c r="BX221" i="1"/>
  <c r="CG258" i="1"/>
  <c r="AO258" i="1"/>
  <c r="S223" i="1"/>
  <c r="CT223" i="1"/>
  <c r="P199" i="1"/>
  <c r="EI170" i="1"/>
  <c r="AB378" i="1"/>
  <c r="S377" i="1"/>
  <c r="CQ376" i="1"/>
  <c r="AB376" i="1"/>
  <c r="P376" i="1"/>
  <c r="CR354" i="1"/>
  <c r="Q354" i="1"/>
  <c r="R354" i="1"/>
  <c r="CS354" i="1"/>
  <c r="CQ313" i="1"/>
  <c r="P313" i="1"/>
  <c r="GM302" i="1"/>
  <c r="GN302" i="1" s="1"/>
  <c r="AD300" i="1"/>
  <c r="AB300" i="1" s="1"/>
  <c r="AI319" i="1"/>
  <c r="EG258" i="1"/>
  <c r="FP221" i="1"/>
  <c r="FY258" i="1"/>
  <c r="F274" i="1"/>
  <c r="BC221" i="1"/>
  <c r="CQ254" i="1"/>
  <c r="P254" i="1"/>
  <c r="Q244" i="1"/>
  <c r="CP244" i="1" s="1"/>
  <c r="O244" i="1" s="1"/>
  <c r="U244" i="1"/>
  <c r="GX244" i="1"/>
  <c r="T239" i="1"/>
  <c r="W231" i="1"/>
  <c r="CR223" i="1"/>
  <c r="R223" i="1"/>
  <c r="CS223" i="1"/>
  <c r="CI95" i="1"/>
  <c r="AZ134" i="1"/>
  <c r="CZ105" i="1"/>
  <c r="Y105" i="1" s="1"/>
  <c r="CY105" i="1"/>
  <c r="X105" i="1" s="1"/>
  <c r="AO351" i="1"/>
  <c r="F384" i="1"/>
  <c r="CS378" i="1"/>
  <c r="S376" i="1"/>
  <c r="P363" i="1"/>
  <c r="CP363" i="1" s="1"/>
  <c r="O363" i="1" s="1"/>
  <c r="GM363" i="1" s="1"/>
  <c r="GN363" i="1" s="1"/>
  <c r="CQ363" i="1"/>
  <c r="AB363" i="1"/>
  <c r="R314" i="1"/>
  <c r="GK314" i="1" s="1"/>
  <c r="CR314" i="1"/>
  <c r="Q314" i="1"/>
  <c r="CS314" i="1"/>
  <c r="AB254" i="1"/>
  <c r="CZ253" i="1"/>
  <c r="Y253" i="1" s="1"/>
  <c r="CY253" i="1"/>
  <c r="X253" i="1" s="1"/>
  <c r="GX243" i="1"/>
  <c r="U187" i="1"/>
  <c r="GA380" i="1"/>
  <c r="EH380" i="1"/>
  <c r="FQ351" i="1"/>
  <c r="CQ378" i="1"/>
  <c r="R371" i="1"/>
  <c r="GK371" i="1" s="1"/>
  <c r="R366" i="1"/>
  <c r="GK366" i="1" s="1"/>
  <c r="CR366" i="1"/>
  <c r="CS366" i="1"/>
  <c r="Q366" i="1"/>
  <c r="CP366" i="1" s="1"/>
  <c r="O366" i="1" s="1"/>
  <c r="CY364" i="1"/>
  <c r="X364" i="1" s="1"/>
  <c r="CZ364" i="1"/>
  <c r="Y364" i="1" s="1"/>
  <c r="GX312" i="1"/>
  <c r="U312" i="1"/>
  <c r="FV319" i="1"/>
  <c r="F271" i="1"/>
  <c r="Q256" i="1"/>
  <c r="V256" i="1"/>
  <c r="GM238" i="1"/>
  <c r="GN238" i="1" s="1"/>
  <c r="FV221" i="1"/>
  <c r="EM258" i="1"/>
  <c r="BB189" i="1"/>
  <c r="CK170" i="1"/>
  <c r="R175" i="1"/>
  <c r="GK175" i="1" s="1"/>
  <c r="R118" i="1"/>
  <c r="GK118" i="1" s="1"/>
  <c r="CR118" i="1"/>
  <c r="Q118" i="1"/>
  <c r="CS118" i="1"/>
  <c r="CT123" i="1"/>
  <c r="S123" i="1"/>
  <c r="AB123" i="1"/>
  <c r="CQ57" i="1"/>
  <c r="AB57" i="1"/>
  <c r="P57" i="1"/>
  <c r="CP57" i="1" s="1"/>
  <c r="O57" i="1" s="1"/>
  <c r="GM57" i="1" s="1"/>
  <c r="GN57" i="1" s="1"/>
  <c r="P371" i="1"/>
  <c r="CP371" i="1" s="1"/>
  <c r="O371" i="1" s="1"/>
  <c r="CQ371" i="1"/>
  <c r="S369" i="1"/>
  <c r="CT369" i="1"/>
  <c r="CY360" i="1"/>
  <c r="X360" i="1" s="1"/>
  <c r="GM360" i="1" s="1"/>
  <c r="GN360" i="1" s="1"/>
  <c r="GD351" i="1"/>
  <c r="CT309" i="1"/>
  <c r="S309" i="1"/>
  <c r="AB307" i="1"/>
  <c r="FU319" i="1"/>
  <c r="CP300" i="1"/>
  <c r="O300" i="1" s="1"/>
  <c r="S296" i="1"/>
  <c r="CT296" i="1"/>
  <c r="T256" i="1"/>
  <c r="DI170" i="3"/>
  <c r="DG170" i="3"/>
  <c r="DH170" i="3"/>
  <c r="DF170" i="3"/>
  <c r="DJ170" i="3" s="1"/>
  <c r="AB371" i="1"/>
  <c r="CR369" i="1"/>
  <c r="CS369" i="1"/>
  <c r="AD369" i="1"/>
  <c r="AB369" i="1" s="1"/>
  <c r="CR368" i="1"/>
  <c r="AD368" i="1"/>
  <c r="AB368" i="1" s="1"/>
  <c r="Q368" i="1"/>
  <c r="CP368" i="1" s="1"/>
  <c r="O368" i="1" s="1"/>
  <c r="GM368" i="1" s="1"/>
  <c r="GN368" i="1" s="1"/>
  <c r="R368" i="1"/>
  <c r="GK368" i="1" s="1"/>
  <c r="CS359" i="1"/>
  <c r="Q359" i="1"/>
  <c r="R359" i="1"/>
  <c r="GK359" i="1" s="1"/>
  <c r="R296" i="1"/>
  <c r="GK296" i="1" s="1"/>
  <c r="Q296" i="1"/>
  <c r="CP296" i="1" s="1"/>
  <c r="O296" i="1" s="1"/>
  <c r="CR296" i="1"/>
  <c r="CS296" i="1"/>
  <c r="AD296" i="1"/>
  <c r="AB296" i="1" s="1"/>
  <c r="CY295" i="1"/>
  <c r="X295" i="1" s="1"/>
  <c r="CZ295" i="1"/>
  <c r="Y295" i="1" s="1"/>
  <c r="CT256" i="1"/>
  <c r="S256" i="1"/>
  <c r="CP223" i="1"/>
  <c r="O223" i="1" s="1"/>
  <c r="S173" i="1"/>
  <c r="CT173" i="1"/>
  <c r="V128" i="1"/>
  <c r="CR119" i="1"/>
  <c r="R119" i="1"/>
  <c r="GK119" i="1" s="1"/>
  <c r="CS119" i="1"/>
  <c r="Q119" i="1"/>
  <c r="AD119" i="1"/>
  <c r="AB119" i="1" s="1"/>
  <c r="CT59" i="1"/>
  <c r="S59" i="1"/>
  <c r="P396" i="1"/>
  <c r="CP377" i="1"/>
  <c r="O377" i="1" s="1"/>
  <c r="T371" i="1"/>
  <c r="AG380" i="1" s="1"/>
  <c r="CQ365" i="1"/>
  <c r="P365" i="1"/>
  <c r="CP365" i="1" s="1"/>
  <c r="O365" i="1" s="1"/>
  <c r="GM365" i="1" s="1"/>
  <c r="GN365" i="1" s="1"/>
  <c r="CY359" i="1"/>
  <c r="X359" i="1" s="1"/>
  <c r="CZ359" i="1"/>
  <c r="Y359" i="1" s="1"/>
  <c r="BD290" i="1"/>
  <c r="F344" i="1"/>
  <c r="P305" i="1"/>
  <c r="CQ305" i="1"/>
  <c r="CC319" i="1"/>
  <c r="V255" i="1"/>
  <c r="U231" i="1"/>
  <c r="CZ224" i="1"/>
  <c r="Y224" i="1" s="1"/>
  <c r="CY224" i="1"/>
  <c r="X224" i="1" s="1"/>
  <c r="CS178" i="1"/>
  <c r="AD178" i="1"/>
  <c r="R178" i="1"/>
  <c r="GK178" i="1" s="1"/>
  <c r="CR178" i="1"/>
  <c r="AB365" i="1"/>
  <c r="CP314" i="1"/>
  <c r="O314" i="1" s="1"/>
  <c r="GM314" i="1" s="1"/>
  <c r="GN314" i="1" s="1"/>
  <c r="EV258" i="1"/>
  <c r="GE221" i="1"/>
  <c r="GX252" i="1"/>
  <c r="CM351" i="1"/>
  <c r="BD380" i="1"/>
  <c r="CQ369" i="1"/>
  <c r="CZ362" i="1"/>
  <c r="Y362" i="1" s="1"/>
  <c r="CY362" i="1"/>
  <c r="X362" i="1" s="1"/>
  <c r="AD359" i="1"/>
  <c r="AB359" i="1" s="1"/>
  <c r="AB356" i="1"/>
  <c r="CP354" i="1"/>
  <c r="O354" i="1" s="1"/>
  <c r="DU380" i="1"/>
  <c r="CP353" i="1"/>
  <c r="O353" i="1" s="1"/>
  <c r="CQ309" i="1"/>
  <c r="P309" i="1"/>
  <c r="AB309" i="1"/>
  <c r="R308" i="1"/>
  <c r="GK308" i="1" s="1"/>
  <c r="CQ301" i="1"/>
  <c r="P301" i="1"/>
  <c r="CP301" i="1" s="1"/>
  <c r="O301" i="1" s="1"/>
  <c r="S299" i="1"/>
  <c r="DX319" i="1" s="1"/>
  <c r="CT299" i="1"/>
  <c r="CZ297" i="1"/>
  <c r="Y297" i="1" s="1"/>
  <c r="P297" i="1"/>
  <c r="CP297" i="1" s="1"/>
  <c r="O297" i="1" s="1"/>
  <c r="GM297" i="1" s="1"/>
  <c r="GN297" i="1" s="1"/>
  <c r="CQ297" i="1"/>
  <c r="BZ319" i="1"/>
  <c r="AD256" i="1"/>
  <c r="CS256" i="1"/>
  <c r="R256" i="1"/>
  <c r="GK256" i="1" s="1"/>
  <c r="CR256" i="1"/>
  <c r="CZ242" i="1"/>
  <c r="Y242" i="1" s="1"/>
  <c r="CY242" i="1"/>
  <c r="X242" i="1" s="1"/>
  <c r="S240" i="1"/>
  <c r="CT240" i="1"/>
  <c r="CQ235" i="1"/>
  <c r="AB235" i="1"/>
  <c r="P235" i="1"/>
  <c r="CP235" i="1" s="1"/>
  <c r="O235" i="1" s="1"/>
  <c r="GM235" i="1" s="1"/>
  <c r="GN235" i="1" s="1"/>
  <c r="CP224" i="1"/>
  <c r="O224" i="1" s="1"/>
  <c r="CS173" i="1"/>
  <c r="CR173" i="1"/>
  <c r="AD173" i="1"/>
  <c r="AB173" i="1" s="1"/>
  <c r="R173" i="1"/>
  <c r="T127" i="1"/>
  <c r="CT126" i="1"/>
  <c r="S126" i="1"/>
  <c r="S102" i="1"/>
  <c r="CT102" i="1"/>
  <c r="EV95" i="1"/>
  <c r="Q28" i="1"/>
  <c r="S28" i="1"/>
  <c r="U28" i="1"/>
  <c r="GX28" i="1"/>
  <c r="R28" i="1"/>
  <c r="R362" i="1"/>
  <c r="GK362" i="1" s="1"/>
  <c r="Q362" i="1"/>
  <c r="CP362" i="1" s="1"/>
  <c r="O362" i="1" s="1"/>
  <c r="GM362" i="1" s="1"/>
  <c r="GN362" i="1" s="1"/>
  <c r="CR362" i="1"/>
  <c r="CQ359" i="1"/>
  <c r="P359" i="1"/>
  <c r="EV319" i="1"/>
  <c r="GE290" i="1"/>
  <c r="V312" i="1"/>
  <c r="P310" i="1"/>
  <c r="CP310" i="1" s="1"/>
  <c r="O310" i="1" s="1"/>
  <c r="CQ310" i="1"/>
  <c r="Q308" i="1"/>
  <c r="CP308" i="1" s="1"/>
  <c r="O308" i="1" s="1"/>
  <c r="AD299" i="1"/>
  <c r="AB299" i="1" s="1"/>
  <c r="Q299" i="1"/>
  <c r="R299" i="1"/>
  <c r="GK299" i="1" s="1"/>
  <c r="CR299" i="1"/>
  <c r="CS299" i="1"/>
  <c r="AB297" i="1"/>
  <c r="S245" i="1"/>
  <c r="CT245" i="1"/>
  <c r="I239" i="1"/>
  <c r="S237" i="1"/>
  <c r="Q237" i="1"/>
  <c r="GX237" i="1"/>
  <c r="Q227" i="1"/>
  <c r="V227" i="1"/>
  <c r="W227" i="1"/>
  <c r="P227" i="1"/>
  <c r="S227" i="1"/>
  <c r="AQ189" i="1"/>
  <c r="BZ170" i="1"/>
  <c r="CI189" i="1"/>
  <c r="CQ124" i="1"/>
  <c r="AB124" i="1"/>
  <c r="P124" i="1"/>
  <c r="CP124" i="1" s="1"/>
  <c r="O124" i="1" s="1"/>
  <c r="GM124" i="1" s="1"/>
  <c r="GO124" i="1" s="1"/>
  <c r="P105" i="1"/>
  <c r="CP105" i="1" s="1"/>
  <c r="O105" i="1" s="1"/>
  <c r="GM105" i="1" s="1"/>
  <c r="GO105" i="1" s="1"/>
  <c r="CQ105" i="1"/>
  <c r="AB105" i="1"/>
  <c r="AD42" i="1"/>
  <c r="AB42" i="1" s="1"/>
  <c r="CR42" i="1"/>
  <c r="CS42" i="1"/>
  <c r="R42" i="1"/>
  <c r="GK42" i="1" s="1"/>
  <c r="GB380" i="1"/>
  <c r="AI380" i="1"/>
  <c r="GD290" i="1"/>
  <c r="EU319" i="1"/>
  <c r="S316" i="1"/>
  <c r="CT316" i="1"/>
  <c r="S313" i="1"/>
  <c r="CT313" i="1"/>
  <c r="BD221" i="1"/>
  <c r="BD410" i="1"/>
  <c r="F283" i="1"/>
  <c r="AD254" i="1"/>
  <c r="R254" i="1"/>
  <c r="GK254" i="1" s="1"/>
  <c r="CR254" i="1"/>
  <c r="CS254" i="1"/>
  <c r="P214" i="1"/>
  <c r="EV170" i="1"/>
  <c r="FU170" i="1"/>
  <c r="EL189" i="1"/>
  <c r="CT128" i="1"/>
  <c r="CP123" i="1"/>
  <c r="O123" i="1" s="1"/>
  <c r="CL351" i="1"/>
  <c r="BC380" i="1"/>
  <c r="BB351" i="1"/>
  <c r="F393" i="1"/>
  <c r="CQ357" i="1"/>
  <c r="P357" i="1"/>
  <c r="Q316" i="1"/>
  <c r="CP316" i="1" s="1"/>
  <c r="O316" i="1" s="1"/>
  <c r="R316" i="1"/>
  <c r="GK316" i="1" s="1"/>
  <c r="CR316" i="1"/>
  <c r="P299" i="1"/>
  <c r="CQ299" i="1"/>
  <c r="CT298" i="1"/>
  <c r="S298" i="1"/>
  <c r="P271" i="1"/>
  <c r="ET221" i="1"/>
  <c r="U255" i="1"/>
  <c r="CZ247" i="1"/>
  <c r="Y247" i="1" s="1"/>
  <c r="CY247" i="1"/>
  <c r="X247" i="1" s="1"/>
  <c r="CS245" i="1"/>
  <c r="AD245" i="1"/>
  <c r="AB245" i="1" s="1"/>
  <c r="CR245" i="1"/>
  <c r="U236" i="1"/>
  <c r="CP183" i="1"/>
  <c r="O183" i="1" s="1"/>
  <c r="S132" i="1"/>
  <c r="CT132" i="1"/>
  <c r="CT115" i="1"/>
  <c r="S115" i="1"/>
  <c r="CP115" i="1" s="1"/>
  <c r="O115" i="1" s="1"/>
  <c r="CW26" i="3"/>
  <c r="CX26" i="3"/>
  <c r="CR298" i="1"/>
  <c r="Q298" i="1"/>
  <c r="R298" i="1"/>
  <c r="GK298" i="1" s="1"/>
  <c r="CS298" i="1"/>
  <c r="CS295" i="1"/>
  <c r="Q295" i="1"/>
  <c r="DV319" i="1" s="1"/>
  <c r="R295" i="1"/>
  <c r="CR295" i="1"/>
  <c r="CZ293" i="1"/>
  <c r="Y293" i="1" s="1"/>
  <c r="CY293" i="1"/>
  <c r="X293" i="1" s="1"/>
  <c r="V244" i="1"/>
  <c r="CS239" i="1"/>
  <c r="R239" i="1"/>
  <c r="GK239" i="1" s="1"/>
  <c r="CR239" i="1"/>
  <c r="U237" i="1"/>
  <c r="GX228" i="1"/>
  <c r="V187" i="1"/>
  <c r="CZ185" i="1"/>
  <c r="Y185" i="1" s="1"/>
  <c r="CY185" i="1"/>
  <c r="X185" i="1" s="1"/>
  <c r="S177" i="1"/>
  <c r="CT177" i="1"/>
  <c r="F143" i="1"/>
  <c r="AP95" i="1"/>
  <c r="CQ126" i="1"/>
  <c r="AB126" i="1"/>
  <c r="P126" i="1"/>
  <c r="CP126" i="1" s="1"/>
  <c r="O126" i="1" s="1"/>
  <c r="P76" i="1"/>
  <c r="ET26" i="1"/>
  <c r="F88" i="1"/>
  <c r="BD26" i="1"/>
  <c r="GX376" i="1"/>
  <c r="CY370" i="1"/>
  <c r="X370" i="1" s="1"/>
  <c r="CZ370" i="1"/>
  <c r="Y370" i="1" s="1"/>
  <c r="S358" i="1"/>
  <c r="CT358" i="1"/>
  <c r="S315" i="1"/>
  <c r="CT315" i="1"/>
  <c r="S311" i="1"/>
  <c r="CT311" i="1"/>
  <c r="AD298" i="1"/>
  <c r="AB298" i="1" s="1"/>
  <c r="AD295" i="1"/>
  <c r="CQ240" i="1"/>
  <c r="AB240" i="1"/>
  <c r="P240" i="1"/>
  <c r="AD239" i="1"/>
  <c r="AB239" i="1" s="1"/>
  <c r="GX229" i="1"/>
  <c r="V229" i="1"/>
  <c r="GM180" i="1"/>
  <c r="GN180" i="1" s="1"/>
  <c r="GX127" i="1"/>
  <c r="Q123" i="1"/>
  <c r="K127" i="1"/>
  <c r="R123" i="1"/>
  <c r="GK123" i="1" s="1"/>
  <c r="I127" i="1"/>
  <c r="BC26" i="1"/>
  <c r="F79" i="1"/>
  <c r="CR54" i="1"/>
  <c r="CS54" i="1"/>
  <c r="AD54" i="1"/>
  <c r="AB54" i="1" s="1"/>
  <c r="Q54" i="1"/>
  <c r="R54" i="1"/>
  <c r="GK54" i="1" s="1"/>
  <c r="AD377" i="1"/>
  <c r="AB373" i="1"/>
  <c r="CR370" i="1"/>
  <c r="R370" i="1"/>
  <c r="GK370" i="1" s="1"/>
  <c r="P367" i="1"/>
  <c r="CP367" i="1" s="1"/>
  <c r="O367" i="1" s="1"/>
  <c r="GM367" i="1" s="1"/>
  <c r="GN367" i="1" s="1"/>
  <c r="AB364" i="1"/>
  <c r="CP361" i="1"/>
  <c r="O361" i="1" s="1"/>
  <c r="GM361" i="1" s="1"/>
  <c r="GN361" i="1" s="1"/>
  <c r="AJ380" i="1"/>
  <c r="AB316" i="1"/>
  <c r="AB308" i="1"/>
  <c r="AB304" i="1"/>
  <c r="AB295" i="1"/>
  <c r="CQ295" i="1"/>
  <c r="P295" i="1"/>
  <c r="DY319" i="1"/>
  <c r="P267" i="1"/>
  <c r="CQ252" i="1"/>
  <c r="GM250" i="1"/>
  <c r="GN250" i="1" s="1"/>
  <c r="CT243" i="1"/>
  <c r="S243" i="1"/>
  <c r="Q234" i="1"/>
  <c r="W234" i="1"/>
  <c r="S234" i="1"/>
  <c r="I236" i="1"/>
  <c r="FR258" i="1"/>
  <c r="AD225" i="1"/>
  <c r="AB225" i="1" s="1"/>
  <c r="R225" i="1"/>
  <c r="GK225" i="1" s="1"/>
  <c r="CR225" i="1"/>
  <c r="AD121" i="1"/>
  <c r="AB121" i="1" s="1"/>
  <c r="Q121" i="1"/>
  <c r="CP121" i="1" s="1"/>
  <c r="O121" i="1" s="1"/>
  <c r="R121" i="1"/>
  <c r="GK121" i="1" s="1"/>
  <c r="CR121" i="1"/>
  <c r="CS121" i="1"/>
  <c r="CT117" i="1"/>
  <c r="S117" i="1"/>
  <c r="CZ113" i="1"/>
  <c r="Y113" i="1" s="1"/>
  <c r="CY113" i="1"/>
  <c r="X113" i="1" s="1"/>
  <c r="P67" i="1"/>
  <c r="EG26" i="1"/>
  <c r="CW92" i="3"/>
  <c r="CX92" i="3"/>
  <c r="DF5" i="3"/>
  <c r="DH5" i="3"/>
  <c r="DG5" i="3"/>
  <c r="DJ5" i="3" s="1"/>
  <c r="DI5" i="3"/>
  <c r="CZ361" i="1"/>
  <c r="Y361" i="1" s="1"/>
  <c r="AP290" i="1"/>
  <c r="F328" i="1"/>
  <c r="CS316" i="1"/>
  <c r="CS302" i="1"/>
  <c r="CR302" i="1"/>
  <c r="CQ296" i="1"/>
  <c r="GX255" i="1"/>
  <c r="CX188" i="3"/>
  <c r="Q254" i="1"/>
  <c r="R245" i="1"/>
  <c r="GK245" i="1" s="1"/>
  <c r="CT244" i="1"/>
  <c r="S244" i="1"/>
  <c r="CC258" i="1"/>
  <c r="T229" i="1"/>
  <c r="CR226" i="1"/>
  <c r="R226" i="1"/>
  <c r="GK226" i="1" s="1"/>
  <c r="AD226" i="1"/>
  <c r="AB226" i="1" s="1"/>
  <c r="CS226" i="1"/>
  <c r="GK172" i="1"/>
  <c r="AE189" i="1"/>
  <c r="ET134" i="1"/>
  <c r="GC95" i="1"/>
  <c r="AP26" i="1"/>
  <c r="F72" i="1"/>
  <c r="AB312" i="1"/>
  <c r="AB377" i="1"/>
  <c r="CT356" i="1"/>
  <c r="S356" i="1"/>
  <c r="CY317" i="1"/>
  <c r="X317" i="1" s="1"/>
  <c r="CZ317" i="1"/>
  <c r="Y317" i="1" s="1"/>
  <c r="CQ315" i="1"/>
  <c r="AB315" i="1"/>
  <c r="CQ304" i="1"/>
  <c r="AD302" i="1"/>
  <c r="AB302" i="1" s="1"/>
  <c r="Q245" i="1"/>
  <c r="CP245" i="1" s="1"/>
  <c r="O245" i="1" s="1"/>
  <c r="CS244" i="1"/>
  <c r="R244" i="1"/>
  <c r="GK244" i="1" s="1"/>
  <c r="AD244" i="1"/>
  <c r="AB244" i="1" s="1"/>
  <c r="CR244" i="1"/>
  <c r="U239" i="1"/>
  <c r="P237" i="1"/>
  <c r="CP237" i="1" s="1"/>
  <c r="O237" i="1" s="1"/>
  <c r="AB237" i="1"/>
  <c r="CQ237" i="1"/>
  <c r="CT185" i="1"/>
  <c r="CL95" i="1"/>
  <c r="BC134" i="1"/>
  <c r="CP113" i="1"/>
  <c r="O113" i="1" s="1"/>
  <c r="GX48" i="1"/>
  <c r="AB43" i="1"/>
  <c r="CT43" i="1"/>
  <c r="S43" i="1"/>
  <c r="DH183" i="3"/>
  <c r="DF183" i="3"/>
  <c r="DJ183" i="3" s="1"/>
  <c r="DG183" i="3"/>
  <c r="DI183" i="3"/>
  <c r="AD310" i="1"/>
  <c r="AB310" i="1" s="1"/>
  <c r="CR310" i="1"/>
  <c r="S306" i="1"/>
  <c r="Q303" i="1"/>
  <c r="CP303" i="1" s="1"/>
  <c r="O303" i="1" s="1"/>
  <c r="GM303" i="1" s="1"/>
  <c r="GN303" i="1" s="1"/>
  <c r="R301" i="1"/>
  <c r="GK301" i="1" s="1"/>
  <c r="AD301" i="1"/>
  <c r="AB301" i="1" s="1"/>
  <c r="T300" i="1"/>
  <c r="AG319" i="1" s="1"/>
  <c r="CR252" i="1"/>
  <c r="AD252" i="1"/>
  <c r="AB252" i="1" s="1"/>
  <c r="DF181" i="3"/>
  <c r="DJ181" i="3" s="1"/>
  <c r="DG181" i="3"/>
  <c r="DH181" i="3"/>
  <c r="CR237" i="1"/>
  <c r="AD237" i="1"/>
  <c r="CT229" i="1"/>
  <c r="S229" i="1"/>
  <c r="GX187" i="1"/>
  <c r="CY180" i="1"/>
  <c r="X180" i="1" s="1"/>
  <c r="CZ180" i="1"/>
  <c r="Y180" i="1" s="1"/>
  <c r="P138" i="1"/>
  <c r="EG95" i="1"/>
  <c r="GX123" i="1"/>
  <c r="CJ134" i="1" s="1"/>
  <c r="CT38" i="1"/>
  <c r="S38" i="1"/>
  <c r="CT37" i="1"/>
  <c r="S37" i="1"/>
  <c r="AB37" i="1"/>
  <c r="CQ29" i="1"/>
  <c r="P29" i="1"/>
  <c r="DI181" i="3"/>
  <c r="DI154" i="3"/>
  <c r="DH154" i="3"/>
  <c r="DG154" i="3"/>
  <c r="DF154" i="3"/>
  <c r="DJ154" i="3" s="1"/>
  <c r="CV2" i="3"/>
  <c r="AD30" i="1"/>
  <c r="AB30" i="1" s="1"/>
  <c r="R30" i="1"/>
  <c r="GK30" i="1" s="1"/>
  <c r="CR30" i="1"/>
  <c r="CS30" i="1"/>
  <c r="Q30" i="1"/>
  <c r="DI194" i="3"/>
  <c r="DF194" i="3"/>
  <c r="DJ194" i="3" s="1"/>
  <c r="DG194" i="3"/>
  <c r="DH194" i="3"/>
  <c r="CX178" i="3"/>
  <c r="DF98" i="3"/>
  <c r="DJ98" i="3" s="1"/>
  <c r="DG98" i="3"/>
  <c r="DI98" i="3"/>
  <c r="CZ292" i="1"/>
  <c r="Y292" i="1" s="1"/>
  <c r="T255" i="1"/>
  <c r="P241" i="1"/>
  <c r="CP241" i="1" s="1"/>
  <c r="O241" i="1" s="1"/>
  <c r="GM241" i="1" s="1"/>
  <c r="GN241" i="1" s="1"/>
  <c r="AB241" i="1"/>
  <c r="W239" i="1"/>
  <c r="V234" i="1"/>
  <c r="K227" i="1"/>
  <c r="Q223" i="1"/>
  <c r="S109" i="1"/>
  <c r="CT109" i="1"/>
  <c r="CP99" i="1"/>
  <c r="O99" i="1" s="1"/>
  <c r="GM99" i="1" s="1"/>
  <c r="GO99" i="1" s="1"/>
  <c r="P36" i="1"/>
  <c r="CP36" i="1" s="1"/>
  <c r="O36" i="1" s="1"/>
  <c r="GM36" i="1" s="1"/>
  <c r="GN36" i="1" s="1"/>
  <c r="CQ36" i="1"/>
  <c r="AB36" i="1"/>
  <c r="CS310" i="1"/>
  <c r="CR309" i="1"/>
  <c r="AD303" i="1"/>
  <c r="AB303" i="1" s="1"/>
  <c r="GX301" i="1"/>
  <c r="GB319" i="1" s="1"/>
  <c r="CR301" i="1"/>
  <c r="Q294" i="1"/>
  <c r="I255" i="1"/>
  <c r="Q253" i="1"/>
  <c r="AD251" i="1"/>
  <c r="AB251" i="1" s="1"/>
  <c r="CS251" i="1"/>
  <c r="W243" i="1"/>
  <c r="V239" i="1"/>
  <c r="CT228" i="1"/>
  <c r="S228" i="1"/>
  <c r="R224" i="1"/>
  <c r="CS224" i="1"/>
  <c r="CR224" i="1"/>
  <c r="CT175" i="1"/>
  <c r="S175" i="1"/>
  <c r="P174" i="1"/>
  <c r="CZ130" i="1"/>
  <c r="Y130" i="1" s="1"/>
  <c r="CQ122" i="1"/>
  <c r="P122" i="1"/>
  <c r="CP122" i="1" s="1"/>
  <c r="O122" i="1" s="1"/>
  <c r="GM122" i="1" s="1"/>
  <c r="GO122" i="1" s="1"/>
  <c r="AB122" i="1"/>
  <c r="CQ120" i="1"/>
  <c r="AB120" i="1"/>
  <c r="P120" i="1"/>
  <c r="CP120" i="1" s="1"/>
  <c r="O120" i="1" s="1"/>
  <c r="GM120" i="1" s="1"/>
  <c r="GO120" i="1" s="1"/>
  <c r="S114" i="1"/>
  <c r="CS109" i="1"/>
  <c r="R109" i="1"/>
  <c r="GK109" i="1" s="1"/>
  <c r="AD109" i="1"/>
  <c r="AB109" i="1" s="1"/>
  <c r="Q109" i="1"/>
  <c r="CP109" i="1" s="1"/>
  <c r="O109" i="1" s="1"/>
  <c r="AB103" i="1"/>
  <c r="P103" i="1"/>
  <c r="CP103" i="1" s="1"/>
  <c r="O103" i="1" s="1"/>
  <c r="CQ103" i="1"/>
  <c r="AB102" i="1"/>
  <c r="CQ102" i="1"/>
  <c r="P102" i="1"/>
  <c r="CP102" i="1" s="1"/>
  <c r="O102" i="1" s="1"/>
  <c r="AB55" i="1"/>
  <c r="P55" i="1"/>
  <c r="CP55" i="1" s="1"/>
  <c r="O55" i="1" s="1"/>
  <c r="GM55" i="1" s="1"/>
  <c r="GN55" i="1" s="1"/>
  <c r="DG204" i="3"/>
  <c r="DH204" i="3"/>
  <c r="DI204" i="3"/>
  <c r="DF204" i="3"/>
  <c r="DJ204" i="3" s="1"/>
  <c r="DI149" i="3"/>
  <c r="DG149" i="3"/>
  <c r="DF149" i="3"/>
  <c r="DJ149" i="3" s="1"/>
  <c r="DH149" i="3"/>
  <c r="CX54" i="3"/>
  <c r="CW54" i="3"/>
  <c r="GX223" i="1"/>
  <c r="AB178" i="1"/>
  <c r="AD174" i="1"/>
  <c r="AB174" i="1" s="1"/>
  <c r="R174" i="1"/>
  <c r="GK174" i="1" s="1"/>
  <c r="CS174" i="1"/>
  <c r="CR174" i="1"/>
  <c r="V127" i="1"/>
  <c r="CR102" i="1"/>
  <c r="CS102" i="1"/>
  <c r="AD102" i="1"/>
  <c r="Q102" i="1"/>
  <c r="CC63" i="1"/>
  <c r="W29" i="1"/>
  <c r="EB63" i="1" s="1"/>
  <c r="GX29" i="1"/>
  <c r="GB63" i="1" s="1"/>
  <c r="CU2" i="3"/>
  <c r="DG169" i="3"/>
  <c r="DH169" i="3"/>
  <c r="DI169" i="3"/>
  <c r="R363" i="1"/>
  <c r="GK363" i="1" s="1"/>
  <c r="CS357" i="1"/>
  <c r="P332" i="1"/>
  <c r="S374" i="1"/>
  <c r="R367" i="1"/>
  <c r="GK367" i="1" s="1"/>
  <c r="AD306" i="1"/>
  <c r="AB306" i="1" s="1"/>
  <c r="S294" i="1"/>
  <c r="CT294" i="1"/>
  <c r="AD255" i="1"/>
  <c r="AB255" i="1" s="1"/>
  <c r="CS255" i="1"/>
  <c r="CR255" i="1"/>
  <c r="R253" i="1"/>
  <c r="GK253" i="1" s="1"/>
  <c r="CR253" i="1"/>
  <c r="P251" i="1"/>
  <c r="CP251" i="1" s="1"/>
  <c r="O251" i="1" s="1"/>
  <c r="GM251" i="1" s="1"/>
  <c r="GN251" i="1" s="1"/>
  <c r="CQ251" i="1"/>
  <c r="CX186" i="3"/>
  <c r="R250" i="1"/>
  <c r="GK250" i="1" s="1"/>
  <c r="I252" i="1"/>
  <c r="U252" i="1" s="1"/>
  <c r="P247" i="1"/>
  <c r="CP247" i="1" s="1"/>
  <c r="O247" i="1" s="1"/>
  <c r="GM247" i="1" s="1"/>
  <c r="GN247" i="1" s="1"/>
  <c r="CQ247" i="1"/>
  <c r="CX184" i="3"/>
  <c r="I248" i="1"/>
  <c r="T248" i="1" s="1"/>
  <c r="AB243" i="1"/>
  <c r="P243" i="1"/>
  <c r="CQ243" i="1"/>
  <c r="V240" i="1"/>
  <c r="CS237" i="1"/>
  <c r="R237" i="1"/>
  <c r="GK237" i="1" s="1"/>
  <c r="AD231" i="1"/>
  <c r="AB231" i="1" s="1"/>
  <c r="AD224" i="1"/>
  <c r="AB224" i="1" s="1"/>
  <c r="CR183" i="1"/>
  <c r="AD183" i="1"/>
  <c r="AB183" i="1" s="1"/>
  <c r="R183" i="1"/>
  <c r="GK183" i="1" s="1"/>
  <c r="P179" i="1"/>
  <c r="AD175" i="1"/>
  <c r="AB175" i="1" s="1"/>
  <c r="CS175" i="1"/>
  <c r="V123" i="1"/>
  <c r="AI134" i="1" s="1"/>
  <c r="CR104" i="1"/>
  <c r="CS104" i="1"/>
  <c r="Q104" i="1"/>
  <c r="R104" i="1"/>
  <c r="GK104" i="1" s="1"/>
  <c r="AD104" i="1"/>
  <c r="AB104" i="1" s="1"/>
  <c r="AD41" i="1"/>
  <c r="AB41" i="1" s="1"/>
  <c r="CR41" i="1"/>
  <c r="CS41" i="1"/>
  <c r="R41" i="1"/>
  <c r="GK41" i="1" s="1"/>
  <c r="Q305" i="1"/>
  <c r="S305" i="1"/>
  <c r="CT292" i="1"/>
  <c r="W256" i="1"/>
  <c r="CS252" i="1"/>
  <c r="R252" i="1"/>
  <c r="GK252" i="1" s="1"/>
  <c r="U243" i="1"/>
  <c r="AB242" i="1"/>
  <c r="S239" i="1"/>
  <c r="CR233" i="1"/>
  <c r="CS233" i="1"/>
  <c r="CZ232" i="1"/>
  <c r="Y232" i="1" s="1"/>
  <c r="CY232" i="1"/>
  <c r="X232" i="1" s="1"/>
  <c r="CQ231" i="1"/>
  <c r="T223" i="1"/>
  <c r="AD186" i="1"/>
  <c r="AB186" i="1" s="1"/>
  <c r="CS186" i="1"/>
  <c r="R186" i="1"/>
  <c r="GK186" i="1" s="1"/>
  <c r="AB182" i="1"/>
  <c r="CQ182" i="1"/>
  <c r="CQ181" i="1"/>
  <c r="AB181" i="1"/>
  <c r="P181" i="1"/>
  <c r="CP181" i="1" s="1"/>
  <c r="O181" i="1" s="1"/>
  <c r="GM181" i="1" s="1"/>
  <c r="GN181" i="1" s="1"/>
  <c r="Q177" i="1"/>
  <c r="T177" i="1"/>
  <c r="I179" i="1"/>
  <c r="U179" i="1" s="1"/>
  <c r="DZ189" i="1" s="1"/>
  <c r="FP95" i="1"/>
  <c r="FY134" i="1"/>
  <c r="CM95" i="1"/>
  <c r="BD134" i="1"/>
  <c r="CY129" i="1"/>
  <c r="X129" i="1" s="1"/>
  <c r="CZ129" i="1"/>
  <c r="Y129" i="1" s="1"/>
  <c r="Q126" i="1"/>
  <c r="I128" i="1"/>
  <c r="GX128" i="1" s="1"/>
  <c r="GB134" i="1" s="1"/>
  <c r="R126" i="1"/>
  <c r="GK126" i="1" s="1"/>
  <c r="K128" i="1"/>
  <c r="T123" i="1"/>
  <c r="CP118" i="1"/>
  <c r="O118" i="1" s="1"/>
  <c r="GM118" i="1" s="1"/>
  <c r="GO118" i="1" s="1"/>
  <c r="P104" i="1"/>
  <c r="CQ104" i="1"/>
  <c r="R102" i="1"/>
  <c r="GK102" i="1" s="1"/>
  <c r="FR134" i="1"/>
  <c r="CD134" i="1"/>
  <c r="P56" i="1"/>
  <c r="AB56" i="1"/>
  <c r="CQ56" i="1"/>
  <c r="CP41" i="1"/>
  <c r="O41" i="1" s="1"/>
  <c r="GM41" i="1" s="1"/>
  <c r="GN41" i="1" s="1"/>
  <c r="CY225" i="1"/>
  <c r="X225" i="1" s="1"/>
  <c r="CZ225" i="1"/>
  <c r="Y225" i="1" s="1"/>
  <c r="I228" i="1"/>
  <c r="W228" i="1" s="1"/>
  <c r="K228" i="1"/>
  <c r="W187" i="1"/>
  <c r="Q184" i="1"/>
  <c r="S184" i="1"/>
  <c r="I186" i="1"/>
  <c r="AB180" i="1"/>
  <c r="AD177" i="1"/>
  <c r="AB177" i="1" s="1"/>
  <c r="CS177" i="1"/>
  <c r="CX168" i="3"/>
  <c r="CW166" i="3"/>
  <c r="CU165" i="3"/>
  <c r="AB131" i="1"/>
  <c r="P131" i="1"/>
  <c r="CP131" i="1" s="1"/>
  <c r="O131" i="1" s="1"/>
  <c r="CT125" i="1"/>
  <c r="S125" i="1"/>
  <c r="CR117" i="1"/>
  <c r="Q117" i="1"/>
  <c r="CS117" i="1"/>
  <c r="AD117" i="1"/>
  <c r="AB117" i="1" s="1"/>
  <c r="CS98" i="1"/>
  <c r="Q98" i="1"/>
  <c r="AD98" i="1"/>
  <c r="AB98" i="1" s="1"/>
  <c r="R98" i="1"/>
  <c r="CR98" i="1"/>
  <c r="CX61" i="3"/>
  <c r="CU57" i="3"/>
  <c r="CX65" i="3"/>
  <c r="CX57" i="3"/>
  <c r="CX63" i="3"/>
  <c r="CX66" i="3"/>
  <c r="CX64" i="3"/>
  <c r="CX58" i="3"/>
  <c r="P97" i="1"/>
  <c r="Q97" i="1"/>
  <c r="U97" i="1"/>
  <c r="DG164" i="3"/>
  <c r="DF164" i="3"/>
  <c r="DJ164" i="3" s="1"/>
  <c r="DH164" i="3"/>
  <c r="DI164" i="3"/>
  <c r="DH128" i="3"/>
  <c r="DI128" i="3"/>
  <c r="DG128" i="3"/>
  <c r="DJ128" i="3" s="1"/>
  <c r="DF128" i="3"/>
  <c r="S233" i="1"/>
  <c r="CT233" i="1"/>
  <c r="T231" i="1"/>
  <c r="U227" i="1"/>
  <c r="AH258" i="1" s="1"/>
  <c r="CQ226" i="1"/>
  <c r="P226" i="1"/>
  <c r="GA189" i="1"/>
  <c r="EH189" i="1"/>
  <c r="R182" i="1"/>
  <c r="GK182" i="1" s="1"/>
  <c r="CS182" i="1"/>
  <c r="CR182" i="1"/>
  <c r="P177" i="1"/>
  <c r="CP177" i="1" s="1"/>
  <c r="O177" i="1" s="1"/>
  <c r="S174" i="1"/>
  <c r="CT174" i="1"/>
  <c r="FQ95" i="1"/>
  <c r="EH134" i="1"/>
  <c r="W123" i="1"/>
  <c r="AB118" i="1"/>
  <c r="CZ106" i="1"/>
  <c r="Y106" i="1" s="1"/>
  <c r="CY106" i="1"/>
  <c r="X106" i="1" s="1"/>
  <c r="W97" i="1"/>
  <c r="AB60" i="1"/>
  <c r="P60" i="1"/>
  <c r="CP60" i="1" s="1"/>
  <c r="O60" i="1" s="1"/>
  <c r="CQ60" i="1"/>
  <c r="CP53" i="1"/>
  <c r="O53" i="1" s="1"/>
  <c r="GM53" i="1" s="1"/>
  <c r="GN53" i="1" s="1"/>
  <c r="U48" i="1"/>
  <c r="CW69" i="3"/>
  <c r="CX69" i="3"/>
  <c r="CW34" i="3"/>
  <c r="CX34" i="3"/>
  <c r="P256" i="1"/>
  <c r="CP256" i="1" s="1"/>
  <c r="O256" i="1" s="1"/>
  <c r="AB256" i="1"/>
  <c r="U254" i="1"/>
  <c r="CP249" i="1"/>
  <c r="O249" i="1" s="1"/>
  <c r="W237" i="1"/>
  <c r="CS230" i="1"/>
  <c r="CR230" i="1"/>
  <c r="U224" i="1"/>
  <c r="P184" i="1"/>
  <c r="CP184" i="1" s="1"/>
  <c r="O184" i="1" s="1"/>
  <c r="CQ184" i="1"/>
  <c r="CR177" i="1"/>
  <c r="CT176" i="1"/>
  <c r="S176" i="1"/>
  <c r="CP130" i="1"/>
  <c r="O130" i="1" s="1"/>
  <c r="GM130" i="1" s="1"/>
  <c r="GO130" i="1" s="1"/>
  <c r="T128" i="1"/>
  <c r="DY134" i="1" s="1"/>
  <c r="P116" i="1"/>
  <c r="GX114" i="1"/>
  <c r="Q114" i="1"/>
  <c r="V114" i="1"/>
  <c r="EH26" i="1"/>
  <c r="P72" i="1"/>
  <c r="CV165" i="3"/>
  <c r="DI109" i="3"/>
  <c r="DF109" i="3"/>
  <c r="DJ109" i="3" s="1"/>
  <c r="DG109" i="3"/>
  <c r="DH109" i="3"/>
  <c r="DI79" i="3"/>
  <c r="DJ79" i="3" s="1"/>
  <c r="DG79" i="3"/>
  <c r="DH79" i="3"/>
  <c r="DF79" i="3"/>
  <c r="DG76" i="3"/>
  <c r="DI76" i="3"/>
  <c r="DH76" i="3"/>
  <c r="DF76" i="3"/>
  <c r="DJ76" i="3" s="1"/>
  <c r="DG116" i="3"/>
  <c r="DI116" i="3"/>
  <c r="DH116" i="3"/>
  <c r="DF116" i="3"/>
  <c r="DJ116" i="3" s="1"/>
  <c r="DI94" i="3"/>
  <c r="DG94" i="3"/>
  <c r="DF94" i="3"/>
  <c r="DJ94" i="3" s="1"/>
  <c r="DH94" i="3"/>
  <c r="GX256" i="1"/>
  <c r="S254" i="1"/>
  <c r="CT249" i="1"/>
  <c r="S249" i="1"/>
  <c r="T244" i="1"/>
  <c r="GX240" i="1"/>
  <c r="AB230" i="1"/>
  <c r="P230" i="1"/>
  <c r="CP230" i="1" s="1"/>
  <c r="O230" i="1" s="1"/>
  <c r="GM230" i="1" s="1"/>
  <c r="GN230" i="1" s="1"/>
  <c r="BZ258" i="1"/>
  <c r="GC170" i="1"/>
  <c r="ET189" i="1"/>
  <c r="Q183" i="1"/>
  <c r="CZ182" i="1"/>
  <c r="Y182" i="1" s="1"/>
  <c r="CY182" i="1"/>
  <c r="X182" i="1" s="1"/>
  <c r="GM182" i="1" s="1"/>
  <c r="GN182" i="1" s="1"/>
  <c r="R177" i="1"/>
  <c r="GK177" i="1" s="1"/>
  <c r="GX175" i="1"/>
  <c r="W175" i="1"/>
  <c r="V173" i="1"/>
  <c r="CC189" i="1"/>
  <c r="AD128" i="1"/>
  <c r="AB128" i="1" s="1"/>
  <c r="CR128" i="1"/>
  <c r="CS127" i="1"/>
  <c r="CY124" i="1"/>
  <c r="X124" i="1" s="1"/>
  <c r="CZ124" i="1"/>
  <c r="Y124" i="1" s="1"/>
  <c r="CS115" i="1"/>
  <c r="R115" i="1"/>
  <c r="GK115" i="1" s="1"/>
  <c r="U114" i="1"/>
  <c r="CY111" i="1"/>
  <c r="X111" i="1" s="1"/>
  <c r="CZ111" i="1"/>
  <c r="Y111" i="1" s="1"/>
  <c r="S108" i="1"/>
  <c r="CQ101" i="1"/>
  <c r="P101" i="1"/>
  <c r="R97" i="1"/>
  <c r="AD97" i="1"/>
  <c r="AB97" i="1" s="1"/>
  <c r="CQ54" i="1"/>
  <c r="P54" i="1"/>
  <c r="CP54" i="1" s="1"/>
  <c r="O54" i="1" s="1"/>
  <c r="GM54" i="1" s="1"/>
  <c r="GN54" i="1" s="1"/>
  <c r="AD40" i="1"/>
  <c r="AB40" i="1" s="1"/>
  <c r="R40" i="1"/>
  <c r="GK40" i="1" s="1"/>
  <c r="CS40" i="1"/>
  <c r="CR40" i="1"/>
  <c r="AD36" i="1"/>
  <c r="CR36" i="1"/>
  <c r="CS36" i="1"/>
  <c r="Q36" i="1"/>
  <c r="R36" i="1"/>
  <c r="GK36" i="1" s="1"/>
  <c r="FV63" i="1"/>
  <c r="CT33" i="1"/>
  <c r="S33" i="1"/>
  <c r="V28" i="1"/>
  <c r="CX82" i="3"/>
  <c r="CW82" i="3"/>
  <c r="CX32" i="3"/>
  <c r="CW32" i="3"/>
  <c r="DF30" i="3"/>
  <c r="DH30" i="3"/>
  <c r="DI30" i="3"/>
  <c r="DG30" i="3"/>
  <c r="DJ30" i="3" s="1"/>
  <c r="CV15" i="3"/>
  <c r="CX15" i="3"/>
  <c r="CX50" i="3"/>
  <c r="CW51" i="3"/>
  <c r="CX51" i="3"/>
  <c r="CW50" i="3"/>
  <c r="Q50" i="1"/>
  <c r="R50" i="1"/>
  <c r="GK50" i="1" s="1"/>
  <c r="S50" i="1"/>
  <c r="R48" i="1"/>
  <c r="GK48" i="1" s="1"/>
  <c r="AD48" i="1"/>
  <c r="AB48" i="1" s="1"/>
  <c r="CS48" i="1"/>
  <c r="CU25" i="3"/>
  <c r="S45" i="1"/>
  <c r="CV25" i="3"/>
  <c r="Q45" i="1"/>
  <c r="CX25" i="3"/>
  <c r="V45" i="1"/>
  <c r="P45" i="1"/>
  <c r="CX28" i="3"/>
  <c r="CY42" i="1"/>
  <c r="X42" i="1" s="1"/>
  <c r="CZ42" i="1"/>
  <c r="Y42" i="1" s="1"/>
  <c r="DH195" i="3"/>
  <c r="DF195" i="3"/>
  <c r="DJ195" i="3" s="1"/>
  <c r="DG195" i="3"/>
  <c r="DI195" i="3"/>
  <c r="DH122" i="3"/>
  <c r="DI122" i="3"/>
  <c r="DG122" i="3"/>
  <c r="DF122" i="3"/>
  <c r="DJ122" i="3" s="1"/>
  <c r="CR242" i="1"/>
  <c r="CS242" i="1"/>
  <c r="Q242" i="1"/>
  <c r="CP242" i="1" s="1"/>
  <c r="O242" i="1" s="1"/>
  <c r="P234" i="1"/>
  <c r="P232" i="1"/>
  <c r="CP232" i="1" s="1"/>
  <c r="O232" i="1" s="1"/>
  <c r="GM232" i="1" s="1"/>
  <c r="GN232" i="1" s="1"/>
  <c r="AD229" i="1"/>
  <c r="AB229" i="1" s="1"/>
  <c r="R229" i="1"/>
  <c r="GK229" i="1" s="1"/>
  <c r="AB228" i="1"/>
  <c r="Q225" i="1"/>
  <c r="CP225" i="1" s="1"/>
  <c r="O225" i="1" s="1"/>
  <c r="GM225" i="1" s="1"/>
  <c r="GN225" i="1" s="1"/>
  <c r="T224" i="1"/>
  <c r="AB185" i="1"/>
  <c r="Q181" i="1"/>
  <c r="AB132" i="1"/>
  <c r="CQ132" i="1"/>
  <c r="AB127" i="1"/>
  <c r="CP119" i="1"/>
  <c r="O119" i="1" s="1"/>
  <c r="GM119" i="1" s="1"/>
  <c r="GO119" i="1" s="1"/>
  <c r="AD114" i="1"/>
  <c r="AB114" i="1" s="1"/>
  <c r="CR114" i="1"/>
  <c r="S97" i="1"/>
  <c r="CK26" i="1"/>
  <c r="BB63" i="1"/>
  <c r="AD53" i="1"/>
  <c r="AB53" i="1" s="1"/>
  <c r="CS53" i="1"/>
  <c r="Q53" i="1"/>
  <c r="CR53" i="1"/>
  <c r="P48" i="1"/>
  <c r="CP48" i="1" s="1"/>
  <c r="O48" i="1" s="1"/>
  <c r="FU63" i="1"/>
  <c r="DI126" i="3"/>
  <c r="DH126" i="3"/>
  <c r="DF126" i="3"/>
  <c r="DJ126" i="3" s="1"/>
  <c r="AD116" i="1"/>
  <c r="AB116" i="1" s="1"/>
  <c r="Q116" i="1"/>
  <c r="CR116" i="1"/>
  <c r="CS116" i="1"/>
  <c r="CQ111" i="1"/>
  <c r="P111" i="1"/>
  <c r="CP111" i="1" s="1"/>
  <c r="O111" i="1" s="1"/>
  <c r="AB111" i="1"/>
  <c r="CQ110" i="1"/>
  <c r="BX26" i="1"/>
  <c r="AO63" i="1"/>
  <c r="CG63" i="1"/>
  <c r="CS61" i="1"/>
  <c r="R61" i="1"/>
  <c r="GK61" i="1" s="1"/>
  <c r="GM61" i="1" s="1"/>
  <c r="GN61" i="1" s="1"/>
  <c r="CR61" i="1"/>
  <c r="CS60" i="1"/>
  <c r="CR60" i="1"/>
  <c r="AD60" i="1"/>
  <c r="T50" i="1"/>
  <c r="CR48" i="1"/>
  <c r="AD46" i="1"/>
  <c r="AB46" i="1" s="1"/>
  <c r="R46" i="1"/>
  <c r="GK46" i="1" s="1"/>
  <c r="CS46" i="1"/>
  <c r="S44" i="1"/>
  <c r="CT44" i="1"/>
  <c r="S40" i="1"/>
  <c r="CT40" i="1"/>
  <c r="P39" i="1"/>
  <c r="CP39" i="1" s="1"/>
  <c r="O39" i="1" s="1"/>
  <c r="CQ39" i="1"/>
  <c r="W28" i="1"/>
  <c r="P28" i="1"/>
  <c r="AB28" i="1"/>
  <c r="CQ28" i="1"/>
  <c r="CX187" i="3"/>
  <c r="DG124" i="3"/>
  <c r="DJ124" i="3" s="1"/>
  <c r="DF124" i="3"/>
  <c r="DH124" i="3"/>
  <c r="CX113" i="3"/>
  <c r="CW113" i="3"/>
  <c r="CX91" i="3"/>
  <c r="CW91" i="3"/>
  <c r="DG180" i="3"/>
  <c r="DH180" i="3"/>
  <c r="DF180" i="3"/>
  <c r="DJ180" i="3" s="1"/>
  <c r="GX177" i="1"/>
  <c r="V126" i="1"/>
  <c r="EA134" i="1" s="1"/>
  <c r="CS110" i="1"/>
  <c r="AD110" i="1"/>
  <c r="AB110" i="1" s="1"/>
  <c r="Q110" i="1"/>
  <c r="CP110" i="1" s="1"/>
  <c r="O110" i="1" s="1"/>
  <c r="GM110" i="1" s="1"/>
  <c r="GO110" i="1" s="1"/>
  <c r="CQ49" i="1"/>
  <c r="P49" i="1"/>
  <c r="CP49" i="1" s="1"/>
  <c r="O49" i="1" s="1"/>
  <c r="GM49" i="1" s="1"/>
  <c r="GN49" i="1" s="1"/>
  <c r="CP47" i="1"/>
  <c r="O47" i="1" s="1"/>
  <c r="GM47" i="1" s="1"/>
  <c r="GN47" i="1" s="1"/>
  <c r="CS44" i="1"/>
  <c r="R44" i="1"/>
  <c r="GK44" i="1" s="1"/>
  <c r="CR44" i="1"/>
  <c r="AD33" i="1"/>
  <c r="CS33" i="1"/>
  <c r="Q33" i="1"/>
  <c r="DV63" i="1" s="1"/>
  <c r="S31" i="1"/>
  <c r="AB31" i="1"/>
  <c r="CT31" i="1"/>
  <c r="DF157" i="3"/>
  <c r="DJ157" i="3" s="1"/>
  <c r="DH157" i="3"/>
  <c r="DI157" i="3"/>
  <c r="DG157" i="3"/>
  <c r="DI88" i="3"/>
  <c r="DF88" i="3"/>
  <c r="DJ88" i="3" s="1"/>
  <c r="DG88" i="3"/>
  <c r="DH88" i="3"/>
  <c r="Q249" i="1"/>
  <c r="CX185" i="3"/>
  <c r="S246" i="1"/>
  <c r="R228" i="1"/>
  <c r="GK228" i="1" s="1"/>
  <c r="R227" i="1"/>
  <c r="GK227" i="1" s="1"/>
  <c r="FY189" i="1"/>
  <c r="CR187" i="1"/>
  <c r="I187" i="1"/>
  <c r="Q185" i="1"/>
  <c r="CP185" i="1" s="1"/>
  <c r="O185" i="1" s="1"/>
  <c r="Q178" i="1"/>
  <c r="CP178" i="1" s="1"/>
  <c r="O178" i="1" s="1"/>
  <c r="P173" i="1"/>
  <c r="CQ173" i="1"/>
  <c r="AB172" i="1"/>
  <c r="P172" i="1"/>
  <c r="R131" i="1"/>
  <c r="GK131" i="1" s="1"/>
  <c r="CS131" i="1"/>
  <c r="CS130" i="1"/>
  <c r="CP129" i="1"/>
  <c r="O129" i="1" s="1"/>
  <c r="W126" i="1"/>
  <c r="CR125" i="1"/>
  <c r="CP117" i="1"/>
  <c r="O117" i="1" s="1"/>
  <c r="CS101" i="1"/>
  <c r="AD101" i="1"/>
  <c r="AB101" i="1" s="1"/>
  <c r="Q101" i="1"/>
  <c r="CT100" i="1"/>
  <c r="S100" i="1"/>
  <c r="CP100" i="1" s="1"/>
  <c r="O100" i="1" s="1"/>
  <c r="AB100" i="1"/>
  <c r="AB58" i="1"/>
  <c r="P58" i="1"/>
  <c r="CQ58" i="1"/>
  <c r="W48" i="1"/>
  <c r="CP42" i="1"/>
  <c r="O42" i="1" s="1"/>
  <c r="GM42" i="1" s="1"/>
  <c r="GN42" i="1" s="1"/>
  <c r="BZ63" i="1"/>
  <c r="P30" i="1"/>
  <c r="CQ30" i="1"/>
  <c r="AD29" i="1"/>
  <c r="AB29" i="1" s="1"/>
  <c r="R29" i="1"/>
  <c r="DG196" i="3"/>
  <c r="DF196" i="3"/>
  <c r="DJ196" i="3" s="1"/>
  <c r="DH196" i="3"/>
  <c r="DI196" i="3"/>
  <c r="DF193" i="3"/>
  <c r="DJ193" i="3" s="1"/>
  <c r="DI193" i="3"/>
  <c r="DI180" i="3"/>
  <c r="DH171" i="3"/>
  <c r="DF171" i="3"/>
  <c r="DJ171" i="3" s="1"/>
  <c r="DG171" i="3"/>
  <c r="CW152" i="3"/>
  <c r="CX152" i="3"/>
  <c r="CW142" i="3"/>
  <c r="CX142" i="3"/>
  <c r="CX67" i="3"/>
  <c r="CG189" i="1"/>
  <c r="CS132" i="1"/>
  <c r="R132" i="1"/>
  <c r="GK132" i="1" s="1"/>
  <c r="GX125" i="1"/>
  <c r="P125" i="1"/>
  <c r="CP125" i="1" s="1"/>
  <c r="O125" i="1" s="1"/>
  <c r="Q124" i="1"/>
  <c r="CQ108" i="1"/>
  <c r="P108" i="1"/>
  <c r="DI68" i="3"/>
  <c r="DJ68" i="3" s="1"/>
  <c r="DG68" i="3"/>
  <c r="DH68" i="3"/>
  <c r="DF68" i="3"/>
  <c r="R45" i="1"/>
  <c r="GK45" i="1" s="1"/>
  <c r="AD45" i="1"/>
  <c r="AB45" i="1" s="1"/>
  <c r="CX179" i="3"/>
  <c r="DF144" i="3"/>
  <c r="DJ144" i="3" s="1"/>
  <c r="DI144" i="3"/>
  <c r="CX141" i="3"/>
  <c r="CW141" i="3"/>
  <c r="DH107" i="3"/>
  <c r="DI107" i="3"/>
  <c r="DG107" i="3"/>
  <c r="CX90" i="3"/>
  <c r="CV90" i="3"/>
  <c r="DG74" i="3"/>
  <c r="DF74" i="3"/>
  <c r="DJ74" i="3" s="1"/>
  <c r="DI74" i="3"/>
  <c r="DH74" i="3"/>
  <c r="CW41" i="3"/>
  <c r="CX41" i="3"/>
  <c r="CR132" i="1"/>
  <c r="R113" i="1"/>
  <c r="GK113" i="1" s="1"/>
  <c r="AD113" i="1"/>
  <c r="AB113" i="1" s="1"/>
  <c r="R107" i="1"/>
  <c r="GK107" i="1" s="1"/>
  <c r="Q107" i="1"/>
  <c r="CP107" i="1" s="1"/>
  <c r="O107" i="1" s="1"/>
  <c r="AB61" i="1"/>
  <c r="S60" i="1"/>
  <c r="CT60" i="1"/>
  <c r="CR45" i="1"/>
  <c r="CY35" i="1"/>
  <c r="X35" i="1" s="1"/>
  <c r="GM35" i="1" s="1"/>
  <c r="GN35" i="1" s="1"/>
  <c r="CZ35" i="1"/>
  <c r="Y35" i="1" s="1"/>
  <c r="CU15" i="3"/>
  <c r="Q34" i="1"/>
  <c r="V34" i="1"/>
  <c r="Q32" i="1"/>
  <c r="CP32" i="1" s="1"/>
  <c r="O32" i="1" s="1"/>
  <c r="S32" i="1"/>
  <c r="U29" i="1"/>
  <c r="DG192" i="3"/>
  <c r="DH192" i="3"/>
  <c r="DI192" i="3"/>
  <c r="CX150" i="3"/>
  <c r="CV150" i="3"/>
  <c r="DH144" i="3"/>
  <c r="DH42" i="3"/>
  <c r="DI42" i="3"/>
  <c r="DJ42" i="3" s="1"/>
  <c r="R51" i="1"/>
  <c r="GK51" i="1" s="1"/>
  <c r="GM51" i="1" s="1"/>
  <c r="GN51" i="1" s="1"/>
  <c r="CS51" i="1"/>
  <c r="U50" i="1"/>
  <c r="U45" i="1"/>
  <c r="Q43" i="1"/>
  <c r="CP43" i="1" s="1"/>
  <c r="O43" i="1" s="1"/>
  <c r="R43" i="1"/>
  <c r="GK43" i="1" s="1"/>
  <c r="Q40" i="1"/>
  <c r="U40" i="1"/>
  <c r="AB38" i="1"/>
  <c r="CU19" i="3"/>
  <c r="U37" i="1"/>
  <c r="Q37" i="1"/>
  <c r="R37" i="1"/>
  <c r="GK37" i="1" s="1"/>
  <c r="FR63" i="1"/>
  <c r="T29" i="1"/>
  <c r="DG136" i="3"/>
  <c r="DJ136" i="3" s="1"/>
  <c r="DF136" i="3"/>
  <c r="DH132" i="3"/>
  <c r="DI132" i="3"/>
  <c r="DG132" i="3"/>
  <c r="DJ132" i="3" s="1"/>
  <c r="DF132" i="3"/>
  <c r="CX86" i="3"/>
  <c r="DF72" i="3"/>
  <c r="DJ72" i="3" s="1"/>
  <c r="DG72" i="3"/>
  <c r="DI72" i="3"/>
  <c r="DH72" i="3"/>
  <c r="CX62" i="3"/>
  <c r="CW8" i="3"/>
  <c r="Q58" i="1"/>
  <c r="CR58" i="1"/>
  <c r="CS58" i="1"/>
  <c r="AD56" i="1"/>
  <c r="CS56" i="1"/>
  <c r="Q56" i="1"/>
  <c r="AD51" i="1"/>
  <c r="AB51" i="1" s="1"/>
  <c r="CU29" i="3"/>
  <c r="W46" i="1"/>
  <c r="T43" i="1"/>
  <c r="CY39" i="1"/>
  <c r="X39" i="1" s="1"/>
  <c r="CZ39" i="1"/>
  <c r="Y39" i="1" s="1"/>
  <c r="CX8" i="3"/>
  <c r="CU7" i="3"/>
  <c r="CW10" i="3"/>
  <c r="Q31" i="1"/>
  <c r="P31" i="1"/>
  <c r="S29" i="1"/>
  <c r="DF205" i="3"/>
  <c r="DJ205" i="3" s="1"/>
  <c r="DH205" i="3"/>
  <c r="DI205" i="3"/>
  <c r="DG205" i="3"/>
  <c r="DI199" i="3"/>
  <c r="DG199" i="3"/>
  <c r="DH199" i="3"/>
  <c r="DI177" i="3"/>
  <c r="DH177" i="3"/>
  <c r="CX173" i="3"/>
  <c r="CX166" i="3"/>
  <c r="DH155" i="3"/>
  <c r="DF155" i="3"/>
  <c r="DJ155" i="3" s="1"/>
  <c r="DG155" i="3"/>
  <c r="DI155" i="3"/>
  <c r="CW93" i="3"/>
  <c r="CX93" i="3"/>
  <c r="CX31" i="3"/>
  <c r="R247" i="1"/>
  <c r="GK247" i="1" s="1"/>
  <c r="S236" i="1"/>
  <c r="P114" i="1"/>
  <c r="CP114" i="1" s="1"/>
  <c r="O114" i="1" s="1"/>
  <c r="AB112" i="1"/>
  <c r="P112" i="1"/>
  <c r="CP112" i="1" s="1"/>
  <c r="O112" i="1" s="1"/>
  <c r="CP106" i="1"/>
  <c r="O106" i="1" s="1"/>
  <c r="GM106" i="1" s="1"/>
  <c r="GO106" i="1" s="1"/>
  <c r="CU90" i="3"/>
  <c r="CX100" i="3"/>
  <c r="CX99" i="3"/>
  <c r="CX96" i="3"/>
  <c r="CU79" i="3"/>
  <c r="CX87" i="3"/>
  <c r="CX80" i="3"/>
  <c r="CX89" i="3"/>
  <c r="CX84" i="3"/>
  <c r="EV63" i="1"/>
  <c r="GE26" i="1"/>
  <c r="T61" i="1"/>
  <c r="CS59" i="1"/>
  <c r="AD59" i="1"/>
  <c r="AB59" i="1" s="1"/>
  <c r="CR56" i="1"/>
  <c r="CP52" i="1"/>
  <c r="O52" i="1" s="1"/>
  <c r="GM52" i="1" s="1"/>
  <c r="GN52" i="1" s="1"/>
  <c r="CR51" i="1"/>
  <c r="V50" i="1"/>
  <c r="V43" i="1"/>
  <c r="CY41" i="1"/>
  <c r="X41" i="1" s="1"/>
  <c r="CZ41" i="1"/>
  <c r="Y41" i="1" s="1"/>
  <c r="CD63" i="1"/>
  <c r="P33" i="1"/>
  <c r="AB33" i="1"/>
  <c r="CQ33" i="1"/>
  <c r="CU3" i="3"/>
  <c r="CV3" i="3"/>
  <c r="CX4" i="3"/>
  <c r="CW6" i="3"/>
  <c r="CW4" i="3"/>
  <c r="T30" i="1"/>
  <c r="CX6" i="3"/>
  <c r="V29" i="1"/>
  <c r="EA63" i="1" s="1"/>
  <c r="DG206" i="3"/>
  <c r="DH206" i="3"/>
  <c r="DF206" i="3"/>
  <c r="DJ206" i="3" s="1"/>
  <c r="DI206" i="3"/>
  <c r="DF176" i="3"/>
  <c r="DJ176" i="3" s="1"/>
  <c r="DI145" i="3"/>
  <c r="DF145" i="3"/>
  <c r="DJ145" i="3" s="1"/>
  <c r="DG145" i="3"/>
  <c r="DF123" i="3"/>
  <c r="DH123" i="3"/>
  <c r="DG123" i="3"/>
  <c r="DF78" i="3"/>
  <c r="DJ78" i="3" s="1"/>
  <c r="DG78" i="3"/>
  <c r="DH78" i="3"/>
  <c r="DF73" i="3"/>
  <c r="DJ73" i="3" s="1"/>
  <c r="DH73" i="3"/>
  <c r="DG73" i="3"/>
  <c r="DI73" i="3"/>
  <c r="CX19" i="3"/>
  <c r="AD99" i="1"/>
  <c r="AB99" i="1" s="1"/>
  <c r="CS99" i="1"/>
  <c r="CQ98" i="1"/>
  <c r="T97" i="1"/>
  <c r="CT61" i="1"/>
  <c r="CX23" i="3"/>
  <c r="CU21" i="3"/>
  <c r="CW23" i="3"/>
  <c r="CW24" i="3"/>
  <c r="CX24" i="3"/>
  <c r="P37" i="1"/>
  <c r="CT29" i="1"/>
  <c r="DG177" i="3"/>
  <c r="DI136" i="3"/>
  <c r="DH133" i="3"/>
  <c r="DI133" i="3"/>
  <c r="DH55" i="3"/>
  <c r="DI55" i="3"/>
  <c r="DG55" i="3"/>
  <c r="DJ55" i="3" s="1"/>
  <c r="CV52" i="3"/>
  <c r="CX52" i="3"/>
  <c r="CV19" i="3"/>
  <c r="CW9" i="3"/>
  <c r="CX9" i="3"/>
  <c r="AB50" i="1"/>
  <c r="P50" i="1"/>
  <c r="P46" i="1"/>
  <c r="CP46" i="1" s="1"/>
  <c r="O46" i="1" s="1"/>
  <c r="Q41" i="1"/>
  <c r="S30" i="1"/>
  <c r="DH200" i="3"/>
  <c r="DI200" i="3"/>
  <c r="DI189" i="3"/>
  <c r="DG189" i="3"/>
  <c r="DH189" i="3"/>
  <c r="DF189" i="3"/>
  <c r="DJ189" i="3" s="1"/>
  <c r="DF138" i="3"/>
  <c r="DJ138" i="3" s="1"/>
  <c r="DH138" i="3"/>
  <c r="DF114" i="3"/>
  <c r="DI114" i="3"/>
  <c r="DH114" i="3"/>
  <c r="DF35" i="3"/>
  <c r="DG35" i="3"/>
  <c r="DJ35" i="3" s="1"/>
  <c r="DI35" i="3"/>
  <c r="DH35" i="3"/>
  <c r="CV29" i="3"/>
  <c r="CX29" i="3"/>
  <c r="CX21" i="3"/>
  <c r="CX11" i="3"/>
  <c r="CV11" i="3"/>
  <c r="DI182" i="3"/>
  <c r="DF182" i="3"/>
  <c r="DJ182" i="3" s="1"/>
  <c r="DG182" i="3"/>
  <c r="DH182" i="3"/>
  <c r="CW162" i="3"/>
  <c r="CX163" i="3"/>
  <c r="CU161" i="3"/>
  <c r="CX162" i="3"/>
  <c r="Q172" i="1"/>
  <c r="CV161" i="3"/>
  <c r="CR105" i="1"/>
  <c r="CX70" i="3"/>
  <c r="CW70" i="3"/>
  <c r="CX71" i="3"/>
  <c r="CW71" i="3"/>
  <c r="CX77" i="3"/>
  <c r="CU68" i="3"/>
  <c r="CT57" i="1"/>
  <c r="CS55" i="1"/>
  <c r="CQ53" i="1"/>
  <c r="CS49" i="1"/>
  <c r="CQ46" i="1"/>
  <c r="Q42" i="1"/>
  <c r="T42" i="1"/>
  <c r="Q39" i="1"/>
  <c r="R39" i="1"/>
  <c r="GK39" i="1" s="1"/>
  <c r="CR39" i="1"/>
  <c r="CR38" i="1"/>
  <c r="T34" i="1"/>
  <c r="CT30" i="1"/>
  <c r="DG201" i="3"/>
  <c r="DH201" i="3"/>
  <c r="DF201" i="3"/>
  <c r="DJ201" i="3" s="1"/>
  <c r="DH190" i="3"/>
  <c r="DI190" i="3"/>
  <c r="DG148" i="3"/>
  <c r="DH148" i="3"/>
  <c r="DG134" i="3"/>
  <c r="DH134" i="3"/>
  <c r="CX81" i="3"/>
  <c r="CW81" i="3"/>
  <c r="CW30" i="3"/>
  <c r="FV134" i="1"/>
  <c r="CR49" i="1"/>
  <c r="V48" i="1"/>
  <c r="CX18" i="3"/>
  <c r="CU17" i="3"/>
  <c r="P34" i="1"/>
  <c r="T28" i="1"/>
  <c r="CW163" i="3"/>
  <c r="DG143" i="3"/>
  <c r="DI143" i="3"/>
  <c r="DI138" i="3"/>
  <c r="DH135" i="3"/>
  <c r="DI135" i="3"/>
  <c r="DJ135" i="3" s="1"/>
  <c r="DG135" i="3"/>
  <c r="DI16" i="3"/>
  <c r="DJ16" i="3" s="1"/>
  <c r="DH16" i="3"/>
  <c r="CX7" i="3"/>
  <c r="CV7" i="3"/>
  <c r="CX165" i="3"/>
  <c r="DI112" i="3"/>
  <c r="DJ112" i="3" s="1"/>
  <c r="DH112" i="3"/>
  <c r="DF112" i="3"/>
  <c r="DG112" i="3"/>
  <c r="CW22" i="3"/>
  <c r="CX22" i="3"/>
  <c r="CW12" i="3"/>
  <c r="CX44" i="3"/>
  <c r="CX45" i="3"/>
  <c r="P40" i="1"/>
  <c r="U34" i="1"/>
  <c r="DI202" i="3"/>
  <c r="DG202" i="3"/>
  <c r="DH202" i="3"/>
  <c r="CV197" i="3"/>
  <c r="CX197" i="3"/>
  <c r="CX167" i="3"/>
  <c r="CW167" i="3"/>
  <c r="DG129" i="3"/>
  <c r="DF129" i="3"/>
  <c r="DJ129" i="3" s="1"/>
  <c r="DH129" i="3"/>
  <c r="DI121" i="3"/>
  <c r="DF121" i="3"/>
  <c r="DJ121" i="3" s="1"/>
  <c r="DG121" i="3"/>
  <c r="DH121" i="3"/>
  <c r="DG104" i="3"/>
  <c r="DJ104" i="3" s="1"/>
  <c r="DH104" i="3"/>
  <c r="CX95" i="3"/>
  <c r="CU42" i="3"/>
  <c r="CW31" i="3"/>
  <c r="CW28" i="3"/>
  <c r="CW20" i="3"/>
  <c r="CX20" i="3"/>
  <c r="DH140" i="3"/>
  <c r="DF140" i="3"/>
  <c r="DG140" i="3"/>
  <c r="DJ140" i="3" s="1"/>
  <c r="DG139" i="3"/>
  <c r="DH139" i="3"/>
  <c r="DF118" i="3"/>
  <c r="DJ118" i="3" s="1"/>
  <c r="DI118" i="3"/>
  <c r="DI108" i="3"/>
  <c r="DF108" i="3"/>
  <c r="DJ108" i="3" s="1"/>
  <c r="CX83" i="3"/>
  <c r="CV68" i="3"/>
  <c r="DH56" i="3"/>
  <c r="DI56" i="3"/>
  <c r="DF56" i="3"/>
  <c r="DG56" i="3"/>
  <c r="DJ56" i="3" s="1"/>
  <c r="CW36" i="3"/>
  <c r="CX36" i="3"/>
  <c r="CX3" i="3"/>
  <c r="CX2" i="3"/>
  <c r="R32" i="1"/>
  <c r="GK32" i="1" s="1"/>
  <c r="CX172" i="3"/>
  <c r="DI131" i="3"/>
  <c r="DJ131" i="3" s="1"/>
  <c r="DF131" i="3"/>
  <c r="DG131" i="3"/>
  <c r="DI103" i="3"/>
  <c r="DH103" i="3"/>
  <c r="CX85" i="3"/>
  <c r="CU52" i="3"/>
  <c r="CX53" i="3"/>
  <c r="AB47" i="1"/>
  <c r="CS32" i="1"/>
  <c r="DH203" i="3"/>
  <c r="DG203" i="3"/>
  <c r="DI203" i="3"/>
  <c r="CX174" i="3"/>
  <c r="DH125" i="3"/>
  <c r="DH115" i="3"/>
  <c r="DI115" i="3"/>
  <c r="DH110" i="3"/>
  <c r="DF110" i="3"/>
  <c r="DJ110" i="3" s="1"/>
  <c r="DG110" i="3"/>
  <c r="CR32" i="1"/>
  <c r="CX161" i="3"/>
  <c r="DI156" i="3"/>
  <c r="CX151" i="3"/>
  <c r="CW151" i="3"/>
  <c r="DI140" i="3"/>
  <c r="DG125" i="3"/>
  <c r="DH118" i="3"/>
  <c r="DH108" i="3"/>
  <c r="DG103" i="3"/>
  <c r="DJ103" i="3" s="1"/>
  <c r="CX75" i="3"/>
  <c r="CX12" i="3"/>
  <c r="DF130" i="3"/>
  <c r="DJ130" i="3" s="1"/>
  <c r="DH130" i="3"/>
  <c r="CW56" i="3"/>
  <c r="CW46" i="3"/>
  <c r="CX46" i="3"/>
  <c r="CX27" i="3"/>
  <c r="CW27" i="3"/>
  <c r="AB44" i="1"/>
  <c r="CU13" i="3"/>
  <c r="CX13" i="3"/>
  <c r="CX14" i="3"/>
  <c r="CW153" i="3"/>
  <c r="CW80" i="3"/>
  <c r="CV47" i="3"/>
  <c r="CX47" i="3"/>
  <c r="CV37" i="3"/>
  <c r="CX37" i="3"/>
  <c r="DI130" i="3"/>
  <c r="CV127" i="3"/>
  <c r="CX127" i="3"/>
  <c r="DI111" i="3"/>
  <c r="DF106" i="3"/>
  <c r="DJ106" i="3" s="1"/>
  <c r="DG106" i="3"/>
  <c r="CW59" i="3"/>
  <c r="CX59" i="3"/>
  <c r="CV33" i="3"/>
  <c r="CX33" i="3"/>
  <c r="CV17" i="3"/>
  <c r="CX17" i="3"/>
  <c r="CW48" i="3"/>
  <c r="CX48" i="3"/>
  <c r="DF105" i="3"/>
  <c r="DJ105" i="3" s="1"/>
  <c r="DG105" i="3"/>
  <c r="CX97" i="3"/>
  <c r="CX10" i="3"/>
  <c r="CW60" i="3"/>
  <c r="CX60" i="3"/>
  <c r="CX43" i="3"/>
  <c r="CW43" i="3"/>
  <c r="CW38" i="3"/>
  <c r="CX38" i="3"/>
  <c r="CW49" i="3"/>
  <c r="CX49" i="3"/>
  <c r="CW102" i="3"/>
  <c r="CX102" i="3"/>
  <c r="CW45" i="3"/>
  <c r="CW44" i="3"/>
  <c r="CW14" i="3"/>
  <c r="CV13" i="3"/>
  <c r="P339" i="7" l="1"/>
  <c r="J214" i="7"/>
  <c r="J223" i="7"/>
  <c r="J197" i="7"/>
  <c r="P303" i="7"/>
  <c r="O339" i="7"/>
  <c r="P290" i="7"/>
  <c r="H232" i="7"/>
  <c r="P326" i="7"/>
  <c r="H313" i="7"/>
  <c r="P351" i="7"/>
  <c r="O242" i="7"/>
  <c r="J232" i="7"/>
  <c r="O223" i="7"/>
  <c r="J303" i="7"/>
  <c r="H223" i="7"/>
  <c r="O364" i="7"/>
  <c r="J313" i="7"/>
  <c r="O326" i="7"/>
  <c r="O290" i="7"/>
  <c r="P242" i="7"/>
  <c r="J245" i="7" s="1"/>
  <c r="O303" i="7"/>
  <c r="H364" i="7"/>
  <c r="H367" i="7"/>
  <c r="J290" i="7"/>
  <c r="O214" i="7"/>
  <c r="H242" i="7"/>
  <c r="H135" i="7"/>
  <c r="H197" i="7"/>
  <c r="P313" i="7"/>
  <c r="J339" i="7"/>
  <c r="J135" i="7"/>
  <c r="DZ170" i="1"/>
  <c r="DM189" i="1"/>
  <c r="AJ170" i="1"/>
  <c r="W189" i="1"/>
  <c r="AH221" i="1"/>
  <c r="U258" i="1"/>
  <c r="AH351" i="1"/>
  <c r="U380" i="1"/>
  <c r="DZ134" i="1"/>
  <c r="GB95" i="1"/>
  <c r="ES134" i="1"/>
  <c r="GB290" i="1"/>
  <c r="ES319" i="1"/>
  <c r="DX290" i="1"/>
  <c r="DK319" i="1"/>
  <c r="GM296" i="1"/>
  <c r="GN296" i="1" s="1"/>
  <c r="CJ95" i="1"/>
  <c r="BA134" i="1"/>
  <c r="GM244" i="1"/>
  <c r="GN244" i="1" s="1"/>
  <c r="AG290" i="1"/>
  <c r="T319" i="1"/>
  <c r="GM115" i="1"/>
  <c r="GO115" i="1" s="1"/>
  <c r="DY95" i="1"/>
  <c r="DL134" i="1"/>
  <c r="Q380" i="1"/>
  <c r="AD351" i="1"/>
  <c r="DV290" i="1"/>
  <c r="DI319" i="1"/>
  <c r="AG351" i="1"/>
  <c r="T380" i="1"/>
  <c r="DV26" i="1"/>
  <c r="DI63" i="1"/>
  <c r="EA95" i="1"/>
  <c r="DN134" i="1"/>
  <c r="GB258" i="1"/>
  <c r="AI95" i="1"/>
  <c r="V134" i="1"/>
  <c r="DG83" i="3"/>
  <c r="DF83" i="3"/>
  <c r="DJ83" i="3" s="1"/>
  <c r="DH83" i="3"/>
  <c r="DI83" i="3"/>
  <c r="CZ246" i="1"/>
  <c r="Y246" i="1" s="1"/>
  <c r="CY246" i="1"/>
  <c r="X246" i="1" s="1"/>
  <c r="F76" i="1"/>
  <c r="BB440" i="1"/>
  <c r="BB26" i="1"/>
  <c r="CC170" i="1"/>
  <c r="AT189" i="1"/>
  <c r="ET95" i="1"/>
  <c r="P147" i="1"/>
  <c r="CY132" i="1"/>
  <c r="X132" i="1" s="1"/>
  <c r="CZ132" i="1"/>
  <c r="Y132" i="1" s="1"/>
  <c r="BC351" i="1"/>
  <c r="F396" i="1"/>
  <c r="F262" i="1"/>
  <c r="AO221" i="1"/>
  <c r="AO410" i="1"/>
  <c r="DF47" i="3"/>
  <c r="DG47" i="3"/>
  <c r="DH47" i="3"/>
  <c r="DI47" i="3"/>
  <c r="DJ47" i="3" s="1"/>
  <c r="CY31" i="1"/>
  <c r="X31" i="1" s="1"/>
  <c r="CZ31" i="1"/>
  <c r="Y31" i="1" s="1"/>
  <c r="CP97" i="1"/>
  <c r="O97" i="1" s="1"/>
  <c r="AC134" i="1"/>
  <c r="AJ351" i="1"/>
  <c r="W380" i="1"/>
  <c r="GM183" i="1"/>
  <c r="GN183" i="1" s="1"/>
  <c r="DH380" i="1"/>
  <c r="FZ380" i="1"/>
  <c r="FW380" i="1"/>
  <c r="FX380" i="1"/>
  <c r="DU351" i="1"/>
  <c r="EL319" i="1"/>
  <c r="FU290" i="1"/>
  <c r="CY376" i="1"/>
  <c r="X376" i="1" s="1"/>
  <c r="CZ376" i="1"/>
  <c r="Y376" i="1" s="1"/>
  <c r="CP376" i="1"/>
  <c r="O376" i="1" s="1"/>
  <c r="CY357" i="1"/>
  <c r="X357" i="1" s="1"/>
  <c r="CZ357" i="1"/>
  <c r="Y357" i="1" s="1"/>
  <c r="EL221" i="1"/>
  <c r="P276" i="1"/>
  <c r="DG40" i="3"/>
  <c r="DJ40" i="3" s="1"/>
  <c r="DH40" i="3"/>
  <c r="DF40" i="3"/>
  <c r="DI40" i="3"/>
  <c r="DH163" i="3"/>
  <c r="DF163" i="3"/>
  <c r="DG163" i="3"/>
  <c r="DJ163" i="3" s="1"/>
  <c r="DI163" i="3"/>
  <c r="DX63" i="1"/>
  <c r="CY29" i="1"/>
  <c r="X29" i="1" s="1"/>
  <c r="CZ29" i="1"/>
  <c r="Y29" i="1" s="1"/>
  <c r="CY44" i="1"/>
  <c r="X44" i="1" s="1"/>
  <c r="CZ44" i="1"/>
  <c r="Y44" i="1" s="1"/>
  <c r="DI50" i="3"/>
  <c r="DF50" i="3"/>
  <c r="DG50" i="3"/>
  <c r="DJ50" i="3" s="1"/>
  <c r="DH50" i="3"/>
  <c r="EB189" i="1"/>
  <c r="DF58" i="3"/>
  <c r="DI58" i="3"/>
  <c r="DH58" i="3"/>
  <c r="DG58" i="3"/>
  <c r="DJ58" i="3" s="1"/>
  <c r="AG258" i="1"/>
  <c r="EU410" i="1"/>
  <c r="P335" i="1"/>
  <c r="EU290" i="1"/>
  <c r="EG410" i="1"/>
  <c r="EG221" i="1"/>
  <c r="P262" i="1"/>
  <c r="GM358" i="1"/>
  <c r="GN358" i="1" s="1"/>
  <c r="GM253" i="1"/>
  <c r="GN253" i="1" s="1"/>
  <c r="Q231" i="1"/>
  <c r="GX231" i="1"/>
  <c r="R231" i="1"/>
  <c r="GK231" i="1" s="1"/>
  <c r="S231" i="1"/>
  <c r="DL351" i="1"/>
  <c r="P401" i="1"/>
  <c r="CP33" i="1"/>
  <c r="O33" i="1" s="1"/>
  <c r="DG166" i="3"/>
  <c r="DJ166" i="3" s="1"/>
  <c r="DF166" i="3"/>
  <c r="DH166" i="3"/>
  <c r="DI166" i="3"/>
  <c r="DF86" i="3"/>
  <c r="DJ86" i="3" s="1"/>
  <c r="DI86" i="3"/>
  <c r="DG86" i="3"/>
  <c r="DH86" i="3"/>
  <c r="CP30" i="1"/>
  <c r="O30" i="1" s="1"/>
  <c r="DU189" i="1"/>
  <c r="CP173" i="1"/>
  <c r="O173" i="1" s="1"/>
  <c r="AO26" i="1"/>
  <c r="F67" i="1"/>
  <c r="AO440" i="1"/>
  <c r="CY33" i="1"/>
  <c r="X33" i="1" s="1"/>
  <c r="CZ33" i="1"/>
  <c r="Y33" i="1" s="1"/>
  <c r="CZ249" i="1"/>
  <c r="Y249" i="1" s="1"/>
  <c r="GM249" i="1" s="1"/>
  <c r="GN249" i="1" s="1"/>
  <c r="CY249" i="1"/>
  <c r="X249" i="1" s="1"/>
  <c r="DG64" i="3"/>
  <c r="DH64" i="3"/>
  <c r="DI64" i="3"/>
  <c r="DF64" i="3"/>
  <c r="DJ64" i="3" s="1"/>
  <c r="V319" i="1"/>
  <c r="AI290" i="1"/>
  <c r="CY354" i="1"/>
  <c r="X354" i="1" s="1"/>
  <c r="EC380" i="1" s="1"/>
  <c r="CZ354" i="1"/>
  <c r="Y354" i="1" s="1"/>
  <c r="DX380" i="1"/>
  <c r="F399" i="1"/>
  <c r="AU351" i="1"/>
  <c r="DF175" i="3"/>
  <c r="DJ175" i="3" s="1"/>
  <c r="DI175" i="3"/>
  <c r="DG175" i="3"/>
  <c r="DH175" i="3"/>
  <c r="AP166" i="1"/>
  <c r="F419" i="1"/>
  <c r="AP440" i="1"/>
  <c r="DH53" i="3"/>
  <c r="DI53" i="3"/>
  <c r="DG53" i="3"/>
  <c r="DJ53" i="3" s="1"/>
  <c r="DF53" i="3"/>
  <c r="AU63" i="1"/>
  <c r="CD26" i="1"/>
  <c r="EV26" i="1"/>
  <c r="P88" i="1"/>
  <c r="EV440" i="1"/>
  <c r="DF173" i="3"/>
  <c r="DJ173" i="3" s="1"/>
  <c r="DI173" i="3"/>
  <c r="DH173" i="3"/>
  <c r="DG173" i="3"/>
  <c r="DF187" i="3"/>
  <c r="DJ187" i="3" s="1"/>
  <c r="DG187" i="3"/>
  <c r="DH187" i="3"/>
  <c r="DI187" i="3"/>
  <c r="DF66" i="3"/>
  <c r="DJ66" i="3" s="1"/>
  <c r="DH66" i="3"/>
  <c r="DI66" i="3"/>
  <c r="DG66" i="3"/>
  <c r="T179" i="1"/>
  <c r="DY189" i="1" s="1"/>
  <c r="P231" i="1"/>
  <c r="CP231" i="1" s="1"/>
  <c r="O231" i="1" s="1"/>
  <c r="CY37" i="1"/>
  <c r="X37" i="1" s="1"/>
  <c r="CZ37" i="1"/>
  <c r="Y37" i="1" s="1"/>
  <c r="W179" i="1"/>
  <c r="CJ290" i="1"/>
  <c r="BA319" i="1"/>
  <c r="AP351" i="1"/>
  <c r="F389" i="1"/>
  <c r="DM290" i="1"/>
  <c r="P341" i="1"/>
  <c r="AG134" i="1"/>
  <c r="DF150" i="3"/>
  <c r="DH150" i="3"/>
  <c r="DI150" i="3"/>
  <c r="DJ150" i="3" s="1"/>
  <c r="DG150" i="3"/>
  <c r="CZ254" i="1"/>
  <c r="Y254" i="1" s="1"/>
  <c r="CY254" i="1"/>
  <c r="X254" i="1" s="1"/>
  <c r="DH34" i="3"/>
  <c r="DI34" i="3"/>
  <c r="DF34" i="3"/>
  <c r="DG34" i="3"/>
  <c r="DJ34" i="3" s="1"/>
  <c r="CY356" i="1"/>
  <c r="X356" i="1" s="1"/>
  <c r="CZ356" i="1"/>
  <c r="Y356" i="1" s="1"/>
  <c r="CP298" i="1"/>
  <c r="O298" i="1" s="1"/>
  <c r="CY237" i="1"/>
  <c r="X237" i="1" s="1"/>
  <c r="GM237" i="1" s="1"/>
  <c r="GN237" i="1" s="1"/>
  <c r="CZ237" i="1"/>
  <c r="Y237" i="1" s="1"/>
  <c r="AH63" i="1"/>
  <c r="CY59" i="1"/>
  <c r="X59" i="1" s="1"/>
  <c r="CZ59" i="1"/>
  <c r="Y59" i="1" s="1"/>
  <c r="V252" i="1"/>
  <c r="AJ290" i="1"/>
  <c r="W319" i="1"/>
  <c r="CC351" i="1"/>
  <c r="AT380" i="1"/>
  <c r="CY307" i="1"/>
  <c r="X307" i="1" s="1"/>
  <c r="CZ307" i="1"/>
  <c r="Y307" i="1" s="1"/>
  <c r="CY300" i="1"/>
  <c r="X300" i="1" s="1"/>
  <c r="GM300" i="1" s="1"/>
  <c r="GN300" i="1" s="1"/>
  <c r="CZ300" i="1"/>
  <c r="Y300" i="1" s="1"/>
  <c r="AX380" i="1"/>
  <c r="CG351" i="1"/>
  <c r="DG97" i="3"/>
  <c r="DH97" i="3"/>
  <c r="DI97" i="3"/>
  <c r="DF97" i="3"/>
  <c r="DJ97" i="3" s="1"/>
  <c r="CZ236" i="1"/>
  <c r="Y236" i="1" s="1"/>
  <c r="CY236" i="1"/>
  <c r="X236" i="1" s="1"/>
  <c r="CP59" i="1"/>
  <c r="O59" i="1" s="1"/>
  <c r="GM59" i="1" s="1"/>
  <c r="GN59" i="1" s="1"/>
  <c r="GM185" i="1"/>
  <c r="GN185" i="1" s="1"/>
  <c r="EM63" i="1"/>
  <c r="FV26" i="1"/>
  <c r="DF57" i="3"/>
  <c r="DH57" i="3"/>
  <c r="DI57" i="3"/>
  <c r="DJ57" i="3" s="1"/>
  <c r="DG57" i="3"/>
  <c r="Q186" i="1"/>
  <c r="S186" i="1"/>
  <c r="GX186" i="1"/>
  <c r="CJ189" i="1" s="1"/>
  <c r="V186" i="1"/>
  <c r="AI189" i="1" s="1"/>
  <c r="U186" i="1"/>
  <c r="AH189" i="1" s="1"/>
  <c r="T186" i="1"/>
  <c r="AG189" i="1" s="1"/>
  <c r="DF186" i="3"/>
  <c r="DJ186" i="3" s="1"/>
  <c r="DG186" i="3"/>
  <c r="DH186" i="3"/>
  <c r="DI186" i="3"/>
  <c r="T228" i="1"/>
  <c r="CP174" i="1"/>
  <c r="O174" i="1" s="1"/>
  <c r="CY38" i="1"/>
  <c r="X38" i="1" s="1"/>
  <c r="GM38" i="1" s="1"/>
  <c r="GN38" i="1" s="1"/>
  <c r="CZ38" i="1"/>
  <c r="Y38" i="1" s="1"/>
  <c r="CY306" i="1"/>
  <c r="X306" i="1" s="1"/>
  <c r="CZ306" i="1"/>
  <c r="Y306" i="1" s="1"/>
  <c r="DY290" i="1"/>
  <c r="DL319" i="1"/>
  <c r="BD166" i="1"/>
  <c r="F435" i="1"/>
  <c r="CI170" i="1"/>
  <c r="AZ189" i="1"/>
  <c r="CY28" i="1"/>
  <c r="X28" i="1" s="1"/>
  <c r="AF63" i="1"/>
  <c r="CZ28" i="1"/>
  <c r="Y28" i="1" s="1"/>
  <c r="CP305" i="1"/>
  <c r="O305" i="1" s="1"/>
  <c r="GM305" i="1" s="1"/>
  <c r="GN305" i="1" s="1"/>
  <c r="AE380" i="1"/>
  <c r="V228" i="1"/>
  <c r="AQ351" i="1"/>
  <c r="F390" i="1"/>
  <c r="DH102" i="3"/>
  <c r="DI102" i="3"/>
  <c r="DG102" i="3"/>
  <c r="DJ102" i="3" s="1"/>
  <c r="DF102" i="3"/>
  <c r="DF85" i="3"/>
  <c r="DJ85" i="3" s="1"/>
  <c r="DH85" i="3"/>
  <c r="DI85" i="3"/>
  <c r="DG85" i="3"/>
  <c r="DI165" i="3"/>
  <c r="DJ165" i="3" s="1"/>
  <c r="DF165" i="3"/>
  <c r="DG165" i="3"/>
  <c r="DH165" i="3"/>
  <c r="AG63" i="1"/>
  <c r="CP50" i="1"/>
  <c r="O50" i="1" s="1"/>
  <c r="DG80" i="3"/>
  <c r="DJ80" i="3" s="1"/>
  <c r="DH80" i="3"/>
  <c r="DF80" i="3"/>
  <c r="DI80" i="3"/>
  <c r="DG8" i="3"/>
  <c r="DJ8" i="3" s="1"/>
  <c r="DH8" i="3"/>
  <c r="DF8" i="3"/>
  <c r="DI8" i="3"/>
  <c r="Q187" i="1"/>
  <c r="R187" i="1"/>
  <c r="GK187" i="1" s="1"/>
  <c r="S187" i="1"/>
  <c r="P187" i="1"/>
  <c r="T187" i="1"/>
  <c r="AC63" i="1"/>
  <c r="CP28" i="1"/>
  <c r="O28" i="1" s="1"/>
  <c r="GM242" i="1"/>
  <c r="GN242" i="1" s="1"/>
  <c r="P186" i="1"/>
  <c r="DI69" i="3"/>
  <c r="DF69" i="3"/>
  <c r="DG69" i="3"/>
  <c r="DJ69" i="3" s="1"/>
  <c r="DH69" i="3"/>
  <c r="P198" i="1"/>
  <c r="EH170" i="1"/>
  <c r="EH410" i="1"/>
  <c r="DF65" i="3"/>
  <c r="DJ65" i="3" s="1"/>
  <c r="DG65" i="3"/>
  <c r="DI65" i="3"/>
  <c r="DH65" i="3"/>
  <c r="CY125" i="1"/>
  <c r="X125" i="1" s="1"/>
  <c r="GM125" i="1" s="1"/>
  <c r="GO125" i="1" s="1"/>
  <c r="CZ125" i="1"/>
  <c r="Y125" i="1" s="1"/>
  <c r="CY184" i="1"/>
  <c r="X184" i="1" s="1"/>
  <c r="GM184" i="1" s="1"/>
  <c r="GN184" i="1" s="1"/>
  <c r="CZ184" i="1"/>
  <c r="Y184" i="1" s="1"/>
  <c r="FR95" i="1"/>
  <c r="GA134" i="1"/>
  <c r="EI134" i="1"/>
  <c r="CY374" i="1"/>
  <c r="X374" i="1" s="1"/>
  <c r="CZ374" i="1"/>
  <c r="Y374" i="1" s="1"/>
  <c r="CP374" i="1"/>
  <c r="O374" i="1" s="1"/>
  <c r="CY175" i="1"/>
  <c r="X175" i="1" s="1"/>
  <c r="CZ175" i="1"/>
  <c r="Y175" i="1" s="1"/>
  <c r="Q255" i="1"/>
  <c r="P255" i="1"/>
  <c r="R255" i="1"/>
  <c r="GK255" i="1" s="1"/>
  <c r="S255" i="1"/>
  <c r="CY109" i="1"/>
  <c r="X109" i="1" s="1"/>
  <c r="GM109" i="1" s="1"/>
  <c r="GO109" i="1" s="1"/>
  <c r="CZ109" i="1"/>
  <c r="Y109" i="1" s="1"/>
  <c r="FR221" i="1"/>
  <c r="GA258" i="1"/>
  <c r="EI258" i="1"/>
  <c r="DU319" i="1"/>
  <c r="CP295" i="1"/>
  <c r="O295" i="1" s="1"/>
  <c r="DF26" i="3"/>
  <c r="DI26" i="3"/>
  <c r="DG26" i="3"/>
  <c r="DJ26" i="3" s="1"/>
  <c r="DH26" i="3"/>
  <c r="AD63" i="1"/>
  <c r="GM224" i="1"/>
  <c r="BZ290" i="1"/>
  <c r="AQ319" i="1"/>
  <c r="CG319" i="1"/>
  <c r="CI319" i="1"/>
  <c r="CP356" i="1"/>
  <c r="O356" i="1" s="1"/>
  <c r="F145" i="1"/>
  <c r="AZ95" i="1"/>
  <c r="CP254" i="1"/>
  <c r="O254" i="1" s="1"/>
  <c r="GM254" i="1" s="1"/>
  <c r="GN254" i="1" s="1"/>
  <c r="CD290" i="1"/>
  <c r="AU319" i="1"/>
  <c r="CP307" i="1"/>
  <c r="O307" i="1" s="1"/>
  <c r="GM307" i="1" s="1"/>
  <c r="GN307" i="1" s="1"/>
  <c r="CP175" i="1"/>
  <c r="O175" i="1" s="1"/>
  <c r="CY312" i="1"/>
  <c r="X312" i="1" s="1"/>
  <c r="GM312" i="1" s="1"/>
  <c r="GN312" i="1" s="1"/>
  <c r="CZ312" i="1"/>
  <c r="Y312" i="1" s="1"/>
  <c r="DF162" i="3"/>
  <c r="DG162" i="3"/>
  <c r="DJ162" i="3" s="1"/>
  <c r="DH162" i="3"/>
  <c r="DI162" i="3"/>
  <c r="DG52" i="3"/>
  <c r="DF52" i="3"/>
  <c r="DH52" i="3"/>
  <c r="DI52" i="3"/>
  <c r="DJ52" i="3" s="1"/>
  <c r="DG100" i="3"/>
  <c r="DI100" i="3"/>
  <c r="DH100" i="3"/>
  <c r="DF100" i="3"/>
  <c r="DJ100" i="3" s="1"/>
  <c r="GK29" i="1"/>
  <c r="DW63" i="1"/>
  <c r="CP172" i="1"/>
  <c r="O172" i="1" s="1"/>
  <c r="AC189" i="1"/>
  <c r="DG113" i="3"/>
  <c r="DJ113" i="3" s="1"/>
  <c r="DH113" i="3"/>
  <c r="DF113" i="3"/>
  <c r="DI113" i="3"/>
  <c r="DY258" i="1"/>
  <c r="DG25" i="3"/>
  <c r="DF25" i="3"/>
  <c r="DH25" i="3"/>
  <c r="DI25" i="3"/>
  <c r="DJ25" i="3" s="1"/>
  <c r="CZ108" i="1"/>
  <c r="Y108" i="1" s="1"/>
  <c r="CY108" i="1"/>
  <c r="X108" i="1" s="1"/>
  <c r="P248" i="1"/>
  <c r="S248" i="1"/>
  <c r="W248" i="1"/>
  <c r="Q248" i="1"/>
  <c r="R248" i="1"/>
  <c r="GK248" i="1" s="1"/>
  <c r="CY228" i="1"/>
  <c r="X228" i="1" s="1"/>
  <c r="CZ228" i="1"/>
  <c r="Y228" i="1" s="1"/>
  <c r="CY243" i="1"/>
  <c r="X243" i="1" s="1"/>
  <c r="CZ243" i="1"/>
  <c r="Y243" i="1" s="1"/>
  <c r="CY240" i="1"/>
  <c r="X240" i="1" s="1"/>
  <c r="CZ240" i="1"/>
  <c r="Y240" i="1" s="1"/>
  <c r="GM353" i="1"/>
  <c r="AB380" i="1"/>
  <c r="FY221" i="1"/>
  <c r="EP258" i="1"/>
  <c r="EI290" i="1"/>
  <c r="P329" i="1"/>
  <c r="DF33" i="3"/>
  <c r="DH33" i="3"/>
  <c r="DI33" i="3"/>
  <c r="DJ33" i="3" s="1"/>
  <c r="DG33" i="3"/>
  <c r="DF22" i="3"/>
  <c r="DG22" i="3"/>
  <c r="DJ22" i="3" s="1"/>
  <c r="DH22" i="3"/>
  <c r="DI22" i="3"/>
  <c r="CP108" i="1"/>
  <c r="O108" i="1" s="1"/>
  <c r="GM108" i="1" s="1"/>
  <c r="GO108" i="1" s="1"/>
  <c r="DF185" i="3"/>
  <c r="DJ185" i="3" s="1"/>
  <c r="DG185" i="3"/>
  <c r="DH185" i="3"/>
  <c r="DI185" i="3"/>
  <c r="DG82" i="3"/>
  <c r="DJ82" i="3" s="1"/>
  <c r="DF82" i="3"/>
  <c r="DI82" i="3"/>
  <c r="DH82" i="3"/>
  <c r="GM60" i="1"/>
  <c r="GN60" i="1" s="1"/>
  <c r="AE170" i="1"/>
  <c r="R189" i="1"/>
  <c r="CZ311" i="1"/>
  <c r="Y311" i="1" s="1"/>
  <c r="CY311" i="1"/>
  <c r="X311" i="1" s="1"/>
  <c r="CZ298" i="1"/>
  <c r="Y298" i="1" s="1"/>
  <c r="CY298" i="1"/>
  <c r="X298" i="1" s="1"/>
  <c r="F202" i="1"/>
  <c r="BB170" i="1"/>
  <c r="BB410" i="1"/>
  <c r="CG221" i="1"/>
  <c r="AX258" i="1"/>
  <c r="CY371" i="1"/>
  <c r="X371" i="1" s="1"/>
  <c r="CZ371" i="1"/>
  <c r="Y371" i="1" s="1"/>
  <c r="GM371" i="1" s="1"/>
  <c r="GN371" i="1" s="1"/>
  <c r="CY366" i="1"/>
  <c r="X366" i="1" s="1"/>
  <c r="CZ366" i="1"/>
  <c r="Y366" i="1" s="1"/>
  <c r="GM366" i="1" s="1"/>
  <c r="GN366" i="1" s="1"/>
  <c r="EM189" i="1"/>
  <c r="FV170" i="1"/>
  <c r="P342" i="1"/>
  <c r="DN290" i="1"/>
  <c r="DH43" i="3"/>
  <c r="DF43" i="3"/>
  <c r="DG43" i="3"/>
  <c r="DJ43" i="3" s="1"/>
  <c r="DI43" i="3"/>
  <c r="CY97" i="1"/>
  <c r="X97" i="1" s="1"/>
  <c r="CZ97" i="1"/>
  <c r="Y97" i="1" s="1"/>
  <c r="AF134" i="1"/>
  <c r="AI63" i="1"/>
  <c r="CY176" i="1"/>
  <c r="X176" i="1" s="1"/>
  <c r="CZ176" i="1"/>
  <c r="Y176" i="1" s="1"/>
  <c r="CP176" i="1"/>
  <c r="O176" i="1" s="1"/>
  <c r="GK173" i="1"/>
  <c r="P283" i="1"/>
  <c r="EV221" i="1"/>
  <c r="CZ173" i="1"/>
  <c r="Y173" i="1" s="1"/>
  <c r="CY173" i="1"/>
  <c r="X173" i="1" s="1"/>
  <c r="EM221" i="1"/>
  <c r="P277" i="1"/>
  <c r="CJ351" i="1"/>
  <c r="BA380" i="1"/>
  <c r="DG60" i="3"/>
  <c r="DJ60" i="3" s="1"/>
  <c r="DF60" i="3"/>
  <c r="DH60" i="3"/>
  <c r="DI60" i="3"/>
  <c r="DF2" i="3"/>
  <c r="DI2" i="3"/>
  <c r="DJ2" i="3" s="1"/>
  <c r="DG2" i="3"/>
  <c r="DH2" i="3"/>
  <c r="DI95" i="3"/>
  <c r="DH95" i="3"/>
  <c r="DF95" i="3"/>
  <c r="DJ95" i="3" s="1"/>
  <c r="DG95" i="3"/>
  <c r="DI23" i="3"/>
  <c r="DF23" i="3"/>
  <c r="DH23" i="3"/>
  <c r="DG23" i="3"/>
  <c r="DJ23" i="3" s="1"/>
  <c r="CZ315" i="1"/>
  <c r="Y315" i="1" s="1"/>
  <c r="CY315" i="1"/>
  <c r="X315" i="1" s="1"/>
  <c r="CY309" i="1"/>
  <c r="X309" i="1" s="1"/>
  <c r="CZ309" i="1"/>
  <c r="Y309" i="1" s="1"/>
  <c r="AU170" i="1"/>
  <c r="F208" i="1"/>
  <c r="AU410" i="1"/>
  <c r="DI39" i="3"/>
  <c r="DG39" i="3"/>
  <c r="DJ39" i="3" s="1"/>
  <c r="DF39" i="3"/>
  <c r="DH39" i="3"/>
  <c r="DF12" i="3"/>
  <c r="DI12" i="3"/>
  <c r="DG12" i="3"/>
  <c r="DJ12" i="3" s="1"/>
  <c r="DH12" i="3"/>
  <c r="DF77" i="3"/>
  <c r="DJ77" i="3" s="1"/>
  <c r="DI77" i="3"/>
  <c r="DG77" i="3"/>
  <c r="DH77" i="3"/>
  <c r="DF15" i="3"/>
  <c r="DH15" i="3"/>
  <c r="DI15" i="3"/>
  <c r="DJ15" i="3" s="1"/>
  <c r="DG15" i="3"/>
  <c r="EB26" i="1"/>
  <c r="DO63" i="1"/>
  <c r="S128" i="1"/>
  <c r="V380" i="1"/>
  <c r="AI351" i="1"/>
  <c r="CJ63" i="1"/>
  <c r="GM301" i="1"/>
  <c r="GN301" i="1" s="1"/>
  <c r="CC290" i="1"/>
  <c r="AT319" i="1"/>
  <c r="CY377" i="1"/>
  <c r="X377" i="1" s="1"/>
  <c r="CZ377" i="1"/>
  <c r="Y377" i="1" s="1"/>
  <c r="AE319" i="1"/>
  <c r="CP315" i="1"/>
  <c r="O315" i="1" s="1"/>
  <c r="EI351" i="1"/>
  <c r="P390" i="1"/>
  <c r="DH14" i="3"/>
  <c r="DI14" i="3"/>
  <c r="DG14" i="3"/>
  <c r="DJ14" i="3" s="1"/>
  <c r="DF14" i="3"/>
  <c r="DF75" i="3"/>
  <c r="DJ75" i="3" s="1"/>
  <c r="DH75" i="3"/>
  <c r="DI75" i="3"/>
  <c r="DG75" i="3"/>
  <c r="DG36" i="3"/>
  <c r="DJ36" i="3" s="1"/>
  <c r="DI36" i="3"/>
  <c r="DH36" i="3"/>
  <c r="DF36" i="3"/>
  <c r="EA26" i="1"/>
  <c r="DN63" i="1"/>
  <c r="DF84" i="3"/>
  <c r="DJ84" i="3" s="1"/>
  <c r="DG84" i="3"/>
  <c r="DH84" i="3"/>
  <c r="DI84" i="3"/>
  <c r="DH63" i="3"/>
  <c r="DI63" i="3"/>
  <c r="DG63" i="3"/>
  <c r="DF63" i="3"/>
  <c r="DJ63" i="3" s="1"/>
  <c r="CC26" i="1"/>
  <c r="AT63" i="1"/>
  <c r="CZ229" i="1"/>
  <c r="Y229" i="1" s="1"/>
  <c r="CY229" i="1"/>
  <c r="X229" i="1" s="1"/>
  <c r="CP240" i="1"/>
  <c r="O240" i="1" s="1"/>
  <c r="GM240" i="1" s="1"/>
  <c r="GN240" i="1" s="1"/>
  <c r="CY358" i="1"/>
  <c r="X358" i="1" s="1"/>
  <c r="CZ358" i="1"/>
  <c r="Y358" i="1" s="1"/>
  <c r="ES380" i="1"/>
  <c r="GB351" i="1"/>
  <c r="GM310" i="1"/>
  <c r="GN310" i="1" s="1"/>
  <c r="CY123" i="1"/>
  <c r="X123" i="1" s="1"/>
  <c r="CZ123" i="1"/>
  <c r="Y123" i="1" s="1"/>
  <c r="GM123" i="1" s="1"/>
  <c r="GO123" i="1" s="1"/>
  <c r="GX248" i="1"/>
  <c r="FU351" i="1"/>
  <c r="EL380" i="1"/>
  <c r="DF13" i="3"/>
  <c r="DG13" i="3"/>
  <c r="DH13" i="3"/>
  <c r="DI13" i="3"/>
  <c r="DJ13" i="3" s="1"/>
  <c r="DG71" i="3"/>
  <c r="DJ71" i="3" s="1"/>
  <c r="DH71" i="3"/>
  <c r="DI71" i="3"/>
  <c r="DF71" i="3"/>
  <c r="GM46" i="1"/>
  <c r="GN46" i="1" s="1"/>
  <c r="DF6" i="3"/>
  <c r="DG6" i="3"/>
  <c r="DJ6" i="3" s="1"/>
  <c r="DH6" i="3"/>
  <c r="DI6" i="3"/>
  <c r="DH89" i="3"/>
  <c r="DI89" i="3"/>
  <c r="DF89" i="3"/>
  <c r="DJ89" i="3" s="1"/>
  <c r="DG89" i="3"/>
  <c r="DH179" i="3"/>
  <c r="DI179" i="3"/>
  <c r="DG179" i="3"/>
  <c r="DF179" i="3"/>
  <c r="DJ179" i="3" s="1"/>
  <c r="GM48" i="1"/>
  <c r="GN48" i="1" s="1"/>
  <c r="CP234" i="1"/>
  <c r="O234" i="1" s="1"/>
  <c r="GM234" i="1" s="1"/>
  <c r="GN234" i="1" s="1"/>
  <c r="CD95" i="1"/>
  <c r="AU134" i="1"/>
  <c r="CY305" i="1"/>
  <c r="X305" i="1" s="1"/>
  <c r="CZ305" i="1"/>
  <c r="Y305" i="1" s="1"/>
  <c r="F150" i="1"/>
  <c r="BC95" i="1"/>
  <c r="Q127" i="1"/>
  <c r="S127" i="1"/>
  <c r="P127" i="1"/>
  <c r="CP127" i="1" s="1"/>
  <c r="O127" i="1" s="1"/>
  <c r="W127" i="1"/>
  <c r="P239" i="1"/>
  <c r="Q239" i="1"/>
  <c r="AD258" i="1" s="1"/>
  <c r="CP306" i="1"/>
  <c r="O306" i="1" s="1"/>
  <c r="W252" i="1"/>
  <c r="CP313" i="1"/>
  <c r="O313" i="1" s="1"/>
  <c r="AU221" i="1"/>
  <c r="F277" i="1"/>
  <c r="DM351" i="1"/>
  <c r="P402" i="1"/>
  <c r="DH127" i="3"/>
  <c r="DF127" i="3"/>
  <c r="DI127" i="3"/>
  <c r="DJ127" i="3" s="1"/>
  <c r="DG127" i="3"/>
  <c r="CP34" i="1"/>
  <c r="O34" i="1" s="1"/>
  <c r="GM34" i="1" s="1"/>
  <c r="GN34" i="1" s="1"/>
  <c r="DI70" i="3"/>
  <c r="DG70" i="3"/>
  <c r="DJ70" i="3" s="1"/>
  <c r="DH70" i="3"/>
  <c r="DF70" i="3"/>
  <c r="DI87" i="3"/>
  <c r="DG87" i="3"/>
  <c r="DH87" i="3"/>
  <c r="DF87" i="3"/>
  <c r="DJ87" i="3" s="1"/>
  <c r="DF31" i="3"/>
  <c r="DI31" i="3"/>
  <c r="DH31" i="3"/>
  <c r="DG31" i="3"/>
  <c r="DJ31" i="3" s="1"/>
  <c r="CY60" i="1"/>
  <c r="X60" i="1" s="1"/>
  <c r="CZ60" i="1"/>
  <c r="Y60" i="1" s="1"/>
  <c r="CG170" i="1"/>
  <c r="AX189" i="1"/>
  <c r="CP58" i="1"/>
  <c r="O58" i="1" s="1"/>
  <c r="GM58" i="1" s="1"/>
  <c r="GN58" i="1" s="1"/>
  <c r="GM129" i="1"/>
  <c r="GO129" i="1" s="1"/>
  <c r="AJ63" i="1"/>
  <c r="GM111" i="1"/>
  <c r="GO111" i="1" s="1"/>
  <c r="CY50" i="1"/>
  <c r="X50" i="1" s="1"/>
  <c r="CZ50" i="1"/>
  <c r="Y50" i="1" s="1"/>
  <c r="AE134" i="1"/>
  <c r="GK97" i="1"/>
  <c r="R127" i="1"/>
  <c r="GK127" i="1" s="1"/>
  <c r="P202" i="1"/>
  <c r="ET170" i="1"/>
  <c r="ET410" i="1"/>
  <c r="ET440" i="1" s="1"/>
  <c r="ER189" i="1"/>
  <c r="GA170" i="1"/>
  <c r="BD95" i="1"/>
  <c r="F159" i="1"/>
  <c r="DI54" i="3"/>
  <c r="DH54" i="3"/>
  <c r="DG54" i="3"/>
  <c r="DJ54" i="3" s="1"/>
  <c r="DF54" i="3"/>
  <c r="AD319" i="1"/>
  <c r="CP294" i="1"/>
  <c r="O294" i="1" s="1"/>
  <c r="DH178" i="3"/>
  <c r="DI178" i="3"/>
  <c r="DF178" i="3"/>
  <c r="DJ178" i="3" s="1"/>
  <c r="DG178" i="3"/>
  <c r="V248" i="1"/>
  <c r="CC221" i="1"/>
  <c r="AT258" i="1"/>
  <c r="Q236" i="1"/>
  <c r="R236" i="1"/>
  <c r="GK236" i="1" s="1"/>
  <c r="T236" i="1"/>
  <c r="W236" i="1"/>
  <c r="EB258" i="1" s="1"/>
  <c r="P236" i="1"/>
  <c r="CP236" i="1" s="1"/>
  <c r="O236" i="1" s="1"/>
  <c r="AC319" i="1"/>
  <c r="CP357" i="1"/>
  <c r="O357" i="1" s="1"/>
  <c r="GM357" i="1" s="1"/>
  <c r="GN357" i="1" s="1"/>
  <c r="EL170" i="1"/>
  <c r="P207" i="1"/>
  <c r="AQ170" i="1"/>
  <c r="F199" i="1"/>
  <c r="CY245" i="1"/>
  <c r="X245" i="1" s="1"/>
  <c r="GM245" i="1" s="1"/>
  <c r="GN245" i="1" s="1"/>
  <c r="CZ245" i="1"/>
  <c r="Y245" i="1" s="1"/>
  <c r="EV290" i="1"/>
  <c r="P344" i="1"/>
  <c r="CZ256" i="1"/>
  <c r="Y256" i="1" s="1"/>
  <c r="CY256" i="1"/>
  <c r="X256" i="1" s="1"/>
  <c r="GM256" i="1" s="1"/>
  <c r="GN256" i="1" s="1"/>
  <c r="ET351" i="1"/>
  <c r="P393" i="1"/>
  <c r="CY308" i="1"/>
  <c r="X308" i="1" s="1"/>
  <c r="GM308" i="1" s="1"/>
  <c r="GN308" i="1" s="1"/>
  <c r="CZ308" i="1"/>
  <c r="Y308" i="1" s="1"/>
  <c r="P384" i="1"/>
  <c r="EG351" i="1"/>
  <c r="EA351" i="1"/>
  <c r="DN380" i="1"/>
  <c r="DG152" i="3"/>
  <c r="DJ152" i="3" s="1"/>
  <c r="DH152" i="3"/>
  <c r="DI152" i="3"/>
  <c r="DF152" i="3"/>
  <c r="DG51" i="3"/>
  <c r="DJ51" i="3" s="1"/>
  <c r="DH51" i="3"/>
  <c r="DI51" i="3"/>
  <c r="DF51" i="3"/>
  <c r="DG172" i="3"/>
  <c r="DI172" i="3"/>
  <c r="DH172" i="3"/>
  <c r="DF172" i="3"/>
  <c r="DJ172" i="3" s="1"/>
  <c r="CP98" i="1"/>
  <c r="O98" i="1" s="1"/>
  <c r="DF188" i="3"/>
  <c r="DJ188" i="3" s="1"/>
  <c r="DG188" i="3"/>
  <c r="DH188" i="3"/>
  <c r="DI188" i="3"/>
  <c r="CZ316" i="1"/>
  <c r="Y316" i="1" s="1"/>
  <c r="CY316" i="1"/>
  <c r="X316" i="1" s="1"/>
  <c r="GM316" i="1" s="1"/>
  <c r="GN316" i="1" s="1"/>
  <c r="AX63" i="1"/>
  <c r="CG26" i="1"/>
  <c r="DF92" i="3"/>
  <c r="DH92" i="3"/>
  <c r="DI92" i="3"/>
  <c r="DG92" i="3"/>
  <c r="DJ92" i="3" s="1"/>
  <c r="DT380" i="1"/>
  <c r="CZ45" i="1"/>
  <c r="Y45" i="1" s="1"/>
  <c r="CY45" i="1"/>
  <c r="X45" i="1" s="1"/>
  <c r="AJ134" i="1"/>
  <c r="AE63" i="1"/>
  <c r="GK28" i="1"/>
  <c r="AZ380" i="1"/>
  <c r="CI351" i="1"/>
  <c r="DI3" i="3"/>
  <c r="DJ3" i="3" s="1"/>
  <c r="DG3" i="3"/>
  <c r="DF3" i="3"/>
  <c r="DH3" i="3"/>
  <c r="DF81" i="3"/>
  <c r="DG81" i="3"/>
  <c r="DJ81" i="3" s="1"/>
  <c r="DI81" i="3"/>
  <c r="DH81" i="3"/>
  <c r="S252" i="1"/>
  <c r="Q252" i="1"/>
  <c r="P252" i="1"/>
  <c r="CJ258" i="1"/>
  <c r="GM113" i="1"/>
  <c r="GO113" i="1" s="1"/>
  <c r="DG48" i="3"/>
  <c r="DJ48" i="3" s="1"/>
  <c r="DH48" i="3"/>
  <c r="DI48" i="3"/>
  <c r="DF48" i="3"/>
  <c r="DF7" i="3"/>
  <c r="DG7" i="3"/>
  <c r="DI7" i="3"/>
  <c r="DJ7" i="3" s="1"/>
  <c r="DH7" i="3"/>
  <c r="DF11" i="3"/>
  <c r="DG11" i="3"/>
  <c r="DI11" i="3"/>
  <c r="DJ11" i="3" s="1"/>
  <c r="DH11" i="3"/>
  <c r="DH9" i="3"/>
  <c r="DI9" i="3"/>
  <c r="DF9" i="3"/>
  <c r="DG9" i="3"/>
  <c r="DJ9" i="3" s="1"/>
  <c r="DG93" i="3"/>
  <c r="DJ93" i="3" s="1"/>
  <c r="DH93" i="3"/>
  <c r="DI93" i="3"/>
  <c r="DF93" i="3"/>
  <c r="DZ63" i="1"/>
  <c r="DG67" i="3"/>
  <c r="DF67" i="3"/>
  <c r="DJ67" i="3" s="1"/>
  <c r="DH67" i="3"/>
  <c r="DI67" i="3"/>
  <c r="EP189" i="1"/>
  <c r="FY170" i="1"/>
  <c r="GX179" i="1"/>
  <c r="GB189" i="1" s="1"/>
  <c r="DG28" i="3"/>
  <c r="DJ28" i="3" s="1"/>
  <c r="DH28" i="3"/>
  <c r="DF28" i="3"/>
  <c r="DI28" i="3"/>
  <c r="CP101" i="1"/>
  <c r="O101" i="1" s="1"/>
  <c r="GM101" i="1" s="1"/>
  <c r="GO101" i="1" s="1"/>
  <c r="CP44" i="1"/>
  <c r="O44" i="1" s="1"/>
  <c r="CP132" i="1"/>
  <c r="O132" i="1" s="1"/>
  <c r="CP226" i="1"/>
  <c r="O226" i="1" s="1"/>
  <c r="GM226" i="1" s="1"/>
  <c r="GN226" i="1" s="1"/>
  <c r="DF61" i="3"/>
  <c r="DJ61" i="3" s="1"/>
  <c r="DH61" i="3"/>
  <c r="DI61" i="3"/>
  <c r="DG61" i="3"/>
  <c r="GM131" i="1"/>
  <c r="GN131" i="1" s="1"/>
  <c r="CB134" i="1" s="1"/>
  <c r="CY114" i="1"/>
  <c r="X114" i="1" s="1"/>
  <c r="GM114" i="1" s="1"/>
  <c r="GO114" i="1" s="1"/>
  <c r="CZ114" i="1"/>
  <c r="Y114" i="1" s="1"/>
  <c r="V231" i="1"/>
  <c r="AI258" i="1" s="1"/>
  <c r="GM292" i="1"/>
  <c r="CZ244" i="1"/>
  <c r="Y244" i="1" s="1"/>
  <c r="CY244" i="1"/>
  <c r="X244" i="1" s="1"/>
  <c r="CZ117" i="1"/>
  <c r="Y117" i="1" s="1"/>
  <c r="CY117" i="1"/>
  <c r="X117" i="1" s="1"/>
  <c r="GM117" i="1" s="1"/>
  <c r="GO117" i="1" s="1"/>
  <c r="CZ234" i="1"/>
  <c r="Y234" i="1" s="1"/>
  <c r="CY234" i="1"/>
  <c r="X234" i="1" s="1"/>
  <c r="BC440" i="1"/>
  <c r="BD440" i="1"/>
  <c r="EC319" i="1"/>
  <c r="CZ115" i="1"/>
  <c r="Y115" i="1" s="1"/>
  <c r="CY115" i="1"/>
  <c r="X115" i="1" s="1"/>
  <c r="T252" i="1"/>
  <c r="CP359" i="1"/>
  <c r="O359" i="1" s="1"/>
  <c r="GM359" i="1" s="1"/>
  <c r="GN359" i="1" s="1"/>
  <c r="GM293" i="1"/>
  <c r="CP309" i="1"/>
  <c r="O309" i="1" s="1"/>
  <c r="F405" i="1"/>
  <c r="BD351" i="1"/>
  <c r="FV290" i="1"/>
  <c r="EM319" i="1"/>
  <c r="P389" i="1"/>
  <c r="EH351" i="1"/>
  <c r="BC410" i="1"/>
  <c r="AH290" i="1"/>
  <c r="U319" i="1"/>
  <c r="CY103" i="1"/>
  <c r="X103" i="1" s="1"/>
  <c r="GM103" i="1" s="1"/>
  <c r="GO103" i="1" s="1"/>
  <c r="CZ103" i="1"/>
  <c r="Y103" i="1" s="1"/>
  <c r="FY351" i="1"/>
  <c r="EP380" i="1"/>
  <c r="EH290" i="1"/>
  <c r="P328" i="1"/>
  <c r="DF151" i="3"/>
  <c r="DG151" i="3"/>
  <c r="DJ151" i="3" s="1"/>
  <c r="DH151" i="3"/>
  <c r="DI151" i="3"/>
  <c r="CZ40" i="1"/>
  <c r="Y40" i="1" s="1"/>
  <c r="CY40" i="1"/>
  <c r="X40" i="1" s="1"/>
  <c r="CP29" i="1"/>
  <c r="O29" i="1" s="1"/>
  <c r="DU63" i="1"/>
  <c r="FV95" i="1"/>
  <c r="EM134" i="1"/>
  <c r="CY174" i="1"/>
  <c r="X174" i="1" s="1"/>
  <c r="AF189" i="1"/>
  <c r="CZ174" i="1"/>
  <c r="Y174" i="1" s="1"/>
  <c r="V179" i="1"/>
  <c r="EA189" i="1" s="1"/>
  <c r="S179" i="1"/>
  <c r="Q179" i="1"/>
  <c r="DV189" i="1" s="1"/>
  <c r="R179" i="1"/>
  <c r="GK179" i="1" s="1"/>
  <c r="DH161" i="3"/>
  <c r="DI161" i="3"/>
  <c r="DJ161" i="3" s="1"/>
  <c r="DG161" i="3"/>
  <c r="DF161" i="3"/>
  <c r="CY233" i="1"/>
  <c r="X233" i="1" s="1"/>
  <c r="CZ233" i="1"/>
  <c r="Y233" i="1" s="1"/>
  <c r="DG59" i="3"/>
  <c r="DJ59" i="3" s="1"/>
  <c r="DF59" i="3"/>
  <c r="DH59" i="3"/>
  <c r="DI59" i="3"/>
  <c r="DH197" i="3"/>
  <c r="DI197" i="3"/>
  <c r="DJ197" i="3" s="1"/>
  <c r="DF197" i="3"/>
  <c r="DG197" i="3"/>
  <c r="CP31" i="1"/>
  <c r="O31" i="1" s="1"/>
  <c r="GM31" i="1" s="1"/>
  <c r="GN31" i="1" s="1"/>
  <c r="DF41" i="3"/>
  <c r="DH41" i="3"/>
  <c r="DG41" i="3"/>
  <c r="DJ41" i="3" s="1"/>
  <c r="DI41" i="3"/>
  <c r="GM177" i="1"/>
  <c r="GN177" i="1" s="1"/>
  <c r="GB26" i="1"/>
  <c r="ES63" i="1"/>
  <c r="AQ95" i="1"/>
  <c r="F144" i="1"/>
  <c r="Q128" i="1"/>
  <c r="DV134" i="1" s="1"/>
  <c r="P128" i="1"/>
  <c r="U128" i="1"/>
  <c r="R128" i="1"/>
  <c r="GK128" i="1" s="1"/>
  <c r="W128" i="1"/>
  <c r="EB134" i="1" s="1"/>
  <c r="CY294" i="1"/>
  <c r="X294" i="1" s="1"/>
  <c r="CZ294" i="1"/>
  <c r="Y294" i="1" s="1"/>
  <c r="AL319" i="1" s="1"/>
  <c r="AF319" i="1"/>
  <c r="CP299" i="1"/>
  <c r="O299" i="1" s="1"/>
  <c r="CG95" i="1"/>
  <c r="AX134" i="1"/>
  <c r="DF10" i="3"/>
  <c r="DG10" i="3"/>
  <c r="DJ10" i="3" s="1"/>
  <c r="DI10" i="3"/>
  <c r="DH10" i="3"/>
  <c r="EL63" i="1"/>
  <c r="FU26" i="1"/>
  <c r="CP56" i="1"/>
  <c r="O56" i="1" s="1"/>
  <c r="GM56" i="1" s="1"/>
  <c r="GN56" i="1" s="1"/>
  <c r="DG49" i="3"/>
  <c r="DJ49" i="3" s="1"/>
  <c r="DH49" i="3"/>
  <c r="DI49" i="3"/>
  <c r="DF49" i="3"/>
  <c r="CP40" i="1"/>
  <c r="O40" i="1" s="1"/>
  <c r="DH27" i="3"/>
  <c r="DF27" i="3"/>
  <c r="DI27" i="3"/>
  <c r="DG27" i="3"/>
  <c r="DJ27" i="3" s="1"/>
  <c r="DF174" i="3"/>
  <c r="DJ174" i="3" s="1"/>
  <c r="DG174" i="3"/>
  <c r="DH174" i="3"/>
  <c r="DI174" i="3"/>
  <c r="DG20" i="3"/>
  <c r="DJ20" i="3" s="1"/>
  <c r="DI20" i="3"/>
  <c r="DF20" i="3"/>
  <c r="DH20" i="3"/>
  <c r="DH45" i="3"/>
  <c r="DI45" i="3"/>
  <c r="DF45" i="3"/>
  <c r="DG45" i="3"/>
  <c r="DJ45" i="3" s="1"/>
  <c r="DI18" i="3"/>
  <c r="DG18" i="3"/>
  <c r="DJ18" i="3" s="1"/>
  <c r="DH18" i="3"/>
  <c r="DF18" i="3"/>
  <c r="DF21" i="3"/>
  <c r="DG21" i="3"/>
  <c r="DI21" i="3"/>
  <c r="DJ21" i="3" s="1"/>
  <c r="DH21" i="3"/>
  <c r="CP37" i="1"/>
  <c r="O37" i="1" s="1"/>
  <c r="GM37" i="1" s="1"/>
  <c r="GN37" i="1" s="1"/>
  <c r="DF19" i="3"/>
  <c r="DG19" i="3"/>
  <c r="DI19" i="3"/>
  <c r="DJ19" i="3" s="1"/>
  <c r="DH19" i="3"/>
  <c r="DG4" i="3"/>
  <c r="DJ4" i="3" s="1"/>
  <c r="DH4" i="3"/>
  <c r="DF4" i="3"/>
  <c r="DI4" i="3"/>
  <c r="DH96" i="3"/>
  <c r="DI96" i="3"/>
  <c r="DF96" i="3"/>
  <c r="DJ96" i="3" s="1"/>
  <c r="DG96" i="3"/>
  <c r="DI62" i="3"/>
  <c r="DG62" i="3"/>
  <c r="DH62" i="3"/>
  <c r="DF62" i="3"/>
  <c r="DJ62" i="3" s="1"/>
  <c r="DY63" i="1"/>
  <c r="CY32" i="1"/>
  <c r="X32" i="1" s="1"/>
  <c r="GM32" i="1" s="1"/>
  <c r="GN32" i="1" s="1"/>
  <c r="CZ32" i="1"/>
  <c r="Y32" i="1" s="1"/>
  <c r="GM107" i="1"/>
  <c r="GO107" i="1" s="1"/>
  <c r="DF90" i="3"/>
  <c r="DG90" i="3"/>
  <c r="DH90" i="3"/>
  <c r="DI90" i="3"/>
  <c r="DJ90" i="3" s="1"/>
  <c r="DH142" i="3"/>
  <c r="DG142" i="3"/>
  <c r="DJ142" i="3" s="1"/>
  <c r="DI142" i="3"/>
  <c r="DF142" i="3"/>
  <c r="DG91" i="3"/>
  <c r="DJ91" i="3" s="1"/>
  <c r="DH91" i="3"/>
  <c r="DI91" i="3"/>
  <c r="DF91" i="3"/>
  <c r="GM39" i="1"/>
  <c r="GN39" i="1" s="1"/>
  <c r="CP45" i="1"/>
  <c r="O45" i="1" s="1"/>
  <c r="AQ258" i="1"/>
  <c r="CI258" i="1"/>
  <c r="BZ221" i="1"/>
  <c r="P143" i="1"/>
  <c r="EH95" i="1"/>
  <c r="EH440" i="1"/>
  <c r="CP104" i="1"/>
  <c r="O104" i="1" s="1"/>
  <c r="GM104" i="1" s="1"/>
  <c r="GO104" i="1" s="1"/>
  <c r="FY95" i="1"/>
  <c r="EP134" i="1"/>
  <c r="CP243" i="1"/>
  <c r="O243" i="1" s="1"/>
  <c r="GM243" i="1" s="1"/>
  <c r="GN243" i="1" s="1"/>
  <c r="CP233" i="1"/>
  <c r="O233" i="1" s="1"/>
  <c r="U127" i="1"/>
  <c r="CY177" i="1"/>
  <c r="X177" i="1" s="1"/>
  <c r="CZ177" i="1"/>
  <c r="Y177" i="1" s="1"/>
  <c r="EV410" i="1"/>
  <c r="CZ227" i="1"/>
  <c r="Y227" i="1" s="1"/>
  <c r="CY227" i="1"/>
  <c r="X227" i="1" s="1"/>
  <c r="CY102" i="1"/>
  <c r="X102" i="1" s="1"/>
  <c r="GM102" i="1" s="1"/>
  <c r="GO102" i="1" s="1"/>
  <c r="CZ102" i="1"/>
  <c r="Y102" i="1" s="1"/>
  <c r="CY369" i="1"/>
  <c r="X369" i="1" s="1"/>
  <c r="GM369" i="1" s="1"/>
  <c r="GN369" i="1" s="1"/>
  <c r="CZ369" i="1"/>
  <c r="Y369" i="1" s="1"/>
  <c r="GA351" i="1"/>
  <c r="ER380" i="1"/>
  <c r="GK223" i="1"/>
  <c r="GK354" i="1"/>
  <c r="DW380" i="1"/>
  <c r="CZ223" i="1"/>
  <c r="Y223" i="1" s="1"/>
  <c r="CY223" i="1"/>
  <c r="X223" i="1" s="1"/>
  <c r="GM223" i="1" s="1"/>
  <c r="W255" i="1"/>
  <c r="AJ258" i="1" s="1"/>
  <c r="CZ372" i="1"/>
  <c r="Y372" i="1" s="1"/>
  <c r="CY372" i="1"/>
  <c r="X372" i="1" s="1"/>
  <c r="GM372" i="1" s="1"/>
  <c r="GN372" i="1" s="1"/>
  <c r="CP229" i="1"/>
  <c r="O229" i="1" s="1"/>
  <c r="CY48" i="1"/>
  <c r="X48" i="1" s="1"/>
  <c r="CZ48" i="1"/>
  <c r="Y48" i="1" s="1"/>
  <c r="CZ178" i="1"/>
  <c r="Y178" i="1" s="1"/>
  <c r="CY178" i="1"/>
  <c r="X178" i="1" s="1"/>
  <c r="GM178" i="1" s="1"/>
  <c r="GN178" i="1" s="1"/>
  <c r="CP246" i="1"/>
  <c r="O246" i="1" s="1"/>
  <c r="DO380" i="1"/>
  <c r="EB351" i="1"/>
  <c r="P343" i="1"/>
  <c r="DO290" i="1"/>
  <c r="AD134" i="1"/>
  <c r="GK295" i="1"/>
  <c r="DW319" i="1"/>
  <c r="DF168" i="3"/>
  <c r="DJ168" i="3" s="1"/>
  <c r="DG168" i="3"/>
  <c r="DI168" i="3"/>
  <c r="DH168" i="3"/>
  <c r="DG184" i="3"/>
  <c r="DF184" i="3"/>
  <c r="DJ184" i="3" s="1"/>
  <c r="DH184" i="3"/>
  <c r="DI184" i="3"/>
  <c r="CZ43" i="1"/>
  <c r="Y43" i="1" s="1"/>
  <c r="CY43" i="1"/>
  <c r="X43" i="1" s="1"/>
  <c r="GM43" i="1" s="1"/>
  <c r="GN43" i="1" s="1"/>
  <c r="CY353" i="1"/>
  <c r="X353" i="1" s="1"/>
  <c r="AF380" i="1"/>
  <c r="CZ353" i="1"/>
  <c r="Y353" i="1" s="1"/>
  <c r="DF167" i="3"/>
  <c r="DG167" i="3"/>
  <c r="DJ167" i="3" s="1"/>
  <c r="DH167" i="3"/>
  <c r="DI167" i="3"/>
  <c r="GM121" i="1"/>
  <c r="GO121" i="1" s="1"/>
  <c r="GM377" i="1"/>
  <c r="GN377" i="1" s="1"/>
  <c r="FV351" i="1"/>
  <c r="EM380" i="1"/>
  <c r="GM112" i="1"/>
  <c r="GO112" i="1" s="1"/>
  <c r="DF141" i="3"/>
  <c r="DI141" i="3"/>
  <c r="DH141" i="3"/>
  <c r="DG141" i="3"/>
  <c r="DJ141" i="3" s="1"/>
  <c r="CY299" i="1"/>
  <c r="X299" i="1" s="1"/>
  <c r="CZ299" i="1"/>
  <c r="Y299" i="1" s="1"/>
  <c r="ED319" i="1" s="1"/>
  <c r="CY30" i="1"/>
  <c r="X30" i="1" s="1"/>
  <c r="CZ30" i="1"/>
  <c r="Y30" i="1" s="1"/>
  <c r="CI63" i="1"/>
  <c r="BZ26" i="1"/>
  <c r="AQ63" i="1"/>
  <c r="DF38" i="3"/>
  <c r="DH38" i="3"/>
  <c r="DI38" i="3"/>
  <c r="DG38" i="3"/>
  <c r="DJ38" i="3" s="1"/>
  <c r="DH17" i="3"/>
  <c r="DI17" i="3"/>
  <c r="DJ17" i="3" s="1"/>
  <c r="DF17" i="3"/>
  <c r="DG17" i="3"/>
  <c r="DF37" i="3"/>
  <c r="DI37" i="3"/>
  <c r="DJ37" i="3" s="1"/>
  <c r="DH37" i="3"/>
  <c r="DG37" i="3"/>
  <c r="DF46" i="3"/>
  <c r="DG46" i="3"/>
  <c r="DJ46" i="3" s="1"/>
  <c r="DI46" i="3"/>
  <c r="DH46" i="3"/>
  <c r="DH44" i="3"/>
  <c r="DG44" i="3"/>
  <c r="DJ44" i="3" s="1"/>
  <c r="DI44" i="3"/>
  <c r="DF44" i="3"/>
  <c r="AD189" i="1"/>
  <c r="DG29" i="3"/>
  <c r="DH29" i="3"/>
  <c r="DF29" i="3"/>
  <c r="DI29" i="3"/>
  <c r="DJ29" i="3" s="1"/>
  <c r="DG24" i="3"/>
  <c r="DJ24" i="3" s="1"/>
  <c r="DH24" i="3"/>
  <c r="DF24" i="3"/>
  <c r="DI24" i="3"/>
  <c r="DF99" i="3"/>
  <c r="DJ99" i="3" s="1"/>
  <c r="DG99" i="3"/>
  <c r="DH99" i="3"/>
  <c r="DI99" i="3"/>
  <c r="FR26" i="1"/>
  <c r="EI63" i="1"/>
  <c r="FY63" i="1"/>
  <c r="GA63" i="1"/>
  <c r="CY100" i="1"/>
  <c r="X100" i="1" s="1"/>
  <c r="GM100" i="1" s="1"/>
  <c r="GO100" i="1" s="1"/>
  <c r="CZ100" i="1"/>
  <c r="Y100" i="1" s="1"/>
  <c r="DG32" i="3"/>
  <c r="DJ32" i="3" s="1"/>
  <c r="DH32" i="3"/>
  <c r="DI32" i="3"/>
  <c r="DF32" i="3"/>
  <c r="CP116" i="1"/>
  <c r="O116" i="1" s="1"/>
  <c r="GM116" i="1" s="1"/>
  <c r="GO116" i="1" s="1"/>
  <c r="AH134" i="1"/>
  <c r="DW134" i="1"/>
  <c r="GK98" i="1"/>
  <c r="P228" i="1"/>
  <c r="CP228" i="1" s="1"/>
  <c r="O228" i="1" s="1"/>
  <c r="GM228" i="1" s="1"/>
  <c r="GN228" i="1" s="1"/>
  <c r="Q228" i="1"/>
  <c r="U228" i="1"/>
  <c r="DZ258" i="1" s="1"/>
  <c r="CY239" i="1"/>
  <c r="X239" i="1" s="1"/>
  <c r="CZ239" i="1"/>
  <c r="Y239" i="1" s="1"/>
  <c r="GK224" i="1"/>
  <c r="CY313" i="1"/>
  <c r="X313" i="1" s="1"/>
  <c r="CZ313" i="1"/>
  <c r="Y313" i="1" s="1"/>
  <c r="CP227" i="1"/>
  <c r="O227" i="1" s="1"/>
  <c r="GM227" i="1" s="1"/>
  <c r="GN227" i="1" s="1"/>
  <c r="CY126" i="1"/>
  <c r="X126" i="1" s="1"/>
  <c r="GM126" i="1" s="1"/>
  <c r="GO126" i="1" s="1"/>
  <c r="CZ126" i="1"/>
  <c r="Y126" i="1" s="1"/>
  <c r="AC380" i="1"/>
  <c r="CZ296" i="1"/>
  <c r="Y296" i="1" s="1"/>
  <c r="CY296" i="1"/>
  <c r="X296" i="1" s="1"/>
  <c r="DV380" i="1"/>
  <c r="CZ112" i="1"/>
  <c r="Y112" i="1" s="1"/>
  <c r="CY112" i="1"/>
  <c r="X112" i="1" s="1"/>
  <c r="CP311" i="1"/>
  <c r="O311" i="1" s="1"/>
  <c r="U248" i="1"/>
  <c r="ER319" i="1"/>
  <c r="GA290" i="1"/>
  <c r="FY290" i="1"/>
  <c r="EP319" i="1"/>
  <c r="J367" i="7" l="1"/>
  <c r="H377" i="7"/>
  <c r="H381" i="7"/>
  <c r="H245" i="7"/>
  <c r="J381" i="7"/>
  <c r="J377" i="7"/>
  <c r="DQ319" i="1"/>
  <c r="ED290" i="1"/>
  <c r="EB221" i="1"/>
  <c r="DO258" i="1"/>
  <c r="ES189" i="1"/>
  <c r="GB170" i="1"/>
  <c r="EB95" i="1"/>
  <c r="DO134" i="1"/>
  <c r="W258" i="1"/>
  <c r="AJ221" i="1"/>
  <c r="GN223" i="1"/>
  <c r="DN189" i="1"/>
  <c r="EA170" i="1"/>
  <c r="AD221" i="1"/>
  <c r="Q258" i="1"/>
  <c r="AL290" i="1"/>
  <c r="Y319" i="1"/>
  <c r="DZ221" i="1"/>
  <c r="DM258" i="1"/>
  <c r="DI134" i="1"/>
  <c r="DV95" i="1"/>
  <c r="V258" i="1"/>
  <c r="AI221" i="1"/>
  <c r="ET22" i="1"/>
  <c r="P453" i="1"/>
  <c r="ET470" i="1"/>
  <c r="DI189" i="1"/>
  <c r="DV170" i="1"/>
  <c r="AE26" i="1"/>
  <c r="R63" i="1"/>
  <c r="AS134" i="1"/>
  <c r="CB95" i="1"/>
  <c r="EP221" i="1"/>
  <c r="P265" i="1"/>
  <c r="U134" i="1"/>
  <c r="AH95" i="1"/>
  <c r="AZ63" i="1"/>
  <c r="CI26" i="1"/>
  <c r="GN353" i="1"/>
  <c r="CB380" i="1" s="1"/>
  <c r="CA380" i="1"/>
  <c r="CZ179" i="1"/>
  <c r="Y179" i="1" s="1"/>
  <c r="ED189" i="1" s="1"/>
  <c r="CY179" i="1"/>
  <c r="X179" i="1" s="1"/>
  <c r="DY221" i="1"/>
  <c r="DL258" i="1"/>
  <c r="ES258" i="1"/>
  <c r="GB221" i="1"/>
  <c r="EP95" i="1"/>
  <c r="P141" i="1"/>
  <c r="AJ95" i="1"/>
  <c r="W134" i="1"/>
  <c r="BB22" i="1"/>
  <c r="F453" i="1"/>
  <c r="BB470" i="1"/>
  <c r="AF95" i="1"/>
  <c r="S134" i="1"/>
  <c r="DY26" i="1"/>
  <c r="DL63" i="1"/>
  <c r="P75" i="1"/>
  <c r="DI26" i="1"/>
  <c r="F403" i="1"/>
  <c r="V351" i="1"/>
  <c r="EM95" i="1"/>
  <c r="P153" i="1"/>
  <c r="CP179" i="1"/>
  <c r="O179" i="1" s="1"/>
  <c r="GM179" i="1" s="1"/>
  <c r="GN179" i="1" s="1"/>
  <c r="CF189" i="1"/>
  <c r="CE189" i="1"/>
  <c r="P189" i="1"/>
  <c r="AC170" i="1"/>
  <c r="CH189" i="1"/>
  <c r="CP186" i="1"/>
  <c r="O186" i="1" s="1"/>
  <c r="AL63" i="1"/>
  <c r="F343" i="1"/>
  <c r="W290" i="1"/>
  <c r="GM33" i="1"/>
  <c r="GN33" i="1" s="1"/>
  <c r="FX351" i="1"/>
  <c r="EO380" i="1"/>
  <c r="F280" i="1"/>
  <c r="U221" i="1"/>
  <c r="CP128" i="1"/>
  <c r="O128" i="1" s="1"/>
  <c r="GM309" i="1"/>
  <c r="GN309" i="1" s="1"/>
  <c r="DU258" i="1"/>
  <c r="P319" i="1"/>
  <c r="CE319" i="1"/>
  <c r="CF319" i="1"/>
  <c r="CH319" i="1"/>
  <c r="AC290" i="1"/>
  <c r="GM315" i="1"/>
  <c r="GN315" i="1" s="1"/>
  <c r="DO26" i="1"/>
  <c r="P87" i="1"/>
  <c r="GM172" i="1"/>
  <c r="GM356" i="1"/>
  <c r="GN356" i="1" s="1"/>
  <c r="GM295" i="1"/>
  <c r="GN295" i="1" s="1"/>
  <c r="DT319" i="1"/>
  <c r="AF26" i="1"/>
  <c r="S63" i="1"/>
  <c r="GM174" i="1"/>
  <c r="GN174" i="1" s="1"/>
  <c r="GM173" i="1"/>
  <c r="FW351" i="1"/>
  <c r="EN380" i="1"/>
  <c r="AC258" i="1"/>
  <c r="S319" i="1"/>
  <c r="AF290" i="1"/>
  <c r="EC290" i="1"/>
  <c r="DP319" i="1"/>
  <c r="AE95" i="1"/>
  <c r="R134" i="1"/>
  <c r="P398" i="1"/>
  <c r="EL351" i="1"/>
  <c r="AU166" i="1"/>
  <c r="F429" i="1"/>
  <c r="P208" i="1"/>
  <c r="EM410" i="1"/>
  <c r="EM170" i="1"/>
  <c r="ER134" i="1"/>
  <c r="GA95" i="1"/>
  <c r="DL290" i="1"/>
  <c r="P340" i="1"/>
  <c r="EM26" i="1"/>
  <c r="P82" i="1"/>
  <c r="EM440" i="1"/>
  <c r="GM231" i="1"/>
  <c r="GN231" i="1" s="1"/>
  <c r="AP22" i="1"/>
  <c r="AP470" i="1"/>
  <c r="F449" i="1"/>
  <c r="G16" i="2" s="1"/>
  <c r="ES95" i="1"/>
  <c r="P154" i="1"/>
  <c r="EM351" i="1"/>
  <c r="P399" i="1"/>
  <c r="CP239" i="1"/>
  <c r="O239" i="1" s="1"/>
  <c r="GM239" i="1" s="1"/>
  <c r="GN239" i="1" s="1"/>
  <c r="F338" i="1"/>
  <c r="AU290" i="1"/>
  <c r="GM298" i="1"/>
  <c r="GN298" i="1" s="1"/>
  <c r="P134" i="1"/>
  <c r="AC95" i="1"/>
  <c r="CE134" i="1"/>
  <c r="CF134" i="1"/>
  <c r="CH134" i="1"/>
  <c r="DN95" i="1"/>
  <c r="P157" i="1"/>
  <c r="DW95" i="1"/>
  <c r="DJ134" i="1"/>
  <c r="AK258" i="1"/>
  <c r="P338" i="1"/>
  <c r="EM290" i="1"/>
  <c r="CJ26" i="1"/>
  <c r="BA63" i="1"/>
  <c r="CZ255" i="1"/>
  <c r="Y255" i="1" s="1"/>
  <c r="CY255" i="1"/>
  <c r="X255" i="1" s="1"/>
  <c r="EA258" i="1"/>
  <c r="V290" i="1"/>
  <c r="F342" i="1"/>
  <c r="DM134" i="1"/>
  <c r="DZ95" i="1"/>
  <c r="S189" i="1"/>
  <c r="AF170" i="1"/>
  <c r="F203" i="1"/>
  <c r="R170" i="1"/>
  <c r="CZ248" i="1"/>
  <c r="Y248" i="1" s="1"/>
  <c r="ED258" i="1" s="1"/>
  <c r="CY248" i="1"/>
  <c r="X248" i="1" s="1"/>
  <c r="BA189" i="1"/>
  <c r="CJ170" i="1"/>
  <c r="AT351" i="1"/>
  <c r="F398" i="1"/>
  <c r="EV22" i="1"/>
  <c r="EV470" i="1"/>
  <c r="P465" i="1"/>
  <c r="AO22" i="1"/>
  <c r="F444" i="1"/>
  <c r="AO470" i="1"/>
  <c r="U351" i="1"/>
  <c r="F402" i="1"/>
  <c r="AF258" i="1"/>
  <c r="P81" i="1"/>
  <c r="EL26" i="1"/>
  <c r="GM354" i="1"/>
  <c r="AK134" i="1"/>
  <c r="CP248" i="1"/>
  <c r="O248" i="1" s="1"/>
  <c r="DT258" i="1" s="1"/>
  <c r="CP255" i="1"/>
  <c r="O255" i="1" s="1"/>
  <c r="BA95" i="1"/>
  <c r="F154" i="1"/>
  <c r="DW258" i="1"/>
  <c r="GM246" i="1"/>
  <c r="GN246" i="1" s="1"/>
  <c r="P435" i="1"/>
  <c r="EV166" i="1"/>
  <c r="P387" i="1"/>
  <c r="EP351" i="1"/>
  <c r="P196" i="1"/>
  <c r="EP170" i="1"/>
  <c r="EP410" i="1"/>
  <c r="ER170" i="1"/>
  <c r="P200" i="1"/>
  <c r="ER410" i="1"/>
  <c r="CY128" i="1"/>
  <c r="X128" i="1" s="1"/>
  <c r="EC134" i="1" s="1"/>
  <c r="CZ128" i="1"/>
  <c r="Y128" i="1" s="1"/>
  <c r="AE258" i="1"/>
  <c r="DU26" i="1"/>
  <c r="FW63" i="1"/>
  <c r="FX63" i="1"/>
  <c r="FZ63" i="1"/>
  <c r="DH63" i="1"/>
  <c r="GM98" i="1"/>
  <c r="DT134" i="1"/>
  <c r="GM236" i="1"/>
  <c r="GN236" i="1" s="1"/>
  <c r="AX170" i="1"/>
  <c r="AX410" i="1"/>
  <c r="F196" i="1"/>
  <c r="BB166" i="1"/>
  <c r="F423" i="1"/>
  <c r="DJ63" i="1"/>
  <c r="DW26" i="1"/>
  <c r="CI290" i="1"/>
  <c r="AZ319" i="1"/>
  <c r="AK63" i="1"/>
  <c r="F339" i="1"/>
  <c r="BA290" i="1"/>
  <c r="F82" i="1"/>
  <c r="AU26" i="1"/>
  <c r="AU440" i="1"/>
  <c r="DH189" i="1"/>
  <c r="FZ189" i="1"/>
  <c r="FW189" i="1"/>
  <c r="FX189" i="1"/>
  <c r="DU170" i="1"/>
  <c r="EU166" i="1"/>
  <c r="P426" i="1"/>
  <c r="EU440" i="1"/>
  <c r="FZ351" i="1"/>
  <c r="EQ380" i="1"/>
  <c r="T351" i="1"/>
  <c r="F401" i="1"/>
  <c r="F213" i="1"/>
  <c r="W170" i="1"/>
  <c r="CI221" i="1"/>
  <c r="AZ258" i="1"/>
  <c r="GM29" i="1"/>
  <c r="DT63" i="1"/>
  <c r="GM132" i="1"/>
  <c r="GN132" i="1" s="1"/>
  <c r="FT134" i="1" s="1"/>
  <c r="CJ221" i="1"/>
  <c r="BA258" i="1"/>
  <c r="GM294" i="1"/>
  <c r="GN294" i="1" s="1"/>
  <c r="AB319" i="1"/>
  <c r="DW189" i="1"/>
  <c r="AX319" i="1"/>
  <c r="CG290" i="1"/>
  <c r="EI221" i="1"/>
  <c r="P268" i="1"/>
  <c r="EI410" i="1"/>
  <c r="GM374" i="1"/>
  <c r="GN374" i="1" s="1"/>
  <c r="CF63" i="1"/>
  <c r="AC26" i="1"/>
  <c r="P63" i="1"/>
  <c r="CE63" i="1"/>
  <c r="CH63" i="1"/>
  <c r="AZ170" i="1"/>
  <c r="F200" i="1"/>
  <c r="GM30" i="1"/>
  <c r="GN30" i="1" s="1"/>
  <c r="CY231" i="1"/>
  <c r="X231" i="1" s="1"/>
  <c r="CZ231" i="1"/>
  <c r="Y231" i="1" s="1"/>
  <c r="AL258" i="1" s="1"/>
  <c r="AG221" i="1"/>
  <c r="T258" i="1"/>
  <c r="ED63" i="1"/>
  <c r="DH351" i="1"/>
  <c r="P383" i="1"/>
  <c r="DK290" i="1"/>
  <c r="P334" i="1"/>
  <c r="DX134" i="1"/>
  <c r="AL380" i="1"/>
  <c r="P391" i="1"/>
  <c r="ER351" i="1"/>
  <c r="F268" i="1"/>
  <c r="AQ221" i="1"/>
  <c r="GM40" i="1"/>
  <c r="GN40" i="1" s="1"/>
  <c r="F141" i="1"/>
  <c r="AX95" i="1"/>
  <c r="F341" i="1"/>
  <c r="U290" i="1"/>
  <c r="GN292" i="1"/>
  <c r="GM44" i="1"/>
  <c r="GN44" i="1" s="1"/>
  <c r="P403" i="1"/>
  <c r="DN351" i="1"/>
  <c r="AD290" i="1"/>
  <c r="Q319" i="1"/>
  <c r="GM313" i="1"/>
  <c r="GN313" i="1" s="1"/>
  <c r="ES351" i="1"/>
  <c r="P400" i="1"/>
  <c r="AQ290" i="1"/>
  <c r="F329" i="1"/>
  <c r="GA221" i="1"/>
  <c r="ER258" i="1"/>
  <c r="EC63" i="1"/>
  <c r="T290" i="1"/>
  <c r="F340" i="1"/>
  <c r="DM170" i="1"/>
  <c r="P211" i="1"/>
  <c r="Q134" i="1"/>
  <c r="AD95" i="1"/>
  <c r="CY252" i="1"/>
  <c r="X252" i="1" s="1"/>
  <c r="CZ252" i="1"/>
  <c r="Y252" i="1" s="1"/>
  <c r="U189" i="1"/>
  <c r="AH170" i="1"/>
  <c r="F392" i="1"/>
  <c r="Q351" i="1"/>
  <c r="P330" i="1"/>
  <c r="ER290" i="1"/>
  <c r="BC22" i="1"/>
  <c r="F456" i="1"/>
  <c r="BC470" i="1"/>
  <c r="EC189" i="1"/>
  <c r="R380" i="1"/>
  <c r="AE351" i="1"/>
  <c r="DL95" i="1"/>
  <c r="P155" i="1"/>
  <c r="AT26" i="1"/>
  <c r="F81" i="1"/>
  <c r="GA26" i="1"/>
  <c r="ER63" i="1"/>
  <c r="ES26" i="1"/>
  <c r="P83" i="1"/>
  <c r="AT221" i="1"/>
  <c r="F276" i="1"/>
  <c r="GN224" i="1"/>
  <c r="AG170" i="1"/>
  <c r="T189" i="1"/>
  <c r="DP380" i="1"/>
  <c r="EC351" i="1"/>
  <c r="FY26" i="1"/>
  <c r="EP63" i="1"/>
  <c r="AQ26" i="1"/>
  <c r="F73" i="1"/>
  <c r="BD22" i="1"/>
  <c r="BD470" i="1"/>
  <c r="F465" i="1"/>
  <c r="V63" i="1"/>
  <c r="AI26" i="1"/>
  <c r="Q63" i="1"/>
  <c r="AD26" i="1"/>
  <c r="DY170" i="1"/>
  <c r="DL189" i="1"/>
  <c r="DO189" i="1"/>
  <c r="EB170" i="1"/>
  <c r="EI26" i="1"/>
  <c r="P73" i="1"/>
  <c r="AK319" i="1"/>
  <c r="EL410" i="1"/>
  <c r="DN26" i="1"/>
  <c r="P86" i="1"/>
  <c r="AI170" i="1"/>
  <c r="V189" i="1"/>
  <c r="AG95" i="1"/>
  <c r="T134" i="1"/>
  <c r="GM97" i="1"/>
  <c r="AB134" i="1"/>
  <c r="EL290" i="1"/>
  <c r="P337" i="1"/>
  <c r="GM311" i="1"/>
  <c r="GN311" i="1" s="1"/>
  <c r="Q189" i="1"/>
  <c r="AD170" i="1"/>
  <c r="DO351" i="1"/>
  <c r="P404" i="1"/>
  <c r="EH22" i="1"/>
  <c r="P449" i="1"/>
  <c r="V16" i="2" s="1"/>
  <c r="EH470" i="1"/>
  <c r="AJ26" i="1"/>
  <c r="W63" i="1"/>
  <c r="CY127" i="1"/>
  <c r="X127" i="1" s="1"/>
  <c r="GM127" i="1" s="1"/>
  <c r="GO127" i="1" s="1"/>
  <c r="CZ127" i="1"/>
  <c r="Y127" i="1" s="1"/>
  <c r="AL134" i="1" s="1"/>
  <c r="DX189" i="1"/>
  <c r="AB351" i="1"/>
  <c r="O380" i="1"/>
  <c r="CZ186" i="1"/>
  <c r="Y186" i="1" s="1"/>
  <c r="AL189" i="1" s="1"/>
  <c r="CY186" i="1"/>
  <c r="X186" i="1" s="1"/>
  <c r="AK189" i="1" s="1"/>
  <c r="EG166" i="1"/>
  <c r="P414" i="1"/>
  <c r="EG440" i="1"/>
  <c r="DW351" i="1"/>
  <c r="DJ380" i="1"/>
  <c r="DG380" i="1"/>
  <c r="DT351" i="1"/>
  <c r="F265" i="1"/>
  <c r="AX221" i="1"/>
  <c r="DV351" i="1"/>
  <c r="DI380" i="1"/>
  <c r="GN293" i="1"/>
  <c r="FT319" i="1" s="1"/>
  <c r="P423" i="1"/>
  <c r="ET166" i="1"/>
  <c r="AE290" i="1"/>
  <c r="R319" i="1"/>
  <c r="DH319" i="1"/>
  <c r="FZ319" i="1"/>
  <c r="DU290" i="1"/>
  <c r="FW319" i="1"/>
  <c r="FX319" i="1"/>
  <c r="GM28" i="1"/>
  <c r="AB63" i="1"/>
  <c r="DX258" i="1"/>
  <c r="ED134" i="1"/>
  <c r="S380" i="1"/>
  <c r="AF351" i="1"/>
  <c r="DJ319" i="1"/>
  <c r="DW290" i="1"/>
  <c r="GM229" i="1"/>
  <c r="GN229" i="1" s="1"/>
  <c r="GM233" i="1"/>
  <c r="GN233" i="1" s="1"/>
  <c r="GM45" i="1"/>
  <c r="GN45" i="1" s="1"/>
  <c r="DZ26" i="1"/>
  <c r="DM63" i="1"/>
  <c r="CP252" i="1"/>
  <c r="O252" i="1" s="1"/>
  <c r="GM252" i="1" s="1"/>
  <c r="GN252" i="1" s="1"/>
  <c r="AZ351" i="1"/>
  <c r="F391" i="1"/>
  <c r="F153" i="1"/>
  <c r="AU95" i="1"/>
  <c r="GM176" i="1"/>
  <c r="GN176" i="1" s="1"/>
  <c r="P419" i="1"/>
  <c r="EH166" i="1"/>
  <c r="CP187" i="1"/>
  <c r="O187" i="1" s="1"/>
  <c r="GM50" i="1"/>
  <c r="GN50" i="1" s="1"/>
  <c r="F387" i="1"/>
  <c r="AX351" i="1"/>
  <c r="U63" i="1"/>
  <c r="AH26" i="1"/>
  <c r="DX351" i="1"/>
  <c r="DK380" i="1"/>
  <c r="DK63" i="1"/>
  <c r="DX26" i="1"/>
  <c r="F404" i="1"/>
  <c r="W351" i="1"/>
  <c r="AT170" i="1"/>
  <c r="F207" i="1"/>
  <c r="AT410" i="1"/>
  <c r="F157" i="1"/>
  <c r="V95" i="1"/>
  <c r="P331" i="1"/>
  <c r="DI290" i="1"/>
  <c r="P339" i="1"/>
  <c r="ES290" i="1"/>
  <c r="EP290" i="1"/>
  <c r="P326" i="1"/>
  <c r="AC351" i="1"/>
  <c r="CE380" i="1"/>
  <c r="CF380" i="1"/>
  <c r="CH380" i="1"/>
  <c r="P380" i="1"/>
  <c r="DV258" i="1"/>
  <c r="AK380" i="1"/>
  <c r="DU134" i="1"/>
  <c r="GM299" i="1"/>
  <c r="GN299" i="1" s="1"/>
  <c r="BC166" i="1"/>
  <c r="F426" i="1"/>
  <c r="F70" i="1"/>
  <c r="AX26" i="1"/>
  <c r="AQ410" i="1"/>
  <c r="GM306" i="1"/>
  <c r="GN306" i="1" s="1"/>
  <c r="AT290" i="1"/>
  <c r="F337" i="1"/>
  <c r="BA351" i="1"/>
  <c r="F400" i="1"/>
  <c r="GM175" i="1"/>
  <c r="GN175" i="1" s="1"/>
  <c r="EI95" i="1"/>
  <c r="P144" i="1"/>
  <c r="CY187" i="1"/>
  <c r="X187" i="1" s="1"/>
  <c r="CZ187" i="1"/>
  <c r="Y187" i="1" s="1"/>
  <c r="T63" i="1"/>
  <c r="AG26" i="1"/>
  <c r="ED380" i="1"/>
  <c r="GM376" i="1"/>
  <c r="GN376" i="1" s="1"/>
  <c r="AO166" i="1"/>
  <c r="F414" i="1"/>
  <c r="AL221" i="1" l="1"/>
  <c r="Y258" i="1"/>
  <c r="X189" i="1"/>
  <c r="AK170" i="1"/>
  <c r="AL170" i="1"/>
  <c r="Y189" i="1"/>
  <c r="DG258" i="1"/>
  <c r="DT221" i="1"/>
  <c r="Y134" i="1"/>
  <c r="AL95" i="1"/>
  <c r="DQ189" i="1"/>
  <c r="ED170" i="1"/>
  <c r="DQ258" i="1"/>
  <c r="ED221" i="1"/>
  <c r="EC95" i="1"/>
  <c r="DP134" i="1"/>
  <c r="DI258" i="1"/>
  <c r="DV221" i="1"/>
  <c r="F85" i="1"/>
  <c r="U26" i="1"/>
  <c r="U440" i="1"/>
  <c r="P213" i="1"/>
  <c r="DO170" i="1"/>
  <c r="DO410" i="1"/>
  <c r="BA221" i="1"/>
  <c r="F278" i="1"/>
  <c r="AT166" i="1"/>
  <c r="F428" i="1"/>
  <c r="BC18" i="1"/>
  <c r="F486" i="1"/>
  <c r="FW290" i="1"/>
  <c r="EN319" i="1"/>
  <c r="EU22" i="1"/>
  <c r="P456" i="1"/>
  <c r="EU470" i="1"/>
  <c r="AV380" i="1"/>
  <c r="CE351" i="1"/>
  <c r="CA351" i="1"/>
  <c r="AR380" i="1"/>
  <c r="EI166" i="1"/>
  <c r="P420" i="1"/>
  <c r="AK221" i="1"/>
  <c r="X258" i="1"/>
  <c r="S26" i="1"/>
  <c r="F78" i="1"/>
  <c r="CH290" i="1"/>
  <c r="AY319" i="1"/>
  <c r="P322" i="1"/>
  <c r="DH290" i="1"/>
  <c r="F210" i="1"/>
  <c r="T170" i="1"/>
  <c r="T410" i="1"/>
  <c r="AZ221" i="1"/>
  <c r="F269" i="1"/>
  <c r="EQ63" i="1"/>
  <c r="FZ26" i="1"/>
  <c r="FS380" i="1"/>
  <c r="GN354" i="1"/>
  <c r="FT380" i="1" s="1"/>
  <c r="DJ95" i="1"/>
  <c r="P148" i="1"/>
  <c r="CF290" i="1"/>
  <c r="AW319" i="1"/>
  <c r="F158" i="1"/>
  <c r="W95" i="1"/>
  <c r="Y290" i="1"/>
  <c r="F346" i="1"/>
  <c r="DQ380" i="1"/>
  <c r="ED351" i="1"/>
  <c r="EK319" i="1"/>
  <c r="FT290" i="1"/>
  <c r="F155" i="1"/>
  <c r="T95" i="1"/>
  <c r="F394" i="1"/>
  <c r="R351" i="1"/>
  <c r="CE26" i="1"/>
  <c r="AV63" i="1"/>
  <c r="DW221" i="1"/>
  <c r="DJ258" i="1"/>
  <c r="AV134" i="1"/>
  <c r="CE95" i="1"/>
  <c r="AP18" i="1"/>
  <c r="F479" i="1"/>
  <c r="P385" i="1"/>
  <c r="EN351" i="1"/>
  <c r="CE170" i="1"/>
  <c r="AV189" i="1"/>
  <c r="V221" i="1"/>
  <c r="F281" i="1"/>
  <c r="P392" i="1"/>
  <c r="DI351" i="1"/>
  <c r="DP189" i="1"/>
  <c r="EC170" i="1"/>
  <c r="F66" i="1"/>
  <c r="P26" i="1"/>
  <c r="ER166" i="1"/>
  <c r="P421" i="1"/>
  <c r="AO18" i="1"/>
  <c r="F474" i="1"/>
  <c r="BA26" i="1"/>
  <c r="F83" i="1"/>
  <c r="BA440" i="1"/>
  <c r="T26" i="1"/>
  <c r="F84" i="1"/>
  <c r="T440" i="1"/>
  <c r="AQ166" i="1"/>
  <c r="F420" i="1"/>
  <c r="AY380" i="1"/>
  <c r="CH351" i="1"/>
  <c r="FX290" i="1"/>
  <c r="EO319" i="1"/>
  <c r="V170" i="1"/>
  <c r="V410" i="1"/>
  <c r="F212" i="1"/>
  <c r="P210" i="1"/>
  <c r="DL410" i="1"/>
  <c r="DL170" i="1"/>
  <c r="P70" i="1"/>
  <c r="EP26" i="1"/>
  <c r="EP440" i="1"/>
  <c r="F146" i="1"/>
  <c r="Q95" i="1"/>
  <c r="CF351" i="1"/>
  <c r="AW380" i="1"/>
  <c r="O351" i="1"/>
  <c r="F382" i="1"/>
  <c r="P74" i="1"/>
  <c r="ER26" i="1"/>
  <c r="ER440" i="1"/>
  <c r="T221" i="1"/>
  <c r="F279" i="1"/>
  <c r="CF26" i="1"/>
  <c r="AW63" i="1"/>
  <c r="GM255" i="1"/>
  <c r="DT189" i="1"/>
  <c r="P280" i="1"/>
  <c r="DM221" i="1"/>
  <c r="Q170" i="1"/>
  <c r="F201" i="1"/>
  <c r="Q410" i="1"/>
  <c r="DM410" i="1"/>
  <c r="Q290" i="1"/>
  <c r="F331" i="1"/>
  <c r="AK26" i="1"/>
  <c r="X63" i="1"/>
  <c r="EP166" i="1"/>
  <c r="P417" i="1"/>
  <c r="F77" i="1"/>
  <c r="R26" i="1"/>
  <c r="AB258" i="1"/>
  <c r="DP351" i="1"/>
  <c r="P406" i="1"/>
  <c r="GN29" i="1"/>
  <c r="FT63" i="1" s="1"/>
  <c r="FS63" i="1"/>
  <c r="F330" i="1"/>
  <c r="AZ290" i="1"/>
  <c r="DH26" i="1"/>
  <c r="P66" i="1"/>
  <c r="X134" i="1"/>
  <c r="AK95" i="1"/>
  <c r="EV18" i="1"/>
  <c r="P495" i="1"/>
  <c r="F204" i="1"/>
  <c r="S170" i="1"/>
  <c r="R95" i="1"/>
  <c r="F148" i="1"/>
  <c r="AS380" i="1"/>
  <c r="CB351" i="1"/>
  <c r="DJ290" i="1"/>
  <c r="P333" i="1"/>
  <c r="R290" i="1"/>
  <c r="F333" i="1"/>
  <c r="DG351" i="1"/>
  <c r="P382" i="1"/>
  <c r="EL166" i="1"/>
  <c r="P428" i="1"/>
  <c r="V26" i="1"/>
  <c r="F86" i="1"/>
  <c r="V440" i="1"/>
  <c r="FX170" i="1"/>
  <c r="EO189" i="1"/>
  <c r="FX26" i="1"/>
  <c r="EO63" i="1"/>
  <c r="DM95" i="1"/>
  <c r="P156" i="1"/>
  <c r="DP290" i="1"/>
  <c r="P345" i="1"/>
  <c r="DT290" i="1"/>
  <c r="DG319" i="1"/>
  <c r="CE290" i="1"/>
  <c r="AV319" i="1"/>
  <c r="AL26" i="1"/>
  <c r="Y63" i="1"/>
  <c r="P201" i="1"/>
  <c r="DI170" i="1"/>
  <c r="DI410" i="1"/>
  <c r="ES170" i="1"/>
  <c r="P209" i="1"/>
  <c r="ES410" i="1"/>
  <c r="DK26" i="1"/>
  <c r="P78" i="1"/>
  <c r="DJ351" i="1"/>
  <c r="P394" i="1"/>
  <c r="W26" i="1"/>
  <c r="F87" i="1"/>
  <c r="AK290" i="1"/>
  <c r="X319" i="1"/>
  <c r="FT258" i="1"/>
  <c r="DP63" i="1"/>
  <c r="EC26" i="1"/>
  <c r="Y380" i="1"/>
  <c r="AL351" i="1"/>
  <c r="AZ410" i="1"/>
  <c r="AZ440" i="1" s="1"/>
  <c r="EN189" i="1"/>
  <c r="FW170" i="1"/>
  <c r="DJ26" i="1"/>
  <c r="P77" i="1"/>
  <c r="FW26" i="1"/>
  <c r="EN63" i="1"/>
  <c r="P290" i="1"/>
  <c r="F322" i="1"/>
  <c r="GM186" i="1"/>
  <c r="GN186" i="1" s="1"/>
  <c r="AZ26" i="1"/>
  <c r="F74" i="1"/>
  <c r="ET18" i="1"/>
  <c r="P483" i="1"/>
  <c r="Q221" i="1"/>
  <c r="F270" i="1"/>
  <c r="DO221" i="1"/>
  <c r="P282" i="1"/>
  <c r="AB26" i="1"/>
  <c r="O63" i="1"/>
  <c r="P279" i="1"/>
  <c r="DL221" i="1"/>
  <c r="CA63" i="1"/>
  <c r="GN28" i="1"/>
  <c r="CB63" i="1" s="1"/>
  <c r="EQ351" i="1"/>
  <c r="P388" i="1"/>
  <c r="FT95" i="1"/>
  <c r="EK134" i="1"/>
  <c r="AS95" i="1"/>
  <c r="F151" i="1"/>
  <c r="GM187" i="1"/>
  <c r="GN187" i="1" s="1"/>
  <c r="GO98" i="1"/>
  <c r="FU134" i="1" s="1"/>
  <c r="DO95" i="1"/>
  <c r="P158" i="1"/>
  <c r="EQ319" i="1"/>
  <c r="FZ290" i="1"/>
  <c r="FX134" i="1"/>
  <c r="FW134" i="1"/>
  <c r="DH134" i="1"/>
  <c r="DH440" i="1" s="1"/>
  <c r="DU95" i="1"/>
  <c r="FZ134" i="1"/>
  <c r="BD18" i="1"/>
  <c r="F495" i="1"/>
  <c r="DX95" i="1"/>
  <c r="DK134" i="1"/>
  <c r="F326" i="1"/>
  <c r="AX290" i="1"/>
  <c r="DQ134" i="1"/>
  <c r="ED95" i="1"/>
  <c r="AF221" i="1"/>
  <c r="S258" i="1"/>
  <c r="DN258" i="1"/>
  <c r="DN410" i="1" s="1"/>
  <c r="EA221" i="1"/>
  <c r="CH95" i="1"/>
  <c r="AY134" i="1"/>
  <c r="F334" i="1"/>
  <c r="S290" i="1"/>
  <c r="GN172" i="1"/>
  <c r="CB189" i="1" s="1"/>
  <c r="CA189" i="1"/>
  <c r="U95" i="1"/>
  <c r="F156" i="1"/>
  <c r="AX166" i="1"/>
  <c r="F417" i="1"/>
  <c r="P351" i="1"/>
  <c r="F383" i="1"/>
  <c r="P85" i="1"/>
  <c r="DM26" i="1"/>
  <c r="CF170" i="1"/>
  <c r="AW189" i="1"/>
  <c r="F149" i="1"/>
  <c r="S95" i="1"/>
  <c r="DQ63" i="1"/>
  <c r="ED26" i="1"/>
  <c r="F137" i="1"/>
  <c r="P95" i="1"/>
  <c r="FS189" i="1"/>
  <c r="GN173" i="1"/>
  <c r="FT189" i="1" s="1"/>
  <c r="P386" i="1"/>
  <c r="EO351" i="1"/>
  <c r="DI95" i="1"/>
  <c r="P146" i="1"/>
  <c r="AX440" i="1"/>
  <c r="DT95" i="1"/>
  <c r="DG134" i="1"/>
  <c r="EM22" i="1"/>
  <c r="EM470" i="1"/>
  <c r="P459" i="1"/>
  <c r="BB18" i="1"/>
  <c r="F483" i="1"/>
  <c r="F282" i="1"/>
  <c r="W221" i="1"/>
  <c r="DT26" i="1"/>
  <c r="DG63" i="1"/>
  <c r="GM248" i="1"/>
  <c r="GN248" i="1" s="1"/>
  <c r="DK189" i="1"/>
  <c r="DX170" i="1"/>
  <c r="F75" i="1"/>
  <c r="Q26" i="1"/>
  <c r="Q440" i="1"/>
  <c r="DK351" i="1"/>
  <c r="P395" i="1"/>
  <c r="S351" i="1"/>
  <c r="F395" i="1"/>
  <c r="EI440" i="1"/>
  <c r="FS258" i="1"/>
  <c r="ER221" i="1"/>
  <c r="P269" i="1"/>
  <c r="CB319" i="1"/>
  <c r="FZ170" i="1"/>
  <c r="EQ189" i="1"/>
  <c r="ER95" i="1"/>
  <c r="P145" i="1"/>
  <c r="FX258" i="1"/>
  <c r="DU221" i="1"/>
  <c r="FZ258" i="1"/>
  <c r="DH258" i="1"/>
  <c r="FW258" i="1"/>
  <c r="AY189" i="1"/>
  <c r="CH170" i="1"/>
  <c r="AK351" i="1"/>
  <c r="X380" i="1"/>
  <c r="EG22" i="1"/>
  <c r="P444" i="1"/>
  <c r="EG470" i="1"/>
  <c r="EH18" i="1"/>
  <c r="P479" i="1"/>
  <c r="AB95" i="1"/>
  <c r="O134" i="1"/>
  <c r="U170" i="1"/>
  <c r="F211" i="1"/>
  <c r="U410" i="1"/>
  <c r="CA319" i="1"/>
  <c r="DW170" i="1"/>
  <c r="DJ189" i="1"/>
  <c r="W410" i="1"/>
  <c r="DH170" i="1"/>
  <c r="P192" i="1"/>
  <c r="DH410" i="1"/>
  <c r="R258" i="1"/>
  <c r="AE221" i="1"/>
  <c r="BA170" i="1"/>
  <c r="F209" i="1"/>
  <c r="BA410" i="1"/>
  <c r="DK258" i="1"/>
  <c r="DX221" i="1"/>
  <c r="FS319" i="1"/>
  <c r="CA134" i="1"/>
  <c r="GO97" i="1"/>
  <c r="CC134" i="1" s="1"/>
  <c r="AQ440" i="1"/>
  <c r="AY63" i="1"/>
  <c r="CH26" i="1"/>
  <c r="AB290" i="1"/>
  <c r="O319" i="1"/>
  <c r="AU22" i="1"/>
  <c r="AU470" i="1"/>
  <c r="F459" i="1"/>
  <c r="EC258" i="1"/>
  <c r="CF95" i="1"/>
  <c r="AW134" i="1"/>
  <c r="EM166" i="1"/>
  <c r="P429" i="1"/>
  <c r="CF258" i="1"/>
  <c r="AC221" i="1"/>
  <c r="CH258" i="1"/>
  <c r="CE258" i="1"/>
  <c r="P258" i="1"/>
  <c r="AB189" i="1"/>
  <c r="GM128" i="1"/>
  <c r="GO128" i="1" s="1"/>
  <c r="P170" i="1"/>
  <c r="P410" i="1"/>
  <c r="F192" i="1"/>
  <c r="DL26" i="1"/>
  <c r="P84" i="1"/>
  <c r="P278" i="1"/>
  <c r="ES221" i="1"/>
  <c r="P212" i="1"/>
  <c r="DN170" i="1"/>
  <c r="DQ290" i="1"/>
  <c r="P346" i="1"/>
  <c r="DH22" i="1" l="1"/>
  <c r="P443" i="1"/>
  <c r="DH470" i="1"/>
  <c r="DN166" i="1"/>
  <c r="P433" i="1"/>
  <c r="DN440" i="1"/>
  <c r="AZ22" i="1"/>
  <c r="AZ470" i="1"/>
  <c r="F451" i="1"/>
  <c r="CC95" i="1"/>
  <c r="AT134" i="1"/>
  <c r="FT221" i="1"/>
  <c r="EK258" i="1"/>
  <c r="ER22" i="1"/>
  <c r="ER470" i="1"/>
  <c r="P451" i="1"/>
  <c r="T22" i="1"/>
  <c r="F461" i="1"/>
  <c r="T470" i="1"/>
  <c r="AW95" i="1"/>
  <c r="F140" i="1"/>
  <c r="Q22" i="1"/>
  <c r="F452" i="1"/>
  <c r="Q470" i="1"/>
  <c r="F345" i="1"/>
  <c r="X290" i="1"/>
  <c r="DL166" i="1"/>
  <c r="P431" i="1"/>
  <c r="P336" i="1"/>
  <c r="EK290" i="1"/>
  <c r="AB221" i="1"/>
  <c r="O258" i="1"/>
  <c r="DQ351" i="1"/>
  <c r="P407" i="1"/>
  <c r="H16" i="2"/>
  <c r="DK221" i="1"/>
  <c r="P273" i="1"/>
  <c r="AR319" i="1"/>
  <c r="CA290" i="1"/>
  <c r="AS319" i="1"/>
  <c r="CB290" i="1"/>
  <c r="DG95" i="1"/>
  <c r="P136" i="1"/>
  <c r="DQ26" i="1"/>
  <c r="P90" i="1"/>
  <c r="DQ440" i="1"/>
  <c r="FX95" i="1"/>
  <c r="EO134" i="1"/>
  <c r="X95" i="1"/>
  <c r="F160" i="1"/>
  <c r="V166" i="1"/>
  <c r="F433" i="1"/>
  <c r="BA22" i="1"/>
  <c r="BA470" i="1"/>
  <c r="F460" i="1"/>
  <c r="P272" i="1"/>
  <c r="DJ221" i="1"/>
  <c r="X221" i="1"/>
  <c r="F284" i="1"/>
  <c r="DG221" i="1"/>
  <c r="P260" i="1"/>
  <c r="AB170" i="1"/>
  <c r="O189" i="1"/>
  <c r="AU18" i="1"/>
  <c r="F489" i="1"/>
  <c r="F430" i="1"/>
  <c r="BA166" i="1"/>
  <c r="U166" i="1"/>
  <c r="F432" i="1"/>
  <c r="P204" i="1"/>
  <c r="DK410" i="1"/>
  <c r="DK170" i="1"/>
  <c r="DQ95" i="1"/>
  <c r="P161" i="1"/>
  <c r="Y26" i="1"/>
  <c r="F90" i="1"/>
  <c r="Y440" i="1"/>
  <c r="EO170" i="1"/>
  <c r="P195" i="1"/>
  <c r="F386" i="1"/>
  <c r="AW351" i="1"/>
  <c r="Y170" i="1"/>
  <c r="F216" i="1"/>
  <c r="Y410" i="1"/>
  <c r="P221" i="1"/>
  <c r="F261" i="1"/>
  <c r="AY170" i="1"/>
  <c r="F197" i="1"/>
  <c r="AY410" i="1"/>
  <c r="AX22" i="1"/>
  <c r="AX470" i="1"/>
  <c r="F447" i="1"/>
  <c r="AR189" i="1"/>
  <c r="CA170" i="1"/>
  <c r="P327" i="1"/>
  <c r="EQ290" i="1"/>
  <c r="AS63" i="1"/>
  <c r="CB26" i="1"/>
  <c r="P194" i="1"/>
  <c r="EN170" i="1"/>
  <c r="DG189" i="1"/>
  <c r="DT170" i="1"/>
  <c r="P325" i="1"/>
  <c r="EO290" i="1"/>
  <c r="AV26" i="1"/>
  <c r="F68" i="1"/>
  <c r="F431" i="1"/>
  <c r="T166" i="1"/>
  <c r="DI221" i="1"/>
  <c r="P270" i="1"/>
  <c r="EJ189" i="1"/>
  <c r="FS170" i="1"/>
  <c r="EQ134" i="1"/>
  <c r="FZ95" i="1"/>
  <c r="DM166" i="1"/>
  <c r="P432" i="1"/>
  <c r="EK380" i="1"/>
  <c r="FT351" i="1"/>
  <c r="EU18" i="1"/>
  <c r="P486" i="1"/>
  <c r="P216" i="1"/>
  <c r="DQ170" i="1"/>
  <c r="DQ410" i="1"/>
  <c r="W166" i="1"/>
  <c r="F434" i="1"/>
  <c r="DN221" i="1"/>
  <c r="P281" i="1"/>
  <c r="Q166" i="1"/>
  <c r="F422" i="1"/>
  <c r="EJ380" i="1"/>
  <c r="FS351" i="1"/>
  <c r="P166" i="1"/>
  <c r="F413" i="1"/>
  <c r="DJ170" i="1"/>
  <c r="P203" i="1"/>
  <c r="DJ410" i="1"/>
  <c r="P197" i="1"/>
  <c r="EQ170" i="1"/>
  <c r="EQ410" i="1"/>
  <c r="EM18" i="1"/>
  <c r="P489" i="1"/>
  <c r="DH95" i="1"/>
  <c r="P137" i="1"/>
  <c r="DI166" i="1"/>
  <c r="P422" i="1"/>
  <c r="U22" i="1"/>
  <c r="F462" i="1"/>
  <c r="U470" i="1"/>
  <c r="EC221" i="1"/>
  <c r="DP258" i="1"/>
  <c r="DP410" i="1" s="1"/>
  <c r="F406" i="1"/>
  <c r="X351" i="1"/>
  <c r="FW95" i="1"/>
  <c r="EN134" i="1"/>
  <c r="W440" i="1"/>
  <c r="EO26" i="1"/>
  <c r="P69" i="1"/>
  <c r="P215" i="1"/>
  <c r="DP170" i="1"/>
  <c r="AV95" i="1"/>
  <c r="F139" i="1"/>
  <c r="EQ26" i="1"/>
  <c r="P71" i="1"/>
  <c r="P324" i="1"/>
  <c r="EN290" i="1"/>
  <c r="CE221" i="1"/>
  <c r="AV258" i="1"/>
  <c r="O290" i="1"/>
  <c r="F321" i="1"/>
  <c r="FW221" i="1"/>
  <c r="EN258" i="1"/>
  <c r="FS221" i="1"/>
  <c r="EJ258" i="1"/>
  <c r="P65" i="1"/>
  <c r="DG26" i="1"/>
  <c r="F195" i="1"/>
  <c r="AW170" i="1"/>
  <c r="AW410" i="1"/>
  <c r="AS189" i="1"/>
  <c r="CB170" i="1"/>
  <c r="CA26" i="1"/>
  <c r="AR63" i="1"/>
  <c r="AZ166" i="1"/>
  <c r="F421" i="1"/>
  <c r="F324" i="1"/>
  <c r="AV290" i="1"/>
  <c r="V22" i="1"/>
  <c r="V470" i="1"/>
  <c r="F463" i="1"/>
  <c r="AS351" i="1"/>
  <c r="F397" i="1"/>
  <c r="GN255" i="1"/>
  <c r="CB258" i="1" s="1"/>
  <c r="CA258" i="1"/>
  <c r="DP95" i="1"/>
  <c r="P160" i="1"/>
  <c r="CH221" i="1"/>
  <c r="AY258" i="1"/>
  <c r="O95" i="1"/>
  <c r="F136" i="1"/>
  <c r="DH221" i="1"/>
  <c r="P261" i="1"/>
  <c r="EI22" i="1"/>
  <c r="P450" i="1"/>
  <c r="EI470" i="1"/>
  <c r="DK95" i="1"/>
  <c r="P149" i="1"/>
  <c r="DK440" i="1"/>
  <c r="X26" i="1"/>
  <c r="F89" i="1"/>
  <c r="F69" i="1"/>
  <c r="AW26" i="1"/>
  <c r="AV170" i="1"/>
  <c r="F194" i="1"/>
  <c r="AV410" i="1"/>
  <c r="F325" i="1"/>
  <c r="AW290" i="1"/>
  <c r="AR351" i="1"/>
  <c r="F408" i="1"/>
  <c r="X170" i="1"/>
  <c r="F215" i="1"/>
  <c r="X410" i="1"/>
  <c r="F272" i="1"/>
  <c r="R221" i="1"/>
  <c r="R410" i="1"/>
  <c r="FZ221" i="1"/>
  <c r="EQ258" i="1"/>
  <c r="DM440" i="1"/>
  <c r="FS134" i="1"/>
  <c r="F407" i="1"/>
  <c r="Y351" i="1"/>
  <c r="DG290" i="1"/>
  <c r="P321" i="1"/>
  <c r="EP22" i="1"/>
  <c r="EP470" i="1"/>
  <c r="P447" i="1"/>
  <c r="AY351" i="1"/>
  <c r="F388" i="1"/>
  <c r="Y221" i="1"/>
  <c r="F285" i="1"/>
  <c r="S221" i="1"/>
  <c r="F273" i="1"/>
  <c r="F161" i="1"/>
  <c r="Y95" i="1"/>
  <c r="DL440" i="1"/>
  <c r="AW258" i="1"/>
  <c r="CF221" i="1"/>
  <c r="AY26" i="1"/>
  <c r="F71" i="1"/>
  <c r="AY440" i="1"/>
  <c r="DH166" i="1"/>
  <c r="P413" i="1"/>
  <c r="AY95" i="1"/>
  <c r="F142" i="1"/>
  <c r="EG18" i="1"/>
  <c r="P474" i="1"/>
  <c r="EN26" i="1"/>
  <c r="P68" i="1"/>
  <c r="CA95" i="1"/>
  <c r="AR134" i="1"/>
  <c r="EJ319" i="1"/>
  <c r="FS290" i="1"/>
  <c r="EK95" i="1"/>
  <c r="P151" i="1"/>
  <c r="FU95" i="1"/>
  <c r="EL134" i="1"/>
  <c r="O26" i="1"/>
  <c r="F65" i="1"/>
  <c r="S410" i="1"/>
  <c r="FS26" i="1"/>
  <c r="EJ63" i="1"/>
  <c r="DQ221" i="1"/>
  <c r="P285" i="1"/>
  <c r="AQ22" i="1"/>
  <c r="F450" i="1"/>
  <c r="AQ470" i="1"/>
  <c r="EO258" i="1"/>
  <c r="FX221" i="1"/>
  <c r="FT170" i="1"/>
  <c r="EK189" i="1"/>
  <c r="DP26" i="1"/>
  <c r="P89" i="1"/>
  <c r="ES166" i="1"/>
  <c r="P430" i="1"/>
  <c r="ES440" i="1"/>
  <c r="FT26" i="1"/>
  <c r="EK63" i="1"/>
  <c r="P440" i="1"/>
  <c r="AY290" i="1"/>
  <c r="F327" i="1"/>
  <c r="F385" i="1"/>
  <c r="AV351" i="1"/>
  <c r="DO166" i="1"/>
  <c r="P434" i="1"/>
  <c r="DO440" i="1"/>
  <c r="DI440" i="1"/>
  <c r="P436" i="1" l="1"/>
  <c r="DP166" i="1"/>
  <c r="DP440" i="1"/>
  <c r="EL95" i="1"/>
  <c r="P152" i="1"/>
  <c r="EL440" i="1"/>
  <c r="AQ18" i="1"/>
  <c r="F480" i="1"/>
  <c r="EQ166" i="1"/>
  <c r="P418" i="1"/>
  <c r="DK166" i="1"/>
  <c r="P425" i="1"/>
  <c r="F152" i="1"/>
  <c r="AT95" i="1"/>
  <c r="AT440" i="1"/>
  <c r="AR26" i="1"/>
  <c r="F91" i="1"/>
  <c r="F217" i="1"/>
  <c r="AR410" i="1"/>
  <c r="AR170" i="1"/>
  <c r="ES22" i="1"/>
  <c r="ES470" i="1"/>
  <c r="P460" i="1"/>
  <c r="W16" i="2" s="1"/>
  <c r="EQ221" i="1"/>
  <c r="P266" i="1"/>
  <c r="EI18" i="1"/>
  <c r="P480" i="1"/>
  <c r="O221" i="1"/>
  <c r="F260" i="1"/>
  <c r="EO221" i="1"/>
  <c r="P264" i="1"/>
  <c r="EK351" i="1"/>
  <c r="P397" i="1"/>
  <c r="P140" i="1"/>
  <c r="EO95" i="1"/>
  <c r="P80" i="1"/>
  <c r="EK26" i="1"/>
  <c r="DK22" i="1"/>
  <c r="DK470" i="1"/>
  <c r="P455" i="1"/>
  <c r="FS95" i="1"/>
  <c r="EJ134" i="1"/>
  <c r="EN221" i="1"/>
  <c r="P263" i="1"/>
  <c r="DQ22" i="1"/>
  <c r="P467" i="1"/>
  <c r="DQ470" i="1"/>
  <c r="CA221" i="1"/>
  <c r="AR258" i="1"/>
  <c r="CB221" i="1"/>
  <c r="AS258" i="1"/>
  <c r="P424" i="1"/>
  <c r="DJ166" i="1"/>
  <c r="DJ440" i="1"/>
  <c r="EQ95" i="1"/>
  <c r="P142" i="1"/>
  <c r="EO410" i="1"/>
  <c r="AZ18" i="1"/>
  <c r="F481" i="1"/>
  <c r="DO22" i="1"/>
  <c r="P464" i="1"/>
  <c r="DO470" i="1"/>
  <c r="EJ290" i="1"/>
  <c r="P347" i="1"/>
  <c r="AY22" i="1"/>
  <c r="AY470" i="1"/>
  <c r="F448" i="1"/>
  <c r="AS170" i="1"/>
  <c r="F206" i="1"/>
  <c r="AS410" i="1"/>
  <c r="T18" i="1"/>
  <c r="F491" i="1"/>
  <c r="EJ26" i="1"/>
  <c r="P91" i="1"/>
  <c r="R166" i="1"/>
  <c r="F424" i="1"/>
  <c r="R440" i="1"/>
  <c r="AW166" i="1"/>
  <c r="F416" i="1"/>
  <c r="AV221" i="1"/>
  <c r="F263" i="1"/>
  <c r="EJ170" i="1"/>
  <c r="P217" i="1"/>
  <c r="EJ410" i="1"/>
  <c r="AY166" i="1"/>
  <c r="F418" i="1"/>
  <c r="BA18" i="1"/>
  <c r="F490" i="1"/>
  <c r="DN22" i="1"/>
  <c r="DN470" i="1"/>
  <c r="P463" i="1"/>
  <c r="AW440" i="1"/>
  <c r="Y22" i="1"/>
  <c r="Y470" i="1"/>
  <c r="F467" i="1"/>
  <c r="F493" i="1"/>
  <c r="V18" i="1"/>
  <c r="AS290" i="1"/>
  <c r="F336" i="1"/>
  <c r="EK170" i="1"/>
  <c r="P206" i="1"/>
  <c r="EK410" i="1"/>
  <c r="AW221" i="1"/>
  <c r="F264" i="1"/>
  <c r="X166" i="1"/>
  <c r="F436" i="1"/>
  <c r="W22" i="1"/>
  <c r="W470" i="1"/>
  <c r="F464" i="1"/>
  <c r="F191" i="1"/>
  <c r="O410" i="1"/>
  <c r="O170" i="1"/>
  <c r="ER18" i="1"/>
  <c r="P481" i="1"/>
  <c r="DH18" i="1"/>
  <c r="P473" i="1"/>
  <c r="DL22" i="1"/>
  <c r="P461" i="1"/>
  <c r="DL470" i="1"/>
  <c r="X440" i="1"/>
  <c r="EQ440" i="1"/>
  <c r="EN95" i="1"/>
  <c r="P139" i="1"/>
  <c r="EJ351" i="1"/>
  <c r="P408" i="1"/>
  <c r="AS26" i="1"/>
  <c r="F80" i="1"/>
  <c r="AS440" i="1"/>
  <c r="AR290" i="1"/>
  <c r="F347" i="1"/>
  <c r="P22" i="1"/>
  <c r="F443" i="1"/>
  <c r="P470" i="1"/>
  <c r="P286" i="1"/>
  <c r="EJ221" i="1"/>
  <c r="Q18" i="1"/>
  <c r="F482" i="1"/>
  <c r="DP221" i="1"/>
  <c r="P284" i="1"/>
  <c r="DM22" i="1"/>
  <c r="P462" i="1"/>
  <c r="DM470" i="1"/>
  <c r="DI22" i="1"/>
  <c r="P452" i="1"/>
  <c r="DI470" i="1"/>
  <c r="AV166" i="1"/>
  <c r="F415" i="1"/>
  <c r="U18" i="1"/>
  <c r="F492" i="1"/>
  <c r="AX18" i="1"/>
  <c r="F477" i="1"/>
  <c r="DG170" i="1"/>
  <c r="DG410" i="1"/>
  <c r="P191" i="1"/>
  <c r="F162" i="1"/>
  <c r="AR95" i="1"/>
  <c r="DQ166" i="1"/>
  <c r="P437" i="1"/>
  <c r="EN410" i="1"/>
  <c r="F425" i="1"/>
  <c r="S166" i="1"/>
  <c r="S440" i="1"/>
  <c r="EP18" i="1"/>
  <c r="P477" i="1"/>
  <c r="AY221" i="1"/>
  <c r="F266" i="1"/>
  <c r="AV440" i="1"/>
  <c r="F437" i="1"/>
  <c r="Y166" i="1"/>
  <c r="EK221" i="1"/>
  <c r="P275" i="1"/>
  <c r="DK18" i="1" l="1"/>
  <c r="P485" i="1"/>
  <c r="DO18" i="1"/>
  <c r="P494" i="1"/>
  <c r="AS22" i="1"/>
  <c r="F457" i="1"/>
  <c r="E16" i="2" s="1"/>
  <c r="AS470" i="1"/>
  <c r="AW22" i="1"/>
  <c r="F446" i="1"/>
  <c r="AW470" i="1"/>
  <c r="AS166" i="1"/>
  <c r="F427" i="1"/>
  <c r="EK166" i="1"/>
  <c r="P427" i="1"/>
  <c r="DN18" i="1"/>
  <c r="P493" i="1"/>
  <c r="AY18" i="1"/>
  <c r="F478" i="1"/>
  <c r="DJ22" i="1"/>
  <c r="P454" i="1"/>
  <c r="Y16" i="2" s="1"/>
  <c r="DJ470" i="1"/>
  <c r="EJ95" i="1"/>
  <c r="P162" i="1"/>
  <c r="O166" i="1"/>
  <c r="F412" i="1"/>
  <c r="O440" i="1"/>
  <c r="EL22" i="1"/>
  <c r="P458" i="1"/>
  <c r="U16" i="2" s="1"/>
  <c r="EL470" i="1"/>
  <c r="DI18" i="1"/>
  <c r="P482" i="1"/>
  <c r="P18" i="1"/>
  <c r="F473" i="1"/>
  <c r="EQ22" i="1"/>
  <c r="EQ470" i="1"/>
  <c r="P448" i="1"/>
  <c r="EJ440" i="1"/>
  <c r="AS221" i="1"/>
  <c r="F275" i="1"/>
  <c r="X22" i="1"/>
  <c r="X470" i="1"/>
  <c r="F466" i="1"/>
  <c r="W18" i="1"/>
  <c r="F494" i="1"/>
  <c r="EJ166" i="1"/>
  <c r="P438" i="1"/>
  <c r="AV22" i="1"/>
  <c r="F445" i="1"/>
  <c r="AV470" i="1"/>
  <c r="DL18" i="1"/>
  <c r="P491" i="1"/>
  <c r="F286" i="1"/>
  <c r="AR221" i="1"/>
  <c r="EK440" i="1"/>
  <c r="AT22" i="1"/>
  <c r="AT470" i="1"/>
  <c r="F458" i="1"/>
  <c r="F16" i="2" s="1"/>
  <c r="DP22" i="1"/>
  <c r="DP470" i="1"/>
  <c r="P466" i="1"/>
  <c r="S22" i="1"/>
  <c r="F455" i="1"/>
  <c r="S470" i="1"/>
  <c r="AR166" i="1"/>
  <c r="F438" i="1"/>
  <c r="EN166" i="1"/>
  <c r="P415" i="1"/>
  <c r="EN440" i="1"/>
  <c r="AR440" i="1"/>
  <c r="DM18" i="1"/>
  <c r="P492" i="1"/>
  <c r="Y18" i="1"/>
  <c r="F497" i="1"/>
  <c r="EO166" i="1"/>
  <c r="P416" i="1"/>
  <c r="ES18" i="1"/>
  <c r="P490" i="1"/>
  <c r="R22" i="1"/>
  <c r="F454" i="1"/>
  <c r="R470" i="1"/>
  <c r="DG166" i="1"/>
  <c r="P412" i="1"/>
  <c r="DG440" i="1"/>
  <c r="EO440" i="1"/>
  <c r="DQ18" i="1"/>
  <c r="P497" i="1"/>
  <c r="AR22" i="1" l="1"/>
  <c r="AR470" i="1"/>
  <c r="F468" i="1"/>
  <c r="EN22" i="1"/>
  <c r="P445" i="1"/>
  <c r="EN470" i="1"/>
  <c r="DJ18" i="1"/>
  <c r="P484" i="1"/>
  <c r="EK22" i="1"/>
  <c r="P457" i="1"/>
  <c r="T16" i="2" s="1"/>
  <c r="X16" i="2" s="1"/>
  <c r="AC16" i="2" s="1"/>
  <c r="EK470" i="1"/>
  <c r="X18" i="1"/>
  <c r="F496" i="1"/>
  <c r="EL18" i="1"/>
  <c r="P488" i="1"/>
  <c r="I16" i="2"/>
  <c r="N16" i="2" s="1"/>
  <c r="DP18" i="1"/>
  <c r="P496" i="1"/>
  <c r="AW18" i="1"/>
  <c r="F476" i="1"/>
  <c r="R18" i="1"/>
  <c r="F484" i="1"/>
  <c r="AT18" i="1"/>
  <c r="F488" i="1"/>
  <c r="AS18" i="1"/>
  <c r="F487" i="1"/>
  <c r="S18" i="1"/>
  <c r="F485" i="1"/>
  <c r="J16" i="2"/>
  <c r="DG22" i="1"/>
  <c r="DG470" i="1"/>
  <c r="P442" i="1"/>
  <c r="EQ18" i="1"/>
  <c r="P478" i="1"/>
  <c r="AV18" i="1"/>
  <c r="F475" i="1"/>
  <c r="EJ22" i="1"/>
  <c r="P468" i="1"/>
  <c r="EJ470" i="1"/>
  <c r="O22" i="1"/>
  <c r="F442" i="1"/>
  <c r="O470" i="1"/>
  <c r="P446" i="1"/>
  <c r="EO470" i="1"/>
  <c r="EO22" i="1"/>
  <c r="EK18" i="1" l="1"/>
  <c r="P487" i="1"/>
  <c r="EO18" i="1"/>
  <c r="P476" i="1"/>
  <c r="DG18" i="1"/>
  <c r="P472" i="1"/>
  <c r="O18" i="1"/>
  <c r="F472" i="1"/>
  <c r="EN18" i="1"/>
  <c r="P475" i="1"/>
  <c r="EJ18" i="1"/>
  <c r="P498" i="1"/>
  <c r="AR18" i="1"/>
  <c r="F498" i="1"/>
</calcChain>
</file>

<file path=xl/sharedStrings.xml><?xml version="1.0" encoding="utf-8"?>
<sst xmlns="http://schemas.openxmlformats.org/spreadsheetml/2006/main" count="15652" uniqueCount="772">
  <si>
    <t>Smeta.RU  (495) 974-1589</t>
  </si>
  <si>
    <t>_PS_</t>
  </si>
  <si>
    <t>Smeta.RU</t>
  </si>
  <si>
    <t/>
  </si>
  <si>
    <t>02-01-02 КЛ - 10 кВ труба</t>
  </si>
  <si>
    <t>02-01-02 Строительство КЛ - 10 кВ труба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</si>
  <si>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</si>
  <si>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</si>
  <si>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</si>
  <si>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</si>
  <si>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15.10.2022 г. доп.66</t>
  </si>
  <si>
    <t>Территориальные сметные нормативы для Москвы (ТСН-2001)</t>
  </si>
  <si>
    <t>ТЕР</t>
  </si>
  <si>
    <t>Новая локальная смета</t>
  </si>
  <si>
    <t>Строительство КЛ 10 кВ</t>
  </si>
  <si>
    <t>Новый раздел</t>
  </si>
  <si>
    <t>Земляные работы</t>
  </si>
  <si>
    <t>1</t>
  </si>
  <si>
    <t>3.1-51-1</t>
  </si>
  <si>
    <t>Разработка грунта вручную в траншеях глубиной до 2 м без креплений с откосами группа грунтов 1-3</t>
  </si>
  <si>
    <t>100 м3 грунта</t>
  </si>
  <si>
    <t>ТСН-2001.3. Доп. 1-42. Сб. 1, т. 51, поз. 1</t>
  </si>
  <si>
    <t>)*1,1</t>
  </si>
  <si>
    <t>Строительные работы</t>
  </si>
  <si>
    <t>ТСН-2001.3-1. 1-49...1-55</t>
  </si>
  <si>
    <t>ТСН-2001.3-1-15</t>
  </si>
  <si>
    <t>Поправка: О.П. п.3.4.30.в</t>
  </si>
  <si>
    <t>2</t>
  </si>
  <si>
    <t>3.1-7-2</t>
  </si>
  <si>
    <t>Разработка грунта с погрузкой на автомобили-самосвалы экскаваторами с ковшом вместимостью 0,25 м3 группа грунтов 1-3</t>
  </si>
  <si>
    <t>ТСН-2001.3 Доп. 70, Сб. 1, т. 7, поз. 2</t>
  </si>
  <si>
    <t>ТСН-2001.3-1. 1-1...1-7</t>
  </si>
  <si>
    <t>ТСН-2001.3-1-1</t>
  </si>
  <si>
    <t>3</t>
  </si>
  <si>
    <t>3.1-3-2</t>
  </si>
  <si>
    <t>Разработка грунта в отвал экскаваторами с ковшом вместимостью 0,25 м3 группа грунтов 1-3</t>
  </si>
  <si>
    <t>ТСН-2001.3 Доп. 68, Сб. 1, т. 3, поз. 2</t>
  </si>
  <si>
    <t>4</t>
  </si>
  <si>
    <t>3.1-53-1</t>
  </si>
  <si>
    <t>Засыпка вручную траншей, пазух котлованов и ям группа грунтов 1-3</t>
  </si>
  <si>
    <t>ТСН-2001.3. Доп. 1-42. Сб. 1, т. 53, поз. 1</t>
  </si>
  <si>
    <t>5</t>
  </si>
  <si>
    <t>)*1</t>
  </si>
  <si>
    <t>)*1,1)*0,9</t>
  </si>
  <si>
    <t>)*1,1)*0,5</t>
  </si>
  <si>
    <t>Поправка: О.П. п.3.4.30.в  Поправка: Сб.3-1.т.3.1.п.3.1.13_03.01.01.22.001</t>
  </si>
  <si>
    <t>6</t>
  </si>
  <si>
    <t>3.34-17-4</t>
  </si>
  <si>
    <t>Устройство трубопроводов из асбестоцементных труб с соединением манжетами полиэтиленовыми более 2-х отверстий</t>
  </si>
  <si>
    <t>1 канало-километр трубопровода</t>
  </si>
  <si>
    <t>ТСН-2001.3. Доп. 1-42. Сб. 34, т. 17, поз. 4</t>
  </si>
  <si>
    <t>ТСН-2001.3-34. 34-17...34-28</t>
  </si>
  <si>
    <t>ТСН-2001.3-34-6</t>
  </si>
  <si>
    <t>7</t>
  </si>
  <si>
    <t>1.12-3-25</t>
  </si>
  <si>
    <t>Трубы хризотилцементные безнапорные, марка БНТ, диаметр условного прохода 100 мм, внутренний диаметр 100 мм</t>
  </si>
  <si>
    <t>м</t>
  </si>
  <si>
    <t>ТСН-2001.1 Доп. 70, Р. 12, о. 3, поз. 25</t>
  </si>
  <si>
    <t>Материалы строительные</t>
  </si>
  <si>
    <t>ТСН-2001.1 Материалы строительные</t>
  </si>
  <si>
    <t>ТСН-2001.1-1</t>
  </si>
  <si>
    <t>8</t>
  </si>
  <si>
    <t>1.12-3-26</t>
  </si>
  <si>
    <t>Трубы хризотилцементные безнапорные, марка БНТ, диаметр условного прохода 150 мм, внутренний диаметр 141 мм</t>
  </si>
  <si>
    <t>ТСН-2001.1 Доп. 70, Р. 12, о. 3, поз. 26</t>
  </si>
  <si>
    <t>9</t>
  </si>
  <si>
    <t>3.34-55-5</t>
  </si>
  <si>
    <t>Устройство кабельной канализации из полиэтиленовых труб диаметром 160 мм, первая труба</t>
  </si>
  <si>
    <t>1 км трубопровода</t>
  </si>
  <si>
    <t>ТСН-2001.3 Доп. 68, Сб. 34, т. 55, поз. 5</t>
  </si>
  <si>
    <t>)*1,1)*1,2</t>
  </si>
  <si>
    <t>ТСН-2001.3-34. 34-55-1...34-55-10 (доп. 68)</t>
  </si>
  <si>
    <t>ТСН-2001.3-34-20</t>
  </si>
  <si>
    <t>Поправка: О.П. п.3.4.30.в  Поправка: Гл.3.Прил.2.2.п.2.2.1_03.00.01.01.001</t>
  </si>
  <si>
    <t>10</t>
  </si>
  <si>
    <t>11</t>
  </si>
  <si>
    <t>3.34-55-6</t>
  </si>
  <si>
    <t>Добавлять на каждую последующую трубу к позиции 3.34-55-5</t>
  </si>
  <si>
    <t>ТСН-2001.3 Доп. 68, Сб. 34, т. 55, поз. 6</t>
  </si>
  <si>
    <t>12</t>
  </si>
  <si>
    <t>13</t>
  </si>
  <si>
    <t>КП</t>
  </si>
  <si>
    <t>Труба ТЗК Энергопласт ТСЗ 160х8 F4</t>
  </si>
  <si>
    <t>[906,23 /  9,74] +  2% Трансп</t>
  </si>
  <si>
    <t>0</t>
  </si>
  <si>
    <t>14</t>
  </si>
  <si>
    <t>1.1-1-766</t>
  </si>
  <si>
    <t>Песок для строительных работ, рядовой (карьерный)</t>
  </si>
  <si>
    <t>м3</t>
  </si>
  <si>
    <t>ТСН-2001.1 Доп. 69, Р. 1, о. 1, поз. 766</t>
  </si>
  <si>
    <t>15</t>
  </si>
  <si>
    <t>1.12-3-62</t>
  </si>
  <si>
    <t>Заглушка (пробка) полиэтиленовая для каналов кабельной канализации из хризотилцементных труб внутренним диаметром 150 мм</t>
  </si>
  <si>
    <t>шт.</t>
  </si>
  <si>
    <t>ТСН-2001.1 Доп. 70, Р. 12, о. 3, поз. 62</t>
  </si>
  <si>
    <t>16</t>
  </si>
  <si>
    <t>3.13-30-1</t>
  </si>
  <si>
    <t>Огнезащитное покрытие терморасширяющимися составами электрических кабелей с применением окрасочного безвоздушного агрегата</t>
  </si>
  <si>
    <t>100 м2 покрытия</t>
  </si>
  <si>
    <t>ТСН-2001.3 Доп. 71, Сб. 13, т. 30, поз. 1</t>
  </si>
  <si>
    <t>ТСН-2001.3-13. 13-17-6, 13-17-7, 13-18...13-38</t>
  </si>
  <si>
    <t>ТСН-2001.3-13-3</t>
  </si>
  <si>
    <t>17</t>
  </si>
  <si>
    <t>Огнезащитный состав СТАБИТЕРМ-225 3кп</t>
  </si>
  <si>
    <t>кг</t>
  </si>
  <si>
    <t>[594 / 1,2] +  2% Трансп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</si>
  <si>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</si>
  <si>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</si>
  <si>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</si>
  <si>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</si>
  <si>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</si>
  <si>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</si>
  <si>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</si>
  <si>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</si>
  <si>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</si>
  <si>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</si>
  <si>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</si>
  <si>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</si>
  <si>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</si>
  <si>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</si>
  <si>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</si>
  <si>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</si>
  <si>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</si>
  <si>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</si>
  <si>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</si>
  <si>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</si>
  <si>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</si>
  <si>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</si>
  <si>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</si>
  <si>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</si>
  <si>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</si>
  <si>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</si>
  <si>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</si>
  <si>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</si>
  <si>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</si>
  <si>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</si>
  <si>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</si>
  <si>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</si>
  <si>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</si>
  <si>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</si>
  <si>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</si>
  <si>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</si>
  <si>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</si>
  <si>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</si>
  <si>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</si>
  <si>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</si>
  <si>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</si>
  <si>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</si>
  <si>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</si>
  <si>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</si>
  <si>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</si>
  <si>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</si>
  <si>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</si>
  <si>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</si>
  <si>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</si>
  <si>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</si>
  <si>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</si>
  <si>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</si>
  <si>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</si>
  <si>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</si>
  <si>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Монтажные работы 20% c к-том 1.2</t>
  </si>
  <si>
    <t>18</t>
  </si>
  <si>
    <t>4.8-80-2</t>
  </si>
  <si>
    <t>Прокладка кабеля напряжением до 35 кВ в проложенных трубах, блоках и коробах, при массе 1 м до 2 кг</t>
  </si>
  <si>
    <t>100 М КАБЕЛЯ</t>
  </si>
  <si>
    <t>ТСН-2001.4 Доп. 69, Сб. 8, т. 80, поз. 2</t>
  </si>
  <si>
    <t>Монтаж оборудования</t>
  </si>
  <si>
    <t>ТСН-2001.4-8. 8-73...8-80</t>
  </si>
  <si>
    <t>ТСН-2001.4-8-3</t>
  </si>
  <si>
    <t>Поправка: О.П. п.3.4.30.в  Поправка: Гл.4.Прил.2.2.п.2.2.3_04.00.01.01.001</t>
  </si>
  <si>
    <t>19</t>
  </si>
  <si>
    <t>20</t>
  </si>
  <si>
    <t>4.8-77-2</t>
  </si>
  <si>
    <t>Прокладка кабеля напряжением до 35 кВ по дну канала без креплений при массе 1 м до 2 кг</t>
  </si>
  <si>
    <t>ТСН-2001.4 Доп. 69, Сб. 8, т. 77, поз. 2</t>
  </si>
  <si>
    <t>21</t>
  </si>
  <si>
    <t>1.23-7-391</t>
  </si>
  <si>
    <t>Кабель силовой с алюминиевой многопроволочной жилой, с изоляцией из сшитого полиэтилена, с медным экраном, с водоблокирующей лентой под металлическим экраном, марка АПвПуг, напряжение 10000 В, число жил, сечение жилы, экран 1х120/35 мм2</t>
  </si>
  <si>
    <t>км</t>
  </si>
  <si>
    <t>ТСН-2001.1 Доп. 73, Р. 23, о. 7, поз. 391</t>
  </si>
  <si>
    <t>Материалы монтажные</t>
  </si>
  <si>
    <t>ТСН-2001.1 Материалы монтажные</t>
  </si>
  <si>
    <t>ТСН-2001.1-2</t>
  </si>
  <si>
    <t>22</t>
  </si>
  <si>
    <t>23</t>
  </si>
  <si>
    <t>4.8-305-3</t>
  </si>
  <si>
    <t>Монтаж концевой муфты термоусаживаемой для одножильного кабеля с изоляцией из сшитого полиэтилена, напряжением до 10 кВ, сечением жилы до 120 мм2</t>
  </si>
  <si>
    <t>1 комплект</t>
  </si>
  <si>
    <t>ТСН-2001.4 Доп. 68, Сб. 8, т. 305, поз. 3</t>
  </si>
  <si>
    <t>ТСН-2001.4-8. 8-305-3, 8-305-4, 8-318-1, 8-319-1 (доп. 56)</t>
  </si>
  <si>
    <t>ТСН-2001.4-8-43</t>
  </si>
  <si>
    <t>23,1</t>
  </si>
  <si>
    <t>1.21-5-597</t>
  </si>
  <si>
    <t>Муфта концевая, наружной установки, для кабеля с пластмассовой изоляцией, экранированного, 1-жильного, номинальное напряжение 10 кВ, с наконечником под болт М12, длина/диаметр муфты 300/95 мм, сечение жилы от 120 до 240 мм2</t>
  </si>
  <si>
    <t>КОМПЛЕКТ</t>
  </si>
  <si>
    <t>ТСН-2001.1 Доп. 54, Р. 21, о. 5, поз. 597</t>
  </si>
  <si>
    <t>Поправка: Гл.4.Прил.2.2.п.2.2.3_04.00.01.01.001</t>
  </si>
  <si>
    <t>24</t>
  </si>
  <si>
    <t>4.8-305-4</t>
  </si>
  <si>
    <t>Монтаж концевой муфты термоусаживаемой для одножильного кабеля с изоляцией из сшитого полиэтилена, напряжением до 10 кВ, сечением жилы до 240 мм2</t>
  </si>
  <si>
    <t>ТСН-2001.4 Доп. 68, Сб. 8, т. 305, поз. 4</t>
  </si>
  <si>
    <t>24,1</t>
  </si>
  <si>
    <t>25</t>
  </si>
  <si>
    <t>4.8-305-1</t>
  </si>
  <si>
    <t>Монтаж концевой муфты для одножильного экранированного кабеля с изоляцией из сшитого полиэтилена, напряжением до 10 кВ, сечением одной жилы более 400 до 500 мм2</t>
  </si>
  <si>
    <t>ТСН-2001.4 Доп. 70, Сб. 8, т. 305, поз. 1</t>
  </si>
  <si>
    <t>ТСН-2001.4-8. 8-301…8-309 (доп. 30)</t>
  </si>
  <si>
    <t>ТСН-2001.4-8-34</t>
  </si>
  <si>
    <t>25,1</t>
  </si>
  <si>
    <t>1.21-5-593</t>
  </si>
  <si>
    <t>Муфта концевая, наружной установки, для кабеля с пластмассовой изоляцией, экранированного, 1-жильного, номинальное напряжение 10 кВ, без кабельного наконечника, длина/диаметр муфты 300/115 мм, сечение жилы от 240 до 500 мм2</t>
  </si>
  <si>
    <t>ТСН-2001.1 Доп. 54, Р. 21, о. 5, поз. 593</t>
  </si>
  <si>
    <t>26</t>
  </si>
  <si>
    <t>4.8-306-1</t>
  </si>
  <si>
    <t>Монтаж системы изоляционного адаптера для кабельного ввода напряжением до 10 кВ</t>
  </si>
  <si>
    <t>100 жил</t>
  </si>
  <si>
    <t>ТСН-2001.4 Доп. 68, Сб. 8, т. 306, поз. 1</t>
  </si>
  <si>
    <t>27</t>
  </si>
  <si>
    <t>1.21-5-607</t>
  </si>
  <si>
    <t>Адаптер изоляционный T-образный, для соединения концевых кабельных муфт с проходными изоляторами типа С вводов распределительных устройств с элегазовой изоляцией, номинальное напряжение/сечение жилы: 10 кВ/от 120 до 240 мм2, 20 кВ/от 95 до 185 мм2</t>
  </si>
  <si>
    <t>ТСН-2001.1 Доп. 54, Р. 21, о. 5, поз. 607</t>
  </si>
  <si>
    <t>28</t>
  </si>
  <si>
    <t>4.8-301-1</t>
  </si>
  <si>
    <t>Монтаж уплотнителя кабельного прохода термоусаживаемого</t>
  </si>
  <si>
    <t>100 компл.</t>
  </si>
  <si>
    <t>ТСН-2001.4 Доп. 68, Сб. 8, т. 301, поз. 1</t>
  </si>
  <si>
    <t>29</t>
  </si>
  <si>
    <t>30</t>
  </si>
  <si>
    <t>1.21-5-1069</t>
  </si>
  <si>
    <t>Уплотнитель кабельных проходов, типа УКПТ</t>
  </si>
  <si>
    <t>ТСН-2001.1 Доп. 73, Р. 21, о. 5, поз. 1069</t>
  </si>
  <si>
    <t>31</t>
  </si>
  <si>
    <t>4.8-34-1</t>
  </si>
  <si>
    <t>Монтаж трансформатора тока напряжением до 10 кВ</t>
  </si>
  <si>
    <t>1  ШТ.</t>
  </si>
  <si>
    <t>ТСН-2001.4 Доп. 69, Сб. 8, т. 34, поз. 1</t>
  </si>
  <si>
    <t>ТСН-2001.4-8. 8-28...8-72</t>
  </si>
  <si>
    <t>ТСН-2001.4-8-2</t>
  </si>
  <si>
    <t>32</t>
  </si>
  <si>
    <t>Трансформатор тока нулевой последовательности ТЗЛМ-125</t>
  </si>
  <si>
    <t>ШТ</t>
  </si>
  <si>
    <t>Материалы</t>
  </si>
  <si>
    <t>Материалы, изделия и конструкции</t>
  </si>
  <si>
    <t>20 000 +  2% Трансп</t>
  </si>
  <si>
    <t>Благоустройство</t>
  </si>
  <si>
    <t>Новый подраздел</t>
  </si>
  <si>
    <t>Газон</t>
  </si>
  <si>
    <t>33</t>
  </si>
  <si>
    <t>3.47-26-3</t>
  </si>
  <si>
    <t>Подготовка почвы для устройства партерного и обыкновенного газонов с внесением растительной земли слоем 15 см механизированным способом</t>
  </si>
  <si>
    <t>100 м2</t>
  </si>
  <si>
    <t>ТСН-2001.3 Доп. 68, Сб. 47, т. 26, поз. 3</t>
  </si>
  <si>
    <t>ТСН-2001.3-47. 47-23...47-33</t>
  </si>
  <si>
    <t>ТСН-2001.3-47-4</t>
  </si>
  <si>
    <t>33,1</t>
  </si>
  <si>
    <t>1.4-6-1</t>
  </si>
  <si>
    <t>Земля растительная</t>
  </si>
  <si>
    <t>ТСН-2001.1. Доп. 1-42. Р. 4, о. 6, поз. 1</t>
  </si>
  <si>
    <t>34</t>
  </si>
  <si>
    <t>3.47-26-4</t>
  </si>
  <si>
    <t>Подготовка почвы для устройства партерного и обыкновенного газонов с внесением растительной земли слоем 15 см вручную</t>
  </si>
  <si>
    <t>ТСН-2001.3. Доп. 1-42. Сб. 47, т. 26, поз. 4</t>
  </si>
  <si>
    <t>34,1</t>
  </si>
  <si>
    <t>35</t>
  </si>
  <si>
    <t>3.47-26-5</t>
  </si>
  <si>
    <t>Подготовка почвы для устройства партерного и обыкновенного газонов на каждые 5 см изменения толщины слоя добавлять или исключать</t>
  </si>
  <si>
    <t>ТСН-2001.3. Доп. 1-42. Сб. 47, т. 26, поз. 5</t>
  </si>
  <si>
    <t>35,1</t>
  </si>
  <si>
    <t>36</t>
  </si>
  <si>
    <t>3.47-26-6</t>
  </si>
  <si>
    <t>Посев газонов партерных, мавританских, и обыкновенных вручную</t>
  </si>
  <si>
    <t>ТСН-2001.3. Доп. 1-42. Сб. 47, т. 26, поз. 6</t>
  </si>
  <si>
    <t>36,1</t>
  </si>
  <si>
    <t>1.4-6-6</t>
  </si>
  <si>
    <t>Семена (смесь универсальная) газонных трав</t>
  </si>
  <si>
    <t>ТСН-2001.1. Доп. 1-42. Р. 4, о. 6, поз. 6</t>
  </si>
  <si>
    <t>Дорога</t>
  </si>
  <si>
    <t>37</t>
  </si>
  <si>
    <t>6.68-51-4</t>
  </si>
  <si>
    <t>Разборка покрытий и оснований асфальтобетонных</t>
  </si>
  <si>
    <t>100 м3 конструкций</t>
  </si>
  <si>
    <t>ТСН-2001.6 Доп. 68, Сб. 68, т. 51, поз. 4</t>
  </si>
  <si>
    <t>Ремонтно-строительные работы</t>
  </si>
  <si>
    <t>ТСН-2001.6-68. 68-51...68-53</t>
  </si>
  <si>
    <t>ТСН-2001.6-68-21</t>
  </si>
  <si>
    <t>38</t>
  </si>
  <si>
    <t>6.68-51-5</t>
  </si>
  <si>
    <t>Разборка покрытий и оснований цементобетонных</t>
  </si>
  <si>
    <t>ТСН-2001.6 Доп. 68, Сб. 68, т. 51, поз. 5</t>
  </si>
  <si>
    <t>39</t>
  </si>
  <si>
    <t>6.68-13-1</t>
  </si>
  <si>
    <t>Механизированная погрузка строительного мусора в автомобили-самосвалы</t>
  </si>
  <si>
    <t>1 Т</t>
  </si>
  <si>
    <t>ТСН-2001.6. Доп. 1-42. Сб. 68, т. 13, поз. 1</t>
  </si>
  <si>
    <t>ТСН-2001.6-68. 68-13</t>
  </si>
  <si>
    <t>ТСН-2001.6-68-5</t>
  </si>
  <si>
    <t>40</t>
  </si>
  <si>
    <t>3.27-12-1</t>
  </si>
  <si>
    <t>Устройство подстилающих и выравнивающих слоев оснований из песка  (ДОРОГИ И ПРОЕЗЖАЯ ЧАСТЬ)</t>
  </si>
  <si>
    <t>100 м3 материала основания (в плотном теле)</t>
  </si>
  <si>
    <t>ТСН-2001.3 Доп. 69, Сб. 27, т. 12, поз. 1</t>
  </si>
  <si>
    <t>ТСН-2001.3-27. 27-1...27-21</t>
  </si>
  <si>
    <t>ТСН-2001.3-27-1</t>
  </si>
  <si>
    <t>40,1</t>
  </si>
  <si>
    <t>Песок для строительных работ, рядовой</t>
  </si>
  <si>
    <t>41</t>
  </si>
  <si>
    <t>3.27-30-1</t>
  </si>
  <si>
    <t>Устройство цементобетонных оснований городских проездов толщина слоя, см 16</t>
  </si>
  <si>
    <t>1000 м2 основания</t>
  </si>
  <si>
    <t>ТСН-2001.3 Доп. 73, Сб. 27, т. 30, поз. 1</t>
  </si>
  <si>
    <t>ТСН-2001.3-27. 27-29, 27-30</t>
  </si>
  <si>
    <t>ТСН-2001.3-27-7</t>
  </si>
  <si>
    <t>41,1</t>
  </si>
  <si>
    <t>1.3-1-36</t>
  </si>
  <si>
    <t>Смеси бетонные, БСГ, тяжелого бетона на гранитном щебне, класс прочности В7,5 (М100); П3, фракция 5-20</t>
  </si>
  <si>
    <t>ТСН-2001.1 Доп. 67, Р. 3, о. 1, поз. 36</t>
  </si>
  <si>
    <t>42</t>
  </si>
  <si>
    <t>3.27-30-2</t>
  </si>
  <si>
    <t>Устройство цементобетонных оснований городских проездов добавлять или исключать на каждый 1 см изменения толщины слоя</t>
  </si>
  <si>
    <t>ТСН-2001.3. Доп. 1-42. Сб. 27, т. 30, поз. 2</t>
  </si>
  <si>
    <t>42,1</t>
  </si>
  <si>
    <t>43</t>
  </si>
  <si>
    <t>3.27-42-1</t>
  </si>
  <si>
    <t>Устройство покрытий из горячих асфальтобетонных смесей толщиной 4 см комплектом машин</t>
  </si>
  <si>
    <t>ТСН-2001.3 Доп. 69, Сб. 27, т. 42, поз. 1</t>
  </si>
  <si>
    <t>ТСН-2001.3-27. 27-42...27-46</t>
  </si>
  <si>
    <t>ТСН-2001.3-27-13</t>
  </si>
  <si>
    <t>43,1</t>
  </si>
  <si>
    <t>1.3-3-3</t>
  </si>
  <si>
    <t>Смеси асфальтобетонные дорожные горячие крупнозернистые, тип I</t>
  </si>
  <si>
    <t>т</t>
  </si>
  <si>
    <t>ТСН-2001.1 Доп. 67, Р. 3, о. 3, поз. 3</t>
  </si>
  <si>
    <t>44</t>
  </si>
  <si>
    <t>44,1</t>
  </si>
  <si>
    <t>45</t>
  </si>
  <si>
    <t>3.27-43-1</t>
  </si>
  <si>
    <t>Добавляется на каждый 1 см изменения толщины слоя сверх 4 см к позиции 3.27-42-1</t>
  </si>
  <si>
    <t>ТСН-2001.3 Доп. 73, Сб. 27, т. 43, поз. 1</t>
  </si>
  <si>
    <t>)*1,1*5</t>
  </si>
  <si>
    <t>45,1</t>
  </si>
  <si>
    <t>*5</t>
  </si>
  <si>
    <t>46</t>
  </si>
  <si>
    <t>46,1</t>
  </si>
  <si>
    <t>1.3-3-7</t>
  </si>
  <si>
    <t>Смеси асфальтобетонные дорожные горячие мелкозернистые, марка I, тип А</t>
  </si>
  <si>
    <t>ТСН-2001.1 Доп. 67, Р. 3, о. 3, поз. 7</t>
  </si>
  <si>
    <t>Тротуар</t>
  </si>
  <si>
    <t>47</t>
  </si>
  <si>
    <t>48</t>
  </si>
  <si>
    <t>6.68-51-2</t>
  </si>
  <si>
    <t>Разборка покрытий и оснований щебеночных</t>
  </si>
  <si>
    <t>ТСН-2001.6 Доп. 68, Сб. 68, т. 51, поз. 2</t>
  </si>
  <si>
    <t>49</t>
  </si>
  <si>
    <t>50</t>
  </si>
  <si>
    <t>УСТРОЙСТВО ПОДСТИЛАЮЩИХ И ВЫРАВНИВАЮЩИХ СЛОЕВ ОСНОВАНИЙ ИЗ ПЕСКА  ПОД ТРОТУАР</t>
  </si>
  <si>
    <t>50,1</t>
  </si>
  <si>
    <t>51</t>
  </si>
  <si>
    <t>3.27-48-1</t>
  </si>
  <si>
    <t>Устройство оснований под тротуары из щебня толщиной 12 см</t>
  </si>
  <si>
    <t>100 м2 дорожек и тротуаров</t>
  </si>
  <si>
    <t>ТСН-2001.3 Доп. 68, Сб. 27, т. 48, поз. 1</t>
  </si>
  <si>
    <t>ТСН-2001.3-27. 27-48</t>
  </si>
  <si>
    <t>ТСН-2001.3-27-15</t>
  </si>
  <si>
    <t>51,1</t>
  </si>
  <si>
    <t>1.1-1-1555</t>
  </si>
  <si>
    <t>Щебень из естественного камня для дорожных работ, марка 1200 - 800, фракция 20 - 40 мм</t>
  </si>
  <si>
    <t>ТСН-2001.1 Доп. 67, Р. 1, о. 1, поз. 1555</t>
  </si>
  <si>
    <t>52</t>
  </si>
  <si>
    <t>3.27-47-3</t>
  </si>
  <si>
    <t>Устройство асфальтобетонных покрытий дорожек и тротуаров двухслойных нижний слой из крупнозернистой асфальтобетонной смеси толщиной 4,5 см  (6см)</t>
  </si>
  <si>
    <t>ТСН-2001.3 Доп. 68, Сб. 27, т. 47, поз. 3</t>
  </si>
  <si>
    <t>ТСН-2001.3-27. 27-47</t>
  </si>
  <si>
    <t>ТСН-2001.3-27-14</t>
  </si>
  <si>
    <t>52,1</t>
  </si>
  <si>
    <t>*1,33</t>
  </si>
  <si>
    <t>53</t>
  </si>
  <si>
    <t>3.27-47-4</t>
  </si>
  <si>
    <t>Устройство асфальтобетонных покрытий дорожек и тротуаров двухслойных верхний слой из песчаной асфальтобетонной смеси толщиной 3 см  (4см)</t>
  </si>
  <si>
    <t>ТСН-2001.3 Доп. 68, Сб. 27, т. 47, поз. 4</t>
  </si>
  <si>
    <t>53,1</t>
  </si>
  <si>
    <t>1.3-3-10</t>
  </si>
  <si>
    <t>Смеси асфальтобетонные дорожные горячие песчаные, тип Г</t>
  </si>
  <si>
    <t>ТСН-2001.1 Доп. 67, Р. 3, о. 3, поз. 10</t>
  </si>
  <si>
    <t>54</t>
  </si>
  <si>
    <t>6.68-53-1</t>
  </si>
  <si>
    <t>Разборка бортовых камней на бетонном основании</t>
  </si>
  <si>
    <t>100 м</t>
  </si>
  <si>
    <t>ТСН-2001.6 Доп. 61, Сб. 68, т. 53, поз. 1</t>
  </si>
  <si>
    <t>55</t>
  </si>
  <si>
    <t>3.27-26-1</t>
  </si>
  <si>
    <t>Установка бортовых камней бетонных при цементобетонных покрытиях</t>
  </si>
  <si>
    <t>100 м бортового камня</t>
  </si>
  <si>
    <t>ТСН-2001.3 Доп. 73, Сб. 27, т. 26, поз. 1</t>
  </si>
  <si>
    <t>ТСН-2001.3-27. 27-26-1</t>
  </si>
  <si>
    <t>ТСН-2001.3-27-3</t>
  </si>
  <si>
    <t>Тротуарная плитка</t>
  </si>
  <si>
    <t>56</t>
  </si>
  <si>
    <t>6.68-94-1</t>
  </si>
  <si>
    <t>Разборка тротуаров и дорожек из плит с отноской и укладкой в штабель</t>
  </si>
  <si>
    <t>ТСН-2001.6 Доп. 66, Сб. 68, т. 94, поз. 1</t>
  </si>
  <si>
    <t>)*1,05</t>
  </si>
  <si>
    <t>ТСН-2001.6-68. 68-94-1 (доп. 66)</t>
  </si>
  <si>
    <t>ТСН-2001.6-68-42</t>
  </si>
  <si>
    <t>Поправка: О.П. п.3.4.30.г</t>
  </si>
  <si>
    <t>57</t>
  </si>
  <si>
    <t>58</t>
  </si>
  <si>
    <t>59</t>
  </si>
  <si>
    <t>60</t>
  </si>
  <si>
    <t>Устройство подстилающих и выравнивающих слоев оснований из песка</t>
  </si>
  <si>
    <t>60,1</t>
  </si>
  <si>
    <t>61</t>
  </si>
  <si>
    <t>61,1</t>
  </si>
  <si>
    <t>62</t>
  </si>
  <si>
    <t>)*1,1*13</t>
  </si>
  <si>
    <t>62,1</t>
  </si>
  <si>
    <t>63</t>
  </si>
  <si>
    <t>3.27-12-2</t>
  </si>
  <si>
    <t>Устройство подстилающих и выравнивающих слоев оснований из щебня</t>
  </si>
  <si>
    <t>ТСН-2001.3 Доп. 69, Сб. 27, т. 12, поз. 2</t>
  </si>
  <si>
    <t>63,1</t>
  </si>
  <si>
    <t>1.1-1-1554</t>
  </si>
  <si>
    <t>Щебень из естественного камня для дорожных работ, марка 1200 - 800, фракция 10 - 20 мм</t>
  </si>
  <si>
    <t>ТСН-2001.1 Доп. 67, Р. 1, о. 1, поз. 1554</t>
  </si>
  <si>
    <t>64</t>
  </si>
  <si>
    <t>3.27-49-1</t>
  </si>
  <si>
    <t>Устройство плитных тротуаров из гладких бетонных плит с заполнением швов цементным раствором</t>
  </si>
  <si>
    <t>100 м2 тротуара</t>
  </si>
  <si>
    <t>ТСН-2001.3 Доп. 68, Сб. 27, т. 49, поз. 1</t>
  </si>
  <si>
    <t>ТСН-2001.3-27. 27-49...27-51</t>
  </si>
  <si>
    <t>ТСН-2001.3-27-16</t>
  </si>
  <si>
    <t>Инд_исп.Сводный</t>
  </si>
  <si>
    <t>Используется Индекс "по сводному"</t>
  </si>
  <si>
    <t>Базовый уровень цен</t>
  </si>
  <si>
    <t>Текущий уровень цен</t>
  </si>
  <si>
    <t>Сборник индексов</t>
  </si>
  <si>
    <t>Коэффициенты к ТСН-2001 МГЭ</t>
  </si>
  <si>
    <t>212</t>
  </si>
  <si>
    <t>_OBSM_</t>
  </si>
  <si>
    <t>9999990008</t>
  </si>
  <si>
    <t>Трудозатраты рабочих</t>
  </si>
  <si>
    <t>чел.-ч.</t>
  </si>
  <si>
    <t>2.1-1-19</t>
  </si>
  <si>
    <t>ТСН-2001.2. Доп. 68. п.1-1-19 (010302)</t>
  </si>
  <si>
    <t>Экскаваторы на пневмоколесном ходу гидравлические, объем ковша до 0,25 м3</t>
  </si>
  <si>
    <t>маш.-ч</t>
  </si>
  <si>
    <t>2.1-1-43</t>
  </si>
  <si>
    <t>ТСН-2001.2. Доп. 68. п.1-1-43 (012102)</t>
  </si>
  <si>
    <t>Бульдозеры гусеничные, мощность до 59 кВт (80 л.с.)</t>
  </si>
  <si>
    <t>9999990007</t>
  </si>
  <si>
    <t>Стоимость прочих машин (ЭСН)</t>
  </si>
  <si>
    <t>руб.</t>
  </si>
  <si>
    <t>2.1-18-34</t>
  </si>
  <si>
    <t>ТСН-2001.2. Доп. 68. п.1-18-34 (182204)</t>
  </si>
  <si>
    <t>Полуприцепы общего назначения, грузоподъемность до 20 т</t>
  </si>
  <si>
    <t>2.1-18-36</t>
  </si>
  <si>
    <t>ТСН-2001.2. Доп. 68. п.1-18-36 (185004)</t>
  </si>
  <si>
    <t>Тягачи седельные, грузоподъемность до 20 т</t>
  </si>
  <si>
    <t>2.1-3-38</t>
  </si>
  <si>
    <t>ТСН-2001.2. Доп. 68. п.1-3-38 (032009)</t>
  </si>
  <si>
    <t>Краны на автомобильном ходу, грузоподъемность до 16 т</t>
  </si>
  <si>
    <t>2.1-18-7</t>
  </si>
  <si>
    <t>ТСН-2001.2. Доп. 68. п.1-18-7 (183001)</t>
  </si>
  <si>
    <t>Автомобили грузовые бортовые, грузоподъемность до 5 т</t>
  </si>
  <si>
    <t>2.1-4-31</t>
  </si>
  <si>
    <t>ТСН-2001.2. Доп. 68. п.1-4-31 (042903)</t>
  </si>
  <si>
    <t>Лебедки электрические, тяговое усилие до 14,71 кН (1,5 тс)</t>
  </si>
  <si>
    <t>2.1-4-45</t>
  </si>
  <si>
    <t>ТСН-2001.2. Доп. 68. п.1-4-45 (043403)</t>
  </si>
  <si>
    <t>Домкраты гидравлические, грузоподъемность до 100 т</t>
  </si>
  <si>
    <t>1.1-1-491</t>
  </si>
  <si>
    <t>ТСН-2001.1 Доп. 67, Р. 1, о. 1, поз. 491</t>
  </si>
  <si>
    <t>Лак битумный, типа БТ-123</t>
  </si>
  <si>
    <t>1.1-1-8031</t>
  </si>
  <si>
    <t>ТСН-2001.1 Доп. 66, Р. 1, о. 1, поз. 8031</t>
  </si>
  <si>
    <t>Роль свинцовая, марка С1, толщина от 1 до 1,5 мм</t>
  </si>
  <si>
    <t>1.1-1-944</t>
  </si>
  <si>
    <t>ТСН-2001.1 Доп. 67, Р. 1, о. 1, поз. 944</t>
  </si>
  <si>
    <t>Припой оловянно-свинцовый, в прутках, диаметр 8 мм, типа ПОС-30</t>
  </si>
  <si>
    <t>1.1-1-967</t>
  </si>
  <si>
    <t>ТСН-2001.1 Доп. 67, Р. 1, о. 1, поз. 967</t>
  </si>
  <si>
    <t>Проволока стальная низкоуглеродистая общего назначения оцинкованная, диаметр от 1,6 до 3,0 мм</t>
  </si>
  <si>
    <t>1.21-5-1180</t>
  </si>
  <si>
    <t>ТСН-2001.1 Доп. 73, Р. 21, о. 5, поз. 1180</t>
  </si>
  <si>
    <t>Бирка маркировочная для кабелей и проводов, типа У134 У3,5</t>
  </si>
  <si>
    <t>1000 шт.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</si>
  <si>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</si>
  <si>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</si>
  <si>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</si>
  <si>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</si>
  <si>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</si>
  <si>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</si>
  <si>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2.1-17-23</t>
  </si>
  <si>
    <t>ТСН-2001.2. Доп. 68. п.1-17-23 (174301)</t>
  </si>
  <si>
    <t>Горелки газовые</t>
  </si>
  <si>
    <t>1.1-1-2613</t>
  </si>
  <si>
    <t>ТСН-2001.1 Доп. 56, Р. 1, о. 1, поз. 2613</t>
  </si>
  <si>
    <t>Пропан-бутан, сжиженный газ</t>
  </si>
  <si>
    <t>2.1-17-24</t>
  </si>
  <si>
    <t>ТСН-2001.2. Доп. 1-42, п. 1-17-24 (174302)</t>
  </si>
  <si>
    <t>Инжекторные газовые горелки</t>
  </si>
  <si>
    <t>маш.-ч.</t>
  </si>
  <si>
    <t>2.1-4-26</t>
  </si>
  <si>
    <t>ТСН-2001.2. Доп. 68. п.1-4-26 (042802)</t>
  </si>
  <si>
    <t>Лебедки ручные, грузоподъемность до 1 т</t>
  </si>
  <si>
    <t>1.1-1-115</t>
  </si>
  <si>
    <t>ТСН-2001.1. Доп. 1-42. Р. 1, о. 1, поз. 115</t>
  </si>
  <si>
    <t>Ветошь</t>
  </si>
  <si>
    <t>1.1-1-1464</t>
  </si>
  <si>
    <t>ТСН-2001.1 Доп. 67, Р. 1, о. 1, поз. 1464</t>
  </si>
  <si>
    <t>Бумага наждачная шлифовальная, на тканевой основе, водостойкая</t>
  </si>
  <si>
    <t>м2</t>
  </si>
  <si>
    <t>1.1-1-2889</t>
  </si>
  <si>
    <t>ТСН-2001.1 Доп. 67, Р. 1, о. 1, поз. 2889</t>
  </si>
  <si>
    <t>Лента изоляционная из ПВХ, размер 15х0,2 мм</t>
  </si>
  <si>
    <t>1.1-1-953</t>
  </si>
  <si>
    <t>ТСН-2001.1 Доп. 73, Р. 1, о. 1, поз. 953</t>
  </si>
  <si>
    <t>Проволока медная, толщина от 1,0 до 1,5 мм</t>
  </si>
  <si>
    <t>1.1-2-158</t>
  </si>
  <si>
    <t>ТСН-2001.1 Доп. 73, Р. 1, о. 2, поз. 158</t>
  </si>
  <si>
    <t>Бензин авиационный, марка Б-70</t>
  </si>
  <si>
    <t>л</t>
  </si>
  <si>
    <t>2.1-2-7</t>
  </si>
  <si>
    <t>ТСН-2001.2. Доп. 68. п.1-2-7 (021003)</t>
  </si>
  <si>
    <t>Тракторы колесные, мощность до 63 кВт (85 л.с.)</t>
  </si>
  <si>
    <t>ТСН-2001.1. Доп. 1-42. Р. 12, о. 3, поз. 25</t>
  </si>
  <si>
    <t>Трубы асбестоцементные безнапорные, диаметр условного прохода, мм, 100, внутренний диаметр 100 мм</t>
  </si>
  <si>
    <t>1.12-5-115</t>
  </si>
  <si>
    <t>ТСН-2001.1. Доп. 1-42. Р. 12, о. 5, поз. 115</t>
  </si>
  <si>
    <t>Муфты полиэтиленовые, диаметр 100 мм</t>
  </si>
  <si>
    <t>10 шт.</t>
  </si>
  <si>
    <t>9999990006</t>
  </si>
  <si>
    <t>Стоимость прочих материалов (ЭСН)</t>
  </si>
  <si>
    <t>2248110000</t>
  </si>
  <si>
    <t>Трубы из полиэтилена для кабельной канализации</t>
  </si>
  <si>
    <t>2.1-12-13</t>
  </si>
  <si>
    <t>ТСН-2001.2. Доп. 68. п.1-12-13 (127201)</t>
  </si>
  <si>
    <t>Установки для осушки и очистки от механических примесей атмосферного воздуха для трансформаторов, производительность до 240 м3/ч</t>
  </si>
  <si>
    <t>2.1-14-13</t>
  </si>
  <si>
    <t>ТСН-2001.2. Доп. 68. п.1-14-13 (148501)</t>
  </si>
  <si>
    <t>Пылесосы строительные (промышленные)</t>
  </si>
  <si>
    <t>2.1-17-73</t>
  </si>
  <si>
    <t>ТСН-2001.2. Доп. 71. п.1-17-73 (171901)</t>
  </si>
  <si>
    <t>Агрегаты окрасочные безвоздушные высокого давления, мощность до 4 кВт</t>
  </si>
  <si>
    <t>2.1-30-102</t>
  </si>
  <si>
    <t>ТСН-2001.2. Доп. 68. п.1-30-102 (303704)</t>
  </si>
  <si>
    <t>Дрели, мощность до 800 Вт</t>
  </si>
  <si>
    <t>1.1-1-825</t>
  </si>
  <si>
    <t>ТСН-2001.1 Доп. 67, Р. 1, о. 1, поз. 825</t>
  </si>
  <si>
    <t>Пленка полиэтиленовая, толщина от 120 до 150 мкм</t>
  </si>
  <si>
    <t>1.1-1-998</t>
  </si>
  <si>
    <t>ТСН-2001.1 Доп. 67, Р. 1, о. 1, поз. 998</t>
  </si>
  <si>
    <t>Растворитель универсальный типа 645-650</t>
  </si>
  <si>
    <t>5772450000</t>
  </si>
  <si>
    <t>(2257420000; 2316130000; 2312921000) Состав огнезащитный, вспучивающийся, механизированного и ручного нанесения</t>
  </si>
  <si>
    <t>ТСН-2001.1 Доп. 67, Р. 21, о. 5, поз. 1180</t>
  </si>
  <si>
    <t>3500000000</t>
  </si>
  <si>
    <t>Кабели напряжением до 35 кВ</t>
  </si>
  <si>
    <t>3599190000</t>
  </si>
  <si>
    <t>Оконцеватели (капы) термоусаживаемые</t>
  </si>
  <si>
    <t>3599000000</t>
  </si>
  <si>
    <t>Муфты концевые термоусаживаемые для одножильных силовых кабелей на напряжение до 10 кВ (3449630000)</t>
  </si>
  <si>
    <t>ТСН-2001.1 Доп. 67, Р. 1, о. 1, поз. 953</t>
  </si>
  <si>
    <t>ТСН-2001.1. Доп. 1-42. Р. 1, о. 2, поз. 158</t>
  </si>
  <si>
    <t>1.1-1-3555</t>
  </si>
  <si>
    <t>ТСН-2001.1 Доп. 68, Р. 1, о. 1, поз. 3555</t>
  </si>
  <si>
    <t>Смазка универсальная, силиконовая, водостойкая, диапазон температур применения от -50 до +230°С, тюбик 30 г</t>
  </si>
  <si>
    <t>Адаптеры изоляционные на напряжение 10-20 кВ (3449630000)</t>
  </si>
  <si>
    <t>1.21-5-1134</t>
  </si>
  <si>
    <t>ТСН-2001.1 Доп. 67, Р. 21, о. 5, поз. 1134</t>
  </si>
  <si>
    <t>Хомут (стяжка) кабельный из полиамида, размеры 4,8х300 мм</t>
  </si>
  <si>
    <t>100 шт.</t>
  </si>
  <si>
    <t>5296335000</t>
  </si>
  <si>
    <t>Уплотнители кабельных проходов термоусаживаемые</t>
  </si>
  <si>
    <t>2.1-4-37</t>
  </si>
  <si>
    <t>ТСН-2001.2. Доп. 68. п.1-4-37 (042909)</t>
  </si>
  <si>
    <t>Лебедки электрические, тяговое усилие до 156,96 кН (16 тc)</t>
  </si>
  <si>
    <t>1.21-5-1655</t>
  </si>
  <si>
    <t>ТСН-2001.1 Доп. 67, Р. 21, о. 5, поз. 1655</t>
  </si>
  <si>
    <t>Перемычка гибкая, типа ПГС 50-280</t>
  </si>
  <si>
    <t>1297020000</t>
  </si>
  <si>
    <t>Болты строительные с гайками и шайбами (1297030000, 1610000000, 1620000000, 1680000000)</t>
  </si>
  <si>
    <t>3414420000</t>
  </si>
  <si>
    <t>Трансформаторы тока напряжением до 10 кВ</t>
  </si>
  <si>
    <t>9797020000</t>
  </si>
  <si>
    <t>1.1-1-118</t>
  </si>
  <si>
    <t>ТСН-2001.1. Доп. 1-42. Р. 1, о. 1, поз. 118</t>
  </si>
  <si>
    <t>Вода</t>
  </si>
  <si>
    <t>9749950000</t>
  </si>
  <si>
    <t>Семена газонных трав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</si>
  <si>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</si>
  <si>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</si>
  <si>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</si>
  <si>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2.1-30-54</t>
  </si>
  <si>
    <t>ТСН-2001.2. Доп. 68. п.1-30-54 (308901)</t>
  </si>
  <si>
    <t>Молотки отбойные пневматические</t>
  </si>
  <si>
    <t>2.1-5-48</t>
  </si>
  <si>
    <t>ТСН-2001.2. Доп. 68. п.1-5-48 (056003)</t>
  </si>
  <si>
    <t>Автогрейдеры, мощность до 147 кВт (200 л.с.)</t>
  </si>
  <si>
    <t>2.1-1-5</t>
  </si>
  <si>
    <t>ТСН-2001.2. Доп. 68. п.1-1-5 (010109)</t>
  </si>
  <si>
    <t>Экскаваторы на гусеничном ходу гидравлические, объем ковша до 0,65 м3</t>
  </si>
  <si>
    <t>2.1-2-1</t>
  </si>
  <si>
    <t>ТСН-2001.2. Доп. 68. п.1-2-1 (020101)</t>
  </si>
  <si>
    <t>Тракторы на гусеничном ходу, мощность до 60 кВт (81 л.с.)</t>
  </si>
  <si>
    <t>2.1-5-113</t>
  </si>
  <si>
    <t>ТСН-2001.2. Доп. 68. п.1-5-113 (050502)</t>
  </si>
  <si>
    <t>Катки грунтовые вибрационные, масса до 21 т</t>
  </si>
  <si>
    <t>2.1-5-18</t>
  </si>
  <si>
    <t>ТСН-2001.2. Доп. 68. п.1-5-18 (050902)</t>
  </si>
  <si>
    <t>Машины поливомоечные, емкость цистерны до 8 м3</t>
  </si>
  <si>
    <t>2.1-5-7</t>
  </si>
  <si>
    <t>ТСН-2001.2. Доп. 68. п.1-5-7 (050301)</t>
  </si>
  <si>
    <t>Катки дорожные самоходные на пневмоколесном ходу, масса до 16 т</t>
  </si>
  <si>
    <t>5711400000</t>
  </si>
  <si>
    <t>Песок природный для строительных работ</t>
  </si>
  <si>
    <t>ТСН-2001.2. Доп. 71. п.1-5-18 (050902)</t>
  </si>
  <si>
    <t>2.1-5-64</t>
  </si>
  <si>
    <t>ТСН-2001.2. Доп. 68. п.1-5-64 (059002)</t>
  </si>
  <si>
    <t>Котлы битумоварочные электрические, емкость до 1000 л, мощность до 50 кВт</t>
  </si>
  <si>
    <t>2.1-6-51</t>
  </si>
  <si>
    <t>ТСН-2001.2. Доп. 68. п.1-6-51 (069401)</t>
  </si>
  <si>
    <t>Вибраторы поверхностные</t>
  </si>
  <si>
    <t>1.1-1-1017</t>
  </si>
  <si>
    <t>ТСН-2001.1 Доп. 70, Р. 1, о. 1, поз. 1017</t>
  </si>
  <si>
    <t>Материал рулонный кровельный и гидроизоляционный, рубероид типа РКК-350, на основе кровельного картона, с крупнозернистой посыпкой с верхней стороны, разрывная сила при растяжении не менее 320 Н, температура гибкости не выше +5°С, теплостойкость не ниже +</t>
  </si>
  <si>
    <t>1.1-1-45</t>
  </si>
  <si>
    <t>ТСН-2001.1 Доп. 70, Р. 1, о. 1, поз. 45</t>
  </si>
  <si>
    <t>Битум нефтяной дорожный вязкий, марка БНД</t>
  </si>
  <si>
    <t>1.9-11-4</t>
  </si>
  <si>
    <t>ТСН-2001.1 Доп. 67, Р. 9, о. 11, поз. 4</t>
  </si>
  <si>
    <t>Щит деревянный для фундаментов, колонн, балок, перекрытий, стен, перегородок и других конструкций из досок, толщина 40 мм</t>
  </si>
  <si>
    <t>5745080000</t>
  </si>
  <si>
    <t>Смеси бетонные, БСГ, тяжелого бетона для инженерных коммуникаций и дорог</t>
  </si>
  <si>
    <t>ТСН-2001.1. Доп. 1-42. Р. 9, о. 11, поз. 4</t>
  </si>
  <si>
    <t>Щиты деревянные для фундаментов, колонн, балок, перекрытий, стен, перегородок и других конструкций из досок, толщина 40 мм</t>
  </si>
  <si>
    <t>2.1-4-3</t>
  </si>
  <si>
    <t>ТСН-2001.2. Доп. 68. п.1-4-3 (040103)</t>
  </si>
  <si>
    <t>Погрузчики фронтальные одноковшовые, грузоподъемность до 3 т</t>
  </si>
  <si>
    <t>2.1-5-19</t>
  </si>
  <si>
    <t>ТСН-2001.2. Доп. 68. п.1-5-19 (051001)</t>
  </si>
  <si>
    <t>Асфальтоукладчики на гусеничном ходу, производительность до 350 т/ч</t>
  </si>
  <si>
    <t>2.1-5-2</t>
  </si>
  <si>
    <t>ТСН-2001.2. Доп. 68. п.1-5-2 (050102)</t>
  </si>
  <si>
    <t>Катки самоходные вибрационные, масса до 8 т</t>
  </si>
  <si>
    <t>2.1-5-35</t>
  </si>
  <si>
    <t>ТСН-2001.2. Доп. 68. п.1-5-35 (053601)</t>
  </si>
  <si>
    <t>Автогудронаторы, емкость до 4000 л</t>
  </si>
  <si>
    <t>2.1-5-6</t>
  </si>
  <si>
    <t>ТСН-2001.2. Доп. 68. п.1-5-6 (050203)</t>
  </si>
  <si>
    <t>Катки дорожные самоходные статические, масса до 13 т</t>
  </si>
  <si>
    <t>1.3-3-19</t>
  </si>
  <si>
    <t>ТСН-2001.1 Доп. 67, Р. 3, о. 3, поз. 19</t>
  </si>
  <si>
    <t>Эмульсия дорожная, битумная</t>
  </si>
  <si>
    <t>5718400000</t>
  </si>
  <si>
    <t>Смеси асфальтобетонные</t>
  </si>
  <si>
    <t>5711910000</t>
  </si>
  <si>
    <t>Щебень из природного камня</t>
  </si>
  <si>
    <t>1.1-1-46</t>
  </si>
  <si>
    <t>ТСН-2001.1 Доп. 67, Р. 1, о. 1, поз. 46</t>
  </si>
  <si>
    <t>Битум нефтяной дорожный жидкий, марка МГ, СГ</t>
  </si>
  <si>
    <t>1.1-1-132</t>
  </si>
  <si>
    <t>ТСН-2001.1. Доп. 1-42. Р. 1, о. 1, поз. 132</t>
  </si>
  <si>
    <t>Гвозди строительные</t>
  </si>
  <si>
    <t>1.1-1-230</t>
  </si>
  <si>
    <t>ТСН-2001.1 Доп. 67, Р. 1, о. 1, поз. 230</t>
  </si>
  <si>
    <t>Пиломатериал (доска) обрезной хвойных пород естественной влажности, сорт IV, толщина 20 мм, ширина от 100 до 200 мм</t>
  </si>
  <si>
    <t>1.3-1-38</t>
  </si>
  <si>
    <t>ТСН-2001.1 Доп. 67, Р. 3, о. 1, поз. 38</t>
  </si>
  <si>
    <t>Смесь бетонная тяжелого бетона БСТ на гранитном щебне, крупность заполнителя от 5 до 20 мм, класс прочности В15 (М200), П3, F50-100, W2</t>
  </si>
  <si>
    <t>1.3-2-5</t>
  </si>
  <si>
    <t>ТСН-2001.1 Доп. 67, Р. 3, о. 2, поз. 5</t>
  </si>
  <si>
    <t>Раствор цементный, марка М100</t>
  </si>
  <si>
    <t>5898320000</t>
  </si>
  <si>
    <t>Камни бортовые</t>
  </si>
  <si>
    <t>2245190000</t>
  </si>
  <si>
    <t>Пленка полиэтиленовая</t>
  </si>
  <si>
    <t>2.1-5-3</t>
  </si>
  <si>
    <t>ТСН-2001.2. Доп. 68. п.1-5-3 (050103)</t>
  </si>
  <si>
    <t>Катки самоходные вибрационные, масса до 14 т</t>
  </si>
  <si>
    <t>5711100000</t>
  </si>
  <si>
    <t>Щебень для дорожных работ</t>
  </si>
  <si>
    <t>2.1-17-82</t>
  </si>
  <si>
    <t>ТСН-2001.2. Доп. 68. п.1-17-82 (177201)</t>
  </si>
  <si>
    <t>Виброплиты для уплотнения песка, гравия и бетона, мощность до 4 кВт (5,5 л.с.)</t>
  </si>
  <si>
    <t>1.3-2-14</t>
  </si>
  <si>
    <t>ТСН-2001.1 Доп. 67, Р. 3, о. 2, поз. 14</t>
  </si>
  <si>
    <t>Раствор цементно-известковый, марка М100</t>
  </si>
  <si>
    <t>5846300000</t>
  </si>
  <si>
    <t>Плиты бетонные гладкие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</si>
  <si>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</si>
  <si>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  Поправка: Сб.3-1.т.3.1.п.3.1.13_03.01.01.22.001  Наименование: При засыпке экскаватором траншей и котлованов ранее разработанным, не слежавшимся или разрыхлённым грунтом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</si>
  <si>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  Поправка: Гл.3.Прил.2.2.п.2.2.1_03.00.01.01.001  Наименование: При производстве строительных работ в охранной зоне действующей воздушной линии электропередачи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</si>
  <si>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  Поправка: Гл.4.Прил.2.2.п.2.2.3_04.00.01.01.001  Наименование: При выполнении работ в охранной зоне воздушных линий электропередачи, в местах прохода коммуникаций электроснабжения в действующих электроустановках, вблизи конструкций и предметов, находящихся под напряжением (в случаях, когда полное снятие напряжения по производственным условиям невозможно), если это связано с ограничением действий рабочих специальными требованиями техники безопасности</t>
  </si>
  <si>
    <t>Поправка: Гл.4.Прил.2.2.п.2.2.3_04.00.01.01.001  Наименование: При выполнении работ в охранной зоне воздушных линий электропередачи, в местах прохода коммуникаций электроснабжения в действующих электроустановках, вблизи конструкций и предметов, находящихся под напряжением (в случаях, когда полное снятие напряжения по производственным условиям невозможно), если это связано с ограничением действий рабочих специальными требованиями техники безопасности</t>
  </si>
  <si>
    <t>Поправка: О.П. п.3.4.30.г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 города Москвы, расположенных за пределами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</si>
  <si>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</si>
  <si>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</si>
  <si>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</si>
  <si>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</si>
  <si>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</si>
  <si>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</si>
  <si>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</si>
  <si>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</si>
  <si>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</si>
  <si>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</si>
  <si>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</si>
  <si>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</si>
  <si>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</si>
  <si>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</si>
  <si>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</si>
  <si>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</si>
  <si>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</si>
  <si>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</si>
  <si>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</si>
  <si>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</si>
  <si>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</si>
  <si>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</si>
  <si>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</si>
  <si>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</si>
  <si>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t>Всего в
ценах на
январь 2000 года,
руб.</t>
  </si>
  <si>
    <r>
      <t>3.1-51-1</t>
    </r>
    <r>
      <rPr>
        <i/>
        <sz val="10"/>
        <rFont val="Arial"/>
        <family val="2"/>
        <charset val="204"/>
      </rPr>
      <t xml:space="preserve">
Поправка: О.П. п.3.4.30.в</t>
    </r>
  </si>
  <si>
    <t>ЗП</t>
  </si>
  <si>
    <t>НР от ЗП</t>
  </si>
  <si>
    <t>%</t>
  </si>
  <si>
    <t>СП от ЗП</t>
  </si>
  <si>
    <t>ЗТР</t>
  </si>
  <si>
    <t>чел-ч</t>
  </si>
  <si>
    <t>Всего по позиции:</t>
  </si>
  <si>
    <r>
      <t>3.1-7-2</t>
    </r>
    <r>
      <rPr>
        <i/>
        <sz val="10"/>
        <rFont val="Arial"/>
        <family val="2"/>
        <charset val="204"/>
      </rPr>
      <t xml:space="preserve">
Поправка: О.П. п.3.4.30.в</t>
    </r>
  </si>
  <si>
    <t>ЭМ</t>
  </si>
  <si>
    <t>в т.ч. ЗПМ</t>
  </si>
  <si>
    <t>НР и СП от ЗПМ</t>
  </si>
  <si>
    <r>
      <t>3.1-3-2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</si>
  <si>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3.1-53-1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</si>
  <si>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3.1-3-2</t>
    </r>
    <r>
      <rPr>
        <i/>
        <sz val="10"/>
        <rFont val="Arial"/>
        <family val="2"/>
        <charset val="204"/>
      </rPr>
      <t xml:space="preserve">
Поправка: О.П. п.3.4.30.в  Поправка: Сб.3-1.т.3.1.п.3.1.13_03.01.01.22.001</t>
    </r>
  </si>
  <si>
    <r>
      <t>3.34-55-5</t>
    </r>
    <r>
      <rPr>
        <i/>
        <sz val="10"/>
        <rFont val="Arial"/>
        <family val="2"/>
        <charset val="204"/>
      </rPr>
      <t xml:space="preserve">
Поправка: О.П. п.3.4.30.в  Поправка: Гл.3.Прил.2.2.п.2.2.1_03.00.01.01.001</t>
    </r>
  </si>
  <si>
    <r>
      <t>3.34-55-5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</si>
  <si>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3.34-55-6</t>
    </r>
    <r>
      <rPr>
        <i/>
        <sz val="10"/>
        <rFont val="Arial"/>
        <family val="2"/>
        <charset val="204"/>
      </rPr>
      <t xml:space="preserve">
Поправка: О.П. п.3.4.30.в  Поправка: Гл.3.Прил.2.2.п.2.2.1_03.00.01.01.001</t>
    </r>
  </si>
  <si>
    <r>
      <t>3.34-55-6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</si>
  <si>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Труба ТЗК Энергопласт ТСЗ 160х8 F4</t>
    </r>
    <r>
      <rPr>
        <i/>
        <sz val="10"/>
        <rFont val="Arial"/>
        <family val="2"/>
        <charset val="204"/>
      </rPr>
      <t xml:space="preserve">
94,90 = [906,23 /  9,74] +  2% Трансп</t>
    </r>
  </si>
  <si>
    <r>
      <t>КП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</si>
  <si>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1.1-1-766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</si>
  <si>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1.12-3-62</t>
    </r>
    <r>
      <rPr>
        <i/>
        <sz val="10"/>
        <rFont val="Arial"/>
        <family val="2"/>
        <charset val="204"/>
      </rPr>
      <t xml:space="preserve">
Поправка: О.П. п.3.4.30.в</t>
    </r>
  </si>
  <si>
    <t xml:space="preserve">   Итого по ТСН-2001.16</t>
  </si>
  <si>
    <t xml:space="preserve">   Итого возвратных сумм</t>
  </si>
  <si>
    <r>
      <t>4.8-80-2</t>
    </r>
    <r>
      <rPr>
        <i/>
        <sz val="10"/>
        <rFont val="Arial"/>
        <family val="2"/>
        <charset val="204"/>
      </rPr>
      <t xml:space="preserve">
Поправка: О.П. п.3.4.30.в  Поправка: Гл.4.Прил.2.2.п.2.2.3_04.00.01.01.001</t>
    </r>
  </si>
  <si>
    <t>МР</t>
  </si>
  <si>
    <r>
      <t>4.8-80-2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</si>
  <si>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4.8-301-1</t>
    </r>
    <r>
      <rPr>
        <i/>
        <sz val="10"/>
        <rFont val="Arial"/>
        <family val="2"/>
        <charset val="204"/>
      </rPr>
      <t xml:space="preserve">
Поправка: О.П. п.3.4.30.в  Поправка: Гл.4.Прил.2.2.п.2.2.3_04.00.01.01.001</t>
    </r>
  </si>
  <si>
    <r>
      <t>4.8-301-1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</si>
  <si>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1.21-5-1069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</si>
  <si>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3.47-26-3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</si>
  <si>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3.47-26-4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</si>
  <si>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3.47-26-5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</si>
  <si>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3.47-26-6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</si>
  <si>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6.68-51-4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</si>
  <si>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6.68-51-5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</si>
  <si>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6.68-13-1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</si>
  <si>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3.27-12-1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</si>
  <si>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3.27-30-1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</si>
  <si>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3.27-30-2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</si>
  <si>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3.27-42-1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</si>
  <si>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3.27-43-1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</si>
  <si>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1.3-3-3</t>
    </r>
    <r>
      <rPr>
        <i/>
        <sz val="10"/>
        <rFont val="Arial"/>
        <family val="2"/>
        <charset val="204"/>
      </rPr>
      <t xml:space="preserve">
Поправка: О.П. п.3.4.30.в</t>
    </r>
  </si>
  <si>
    <t>к нр *5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</si>
  <si>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</si>
  <si>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</si>
  <si>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</si>
  <si>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</si>
  <si>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ПИР, СМР, ПНР, материалы, оборудование (за исключением замков, предоставляемых Заказчиком) по титулу: 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 для нужд МКС – филиала ПАО «Россети Московский регион»</t>
  </si>
  <si>
    <t>ЛОКАЛЬНАЯ СМЕТА № 02-01-02</t>
  </si>
  <si>
    <t>Строительство КЛ 10 кВ в трубе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</si>
</sst>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0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0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164" fontId="16" fillId="0" borderId="2" xfId="0" applyNumberFormat="1" applyFont="1" applyBorder="1" applyAlignment="1">
      <alignment horizontal="right"/>
    </xf>
    <xf numFmtId="164" fontId="0" fillId="0" borderId="0" xfId="0" applyNumberFormat="1"/>
    <xf numFmtId="164" fontId="18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16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left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quotePrefix="1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 xr:uid="{4B01118D-C72F-4CA7-A236-8C278E815D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1E0C-70B5-434E-B9D9-013689625C65}">
  <sheetPr>
    <pageSetUpPr fitToPage="1"/>
  </sheetPr>
  <dimension ref="A1:AP393"/>
  <sheetViews>
    <sheetView tabSelected="1" topLeftCell="A359" zoomScaleNormal="100" workbookViewId="0">
      <selection activeCell="I396" sqref="I396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9" bestFit="1" customWidth="1"/>
    <col min="6" max="6" width="10.140625" bestFit="1" customWidth="1"/>
    <col min="7" max="7" width="8.7109375" bestFit="1" customWidth="1"/>
    <col min="9" max="9" width="9" bestFit="1" customWidth="1"/>
    <col min="11" max="11" width="10.140625" bestFit="1" customWidth="1"/>
    <col min="15" max="41" width="0" hidden="1" customWidth="1"/>
    <col min="42" max="42" width="129.7109375" hidden="1" customWidth="1"/>
    <col min="43" max="47" width="0" hidden="1" customWidth="1"/>
  </cols>
  <sheetData>
    <row r="1" spans="1:11" x14ac:dyDescent="0.2">
      <c r="A1" s="10" t="str">
        <f>Source!B1</f>
        <v>Smeta.RU  (495) 974-1589</v>
      </c>
    </row>
    <row r="2" spans="1:11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0" t="s">
        <v>716</v>
      </c>
      <c r="K2" s="30"/>
    </row>
    <row r="3" spans="1:11" ht="59.25" customHeight="1" x14ac:dyDescent="0.25">
      <c r="A3" s="12" t="s">
        <v>769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3" t="s">
        <v>695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.75" customHeight="1" x14ac:dyDescent="0.25">
      <c r="A6" s="12" t="s">
        <v>770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8" x14ac:dyDescent="0.25">
      <c r="A8" s="15" t="s">
        <v>771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2">
      <c r="A9" s="16" t="s">
        <v>696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4.25" x14ac:dyDescent="0.2">
      <c r="A11" s="18" t="str">
        <f>CONCATENATE( "Основание: чертежи № ", Source!J12)</f>
        <v xml:space="preserve">Основание: чертежи № 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1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697</v>
      </c>
      <c r="J13" s="20" t="s">
        <v>698</v>
      </c>
      <c r="K13" s="11"/>
    </row>
    <row r="14" spans="1:11" ht="15" x14ac:dyDescent="0.25">
      <c r="A14" s="11"/>
      <c r="B14" s="11"/>
      <c r="C14" s="11"/>
      <c r="D14" s="11"/>
      <c r="E14" s="21" t="s">
        <v>699</v>
      </c>
      <c r="F14" s="21"/>
      <c r="G14" s="21"/>
      <c r="H14" s="21"/>
      <c r="I14" s="22">
        <f>I15+I16+I17+I18</f>
        <v>7.49</v>
      </c>
      <c r="J14" s="22">
        <f>J15+J16+J17+J18</f>
        <v>80.650000000000006</v>
      </c>
      <c r="K14" s="23" t="s">
        <v>765</v>
      </c>
    </row>
    <row r="15" spans="1:11" ht="14.25" x14ac:dyDescent="0.2">
      <c r="A15" s="11"/>
      <c r="B15" s="11"/>
      <c r="C15" s="11"/>
      <c r="D15" s="11"/>
      <c r="E15" s="24" t="s">
        <v>23</v>
      </c>
      <c r="F15" s="24"/>
      <c r="G15" s="24"/>
      <c r="H15" s="24"/>
      <c r="I15" s="25">
        <f>ROUND((Source!F487)/1000, 2)</f>
        <v>2.2000000000000002</v>
      </c>
      <c r="J15" s="25">
        <f>ROUND((Source!P487)/1000, 2)</f>
        <v>27.81</v>
      </c>
      <c r="K15" s="11" t="s">
        <v>765</v>
      </c>
    </row>
    <row r="16" spans="1:11" ht="14.25" x14ac:dyDescent="0.2">
      <c r="A16" s="11"/>
      <c r="B16" s="11"/>
      <c r="C16" s="11"/>
      <c r="D16" s="11"/>
      <c r="E16" s="24" t="s">
        <v>700</v>
      </c>
      <c r="F16" s="24"/>
      <c r="G16" s="24"/>
      <c r="H16" s="24"/>
      <c r="I16" s="25">
        <f>ROUND((Source!F488)/1000, 2)</f>
        <v>5.29</v>
      </c>
      <c r="J16" s="25">
        <f>ROUND((Source!P488)/1000, 2)</f>
        <v>52.84</v>
      </c>
      <c r="K16" s="11" t="s">
        <v>765</v>
      </c>
    </row>
    <row r="17" spans="1:42" ht="14.25" x14ac:dyDescent="0.2">
      <c r="A17" s="11"/>
      <c r="B17" s="11"/>
      <c r="C17" s="11"/>
      <c r="D17" s="11"/>
      <c r="E17" s="24" t="s">
        <v>701</v>
      </c>
      <c r="F17" s="24"/>
      <c r="G17" s="24"/>
      <c r="H17" s="24"/>
      <c r="I17" s="25">
        <f>ROUND((Source!F479)/1000, 2)</f>
        <v>0</v>
      </c>
      <c r="J17" s="25">
        <f>ROUND((Source!P479)/1000, 2)</f>
        <v>0</v>
      </c>
      <c r="K17" s="11" t="s">
        <v>765</v>
      </c>
    </row>
    <row r="18" spans="1:42" ht="14.25" x14ac:dyDescent="0.2">
      <c r="A18" s="11"/>
      <c r="B18" s="11"/>
      <c r="C18" s="11"/>
      <c r="D18" s="11"/>
      <c r="E18" s="24" t="s">
        <v>702</v>
      </c>
      <c r="F18" s="24"/>
      <c r="G18" s="24"/>
      <c r="H18" s="24"/>
      <c r="I18" s="25">
        <f>ROUND((Source!F489+Source!F490)/1000, 2)</f>
        <v>0</v>
      </c>
      <c r="J18" s="25">
        <f>ROUND((Source!P489+Source!P490)/1000, 2)</f>
        <v>0</v>
      </c>
      <c r="K18" s="11" t="s">
        <v>765</v>
      </c>
    </row>
    <row r="19" spans="1:42" ht="14.25" x14ac:dyDescent="0.2">
      <c r="A19" s="11"/>
      <c r="B19" s="11"/>
      <c r="C19" s="11"/>
      <c r="D19" s="11"/>
      <c r="E19" s="24" t="s">
        <v>703</v>
      </c>
      <c r="F19" s="24"/>
      <c r="G19" s="24"/>
      <c r="H19" s="24"/>
      <c r="I19" s="25">
        <f>(Source!F485+ Source!F484)/1000</f>
        <v>0.40964999999999996</v>
      </c>
      <c r="J19" s="25">
        <f>((Source!P485 + Source!P484)/1000)</f>
        <v>14.137049999999999</v>
      </c>
      <c r="K19" s="11" t="s">
        <v>765</v>
      </c>
    </row>
    <row r="20" spans="1:42" ht="14.25" x14ac:dyDescent="0.2">
      <c r="A20" s="11"/>
      <c r="B20" s="11"/>
      <c r="C20" s="11"/>
      <c r="D20" s="11"/>
      <c r="E20" s="24" t="s">
        <v>704</v>
      </c>
      <c r="F20" s="24"/>
      <c r="G20" s="24"/>
      <c r="H20" s="24"/>
      <c r="I20" s="25">
        <f>Source!F492</f>
        <v>30.849684533800005</v>
      </c>
      <c r="J20" s="25"/>
      <c r="K20" s="11" t="s">
        <v>440</v>
      </c>
    </row>
    <row r="21" spans="1:42" ht="14.25" hidden="1" x14ac:dyDescent="0.2">
      <c r="A21" s="11"/>
      <c r="B21" s="11"/>
      <c r="C21" s="11"/>
      <c r="D21" s="11"/>
      <c r="E21" s="24" t="s">
        <v>705</v>
      </c>
      <c r="F21" s="24"/>
      <c r="G21" s="24"/>
      <c r="H21" s="24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6" t="s">
        <v>145</v>
      </c>
      <c r="F22" s="26"/>
      <c r="G22" s="26"/>
      <c r="H22" s="26"/>
      <c r="I22" s="25">
        <f>SUM(Y1:Y386)/1000</f>
        <v>0</v>
      </c>
      <c r="J22" s="25">
        <f>SUM(Z1:Z386)/1000</f>
        <v>0</v>
      </c>
      <c r="K22" s="11" t="s">
        <v>765</v>
      </c>
    </row>
    <row r="23" spans="1:42" ht="14.25" x14ac:dyDescent="0.2">
      <c r="A23" s="11"/>
      <c r="B23" s="11"/>
      <c r="C23" s="11"/>
      <c r="D23" s="11"/>
      <c r="E23" s="11"/>
      <c r="F23" s="27"/>
      <c r="G23" s="27"/>
      <c r="H23" s="27"/>
      <c r="I23" s="25"/>
      <c r="J23" s="25"/>
      <c r="K23" s="11"/>
    </row>
    <row r="24" spans="1:42" ht="14.25" x14ac:dyDescent="0.2">
      <c r="A24" s="11" t="s">
        <v>717</v>
      </c>
      <c r="B24" s="11"/>
      <c r="C24" s="11"/>
      <c r="D24" s="11"/>
      <c r="E24" s="11"/>
      <c r="F24" s="27"/>
      <c r="G24" s="27"/>
      <c r="H24" s="27"/>
      <c r="I24" s="25"/>
      <c r="J24" s="25"/>
      <c r="K24" s="11"/>
    </row>
    <row r="25" spans="1:42" ht="14.25" x14ac:dyDescent="0.2">
      <c r="A25" s="18" t="s">
        <v>718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1" t="s">
        <v>718</v>
      </c>
    </row>
    <row r="26" spans="1:42" ht="114" x14ac:dyDescent="0.2">
      <c r="A26" s="28" t="s">
        <v>706</v>
      </c>
      <c r="B26" s="28" t="s">
        <v>707</v>
      </c>
      <c r="C26" s="28" t="s">
        <v>708</v>
      </c>
      <c r="D26" s="28" t="s">
        <v>709</v>
      </c>
      <c r="E26" s="28" t="s">
        <v>710</v>
      </c>
      <c r="F26" s="28" t="s">
        <v>711</v>
      </c>
      <c r="G26" s="29" t="s">
        <v>712</v>
      </c>
      <c r="H26" s="29" t="s">
        <v>713</v>
      </c>
      <c r="I26" s="28" t="s">
        <v>719</v>
      </c>
      <c r="J26" s="28" t="s">
        <v>714</v>
      </c>
      <c r="K26" s="28" t="s">
        <v>715</v>
      </c>
    </row>
    <row r="27" spans="1:42" ht="14.25" x14ac:dyDescent="0.2">
      <c r="A27" s="28">
        <v>1</v>
      </c>
      <c r="B27" s="28">
        <v>2</v>
      </c>
      <c r="C27" s="28">
        <v>3</v>
      </c>
      <c r="D27" s="28">
        <v>4</v>
      </c>
      <c r="E27" s="28">
        <v>5</v>
      </c>
      <c r="F27" s="28">
        <v>6</v>
      </c>
      <c r="G27" s="28">
        <v>7</v>
      </c>
      <c r="H27" s="28">
        <v>8</v>
      </c>
      <c r="I27" s="28">
        <v>9</v>
      </c>
      <c r="J27" s="28">
        <v>10</v>
      </c>
      <c r="K27" s="28">
        <v>11</v>
      </c>
    </row>
    <row r="29" spans="1:42" ht="16.5" x14ac:dyDescent="0.25">
      <c r="A29" s="32" t="str">
        <f>CONCATENATE("Локальная смета: ",IF(Source!G20&lt;&gt;"Новая локальная смета", Source!G20, ""))</f>
        <v>Локальная смета: Строительство КЛ 10 кВ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1" spans="1:42" ht="16.5" x14ac:dyDescent="0.25">
      <c r="A31" s="32" t="str">
        <f>CONCATENATE("Раздел: ",IF(Source!G24&lt;&gt;"Новый раздел", Source!G24, ""))</f>
        <v>Раздел: Земляные работы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42" ht="52.5" x14ac:dyDescent="0.2">
      <c r="A32" s="33">
        <v>1</v>
      </c>
      <c r="B32" s="33" t="s">
        <v>720</v>
      </c>
      <c r="C32" s="33" t="s">
        <v>19</v>
      </c>
      <c r="D32" s="35" t="str">
        <f>Source!DW28</f>
        <v>100 м3 грунта</v>
      </c>
      <c r="E32" s="34">
        <f>Source!I28</f>
        <v>7.8600000000000007E-3</v>
      </c>
      <c r="F32" s="37"/>
      <c r="G32" s="36"/>
      <c r="H32" s="34"/>
      <c r="I32" s="37"/>
      <c r="J32" s="34"/>
      <c r="K32" s="37"/>
      <c r="Q32">
        <f>Source!X28</f>
        <v>23.14</v>
      </c>
      <c r="R32">
        <f>Source!X29</f>
        <v>661.72</v>
      </c>
      <c r="S32">
        <f>Source!Y28</f>
        <v>16.97</v>
      </c>
      <c r="T32">
        <f>Source!Y29</f>
        <v>311.85000000000002</v>
      </c>
      <c r="U32">
        <f>ROUND((175/100)*ROUND(Source!R28, 2), 2)</f>
        <v>0</v>
      </c>
      <c r="V32">
        <f>ROUND((160/100)*ROUND(Source!R29, 2), 2)</f>
        <v>0</v>
      </c>
      <c r="AC32">
        <v>0</v>
      </c>
    </row>
    <row r="33" spans="1:29" x14ac:dyDescent="0.2">
      <c r="C33" s="38" t="str">
        <f>"Объем: "&amp;Source!I28&amp;"=0,786/"&amp;"100"</f>
        <v>Объем: 0,00786=0,786/100</v>
      </c>
    </row>
    <row r="34" spans="1:29" ht="14.25" x14ac:dyDescent="0.2">
      <c r="A34" s="33"/>
      <c r="B34" s="33"/>
      <c r="C34" s="33" t="s">
        <v>721</v>
      </c>
      <c r="D34" s="35"/>
      <c r="E34" s="34"/>
      <c r="F34" s="37">
        <f>Source!AO28</f>
        <v>2042.62</v>
      </c>
      <c r="G34" s="36" t="str">
        <f>Source!DG28</f>
        <v>)*1,1</v>
      </c>
      <c r="H34" s="34">
        <f>Source!AV29</f>
        <v>1.248</v>
      </c>
      <c r="I34" s="37">
        <f>Source!S28</f>
        <v>22.04</v>
      </c>
      <c r="J34" s="34">
        <f>IF(Source!BA29&lt;&gt; 0, Source!BA29, 1)</f>
        <v>34.51</v>
      </c>
      <c r="K34" s="37">
        <f>Source!S29</f>
        <v>760.6</v>
      </c>
    </row>
    <row r="35" spans="1:29" ht="14.25" x14ac:dyDescent="0.2">
      <c r="A35" s="33"/>
      <c r="B35" s="33"/>
      <c r="C35" s="33" t="s">
        <v>722</v>
      </c>
      <c r="D35" s="35" t="s">
        <v>723</v>
      </c>
      <c r="E35" s="34">
        <f>Source!DN29</f>
        <v>105</v>
      </c>
      <c r="F35" s="37"/>
      <c r="G35" s="36"/>
      <c r="H35" s="34"/>
      <c r="I35" s="37">
        <f>SUM(Q32:Q34)</f>
        <v>23.14</v>
      </c>
      <c r="J35" s="34">
        <f>Source!BZ29</f>
        <v>87</v>
      </c>
      <c r="K35" s="37">
        <f>SUM(R32:R34)</f>
        <v>661.72</v>
      </c>
    </row>
    <row r="36" spans="1:29" ht="14.25" x14ac:dyDescent="0.2">
      <c r="A36" s="33"/>
      <c r="B36" s="33"/>
      <c r="C36" s="33" t="s">
        <v>724</v>
      </c>
      <c r="D36" s="35" t="s">
        <v>723</v>
      </c>
      <c r="E36" s="34">
        <f>Source!DO29</f>
        <v>77</v>
      </c>
      <c r="F36" s="37"/>
      <c r="G36" s="36"/>
      <c r="H36" s="34"/>
      <c r="I36" s="37">
        <f>SUM(S32:S35)</f>
        <v>16.97</v>
      </c>
      <c r="J36" s="34">
        <f>Source!CA29</f>
        <v>41</v>
      </c>
      <c r="K36" s="37">
        <f>SUM(T32:T35)</f>
        <v>311.85000000000002</v>
      </c>
    </row>
    <row r="37" spans="1:29" ht="14.25" x14ac:dyDescent="0.2">
      <c r="A37" s="39"/>
      <c r="B37" s="39"/>
      <c r="C37" s="39" t="s">
        <v>725</v>
      </c>
      <c r="D37" s="40" t="s">
        <v>726</v>
      </c>
      <c r="E37" s="41">
        <f>Source!AQ28</f>
        <v>192.7</v>
      </c>
      <c r="F37" s="42"/>
      <c r="G37" s="43" t="str">
        <f>Source!DI28</f>
        <v>)*1,1</v>
      </c>
      <c r="H37" s="41">
        <f>Source!AV29</f>
        <v>1.248</v>
      </c>
      <c r="I37" s="42">
        <f>Source!U28</f>
        <v>2.0792730816000002</v>
      </c>
      <c r="J37" s="41"/>
      <c r="K37" s="42"/>
    </row>
    <row r="38" spans="1:29" ht="15" x14ac:dyDescent="0.25">
      <c r="C38" s="23" t="s">
        <v>727</v>
      </c>
      <c r="H38" s="44">
        <f>I34+I35+I36+0</f>
        <v>62.15</v>
      </c>
      <c r="I38" s="44"/>
      <c r="J38" s="44">
        <f>K34+K35+K36+0</f>
        <v>1734.17</v>
      </c>
      <c r="K38" s="44"/>
      <c r="O38" s="45">
        <f>I34+I35+I36+0</f>
        <v>62.15</v>
      </c>
      <c r="P38" s="45">
        <f>K34+K35+K36+0</f>
        <v>1734.17</v>
      </c>
    </row>
    <row r="40" spans="1:29" ht="57" x14ac:dyDescent="0.2">
      <c r="A40" s="33">
        <v>2</v>
      </c>
      <c r="B40" s="33" t="s">
        <v>728</v>
      </c>
      <c r="C40" s="33" t="s">
        <v>29</v>
      </c>
      <c r="D40" s="35" t="str">
        <f>Source!DW30</f>
        <v>100 м3 грунта</v>
      </c>
      <c r="E40" s="34">
        <f>Source!I30</f>
        <v>9.4000000000000004E-3</v>
      </c>
      <c r="F40" s="37"/>
      <c r="G40" s="36"/>
      <c r="H40" s="34"/>
      <c r="I40" s="37"/>
      <c r="J40" s="34"/>
      <c r="K40" s="37"/>
      <c r="Q40">
        <f>Source!X30</f>
        <v>0.36</v>
      </c>
      <c r="R40">
        <f>Source!X31</f>
        <v>12</v>
      </c>
      <c r="S40">
        <f>Source!Y30</f>
        <v>0.28000000000000003</v>
      </c>
      <c r="T40">
        <f>Source!Y31</f>
        <v>6.51</v>
      </c>
      <c r="U40">
        <f>ROUND((175/100)*ROUND(Source!R30, 2), 2)</f>
        <v>2.85</v>
      </c>
      <c r="V40">
        <f>ROUND((160/100)*ROUND(Source!R31, 2), 2)</f>
        <v>90</v>
      </c>
      <c r="AC40">
        <v>0</v>
      </c>
    </row>
    <row r="41" spans="1:29" x14ac:dyDescent="0.2">
      <c r="C41" s="38" t="str">
        <f>"Объем: "&amp;Source!I30&amp;"=0,94/"&amp;"100"</f>
        <v>Объем: 0,0094=0,94/100</v>
      </c>
    </row>
    <row r="42" spans="1:29" ht="14.25" x14ac:dyDescent="0.2">
      <c r="A42" s="33"/>
      <c r="B42" s="33"/>
      <c r="C42" s="33" t="s">
        <v>721</v>
      </c>
      <c r="D42" s="35"/>
      <c r="E42" s="34"/>
      <c r="F42" s="37">
        <f>Source!AO30</f>
        <v>30.15</v>
      </c>
      <c r="G42" s="36" t="str">
        <f>Source!DG30</f>
        <v>)*1,1</v>
      </c>
      <c r="H42" s="34">
        <f>Source!AV31</f>
        <v>1.1919999999999999</v>
      </c>
      <c r="I42" s="37">
        <f>Source!S30</f>
        <v>0.37</v>
      </c>
      <c r="J42" s="34">
        <f>IF(Source!BA31&lt;&gt; 0, Source!BA31, 1)</f>
        <v>34.51</v>
      </c>
      <c r="K42" s="37">
        <f>Source!S31</f>
        <v>12.77</v>
      </c>
    </row>
    <row r="43" spans="1:29" ht="14.25" x14ac:dyDescent="0.2">
      <c r="A43" s="33"/>
      <c r="B43" s="33"/>
      <c r="C43" s="33" t="s">
        <v>729</v>
      </c>
      <c r="D43" s="35"/>
      <c r="E43" s="34"/>
      <c r="F43" s="37">
        <f>Source!AM30</f>
        <v>1340.63</v>
      </c>
      <c r="G43" s="36" t="str">
        <f>Source!DE30</f>
        <v>)*1,1</v>
      </c>
      <c r="H43" s="34">
        <f>Source!AV31</f>
        <v>1.1919999999999999</v>
      </c>
      <c r="I43" s="37">
        <f>Source!Q30</f>
        <v>16.52</v>
      </c>
      <c r="J43" s="34">
        <f>IF(Source!BB31&lt;&gt; 0, Source!BB31, 1)</f>
        <v>12.15</v>
      </c>
      <c r="K43" s="37">
        <f>Source!Q31</f>
        <v>200.72</v>
      </c>
    </row>
    <row r="44" spans="1:29" ht="14.25" x14ac:dyDescent="0.2">
      <c r="A44" s="33"/>
      <c r="B44" s="33"/>
      <c r="C44" s="33" t="s">
        <v>730</v>
      </c>
      <c r="D44" s="35"/>
      <c r="E44" s="34"/>
      <c r="F44" s="37">
        <f>Source!AN30</f>
        <v>132.47999999999999</v>
      </c>
      <c r="G44" s="36" t="str">
        <f>Source!DF30</f>
        <v>)*1,1</v>
      </c>
      <c r="H44" s="34">
        <f>Source!AV31</f>
        <v>1.1919999999999999</v>
      </c>
      <c r="I44" s="46">
        <f>Source!R30</f>
        <v>1.63</v>
      </c>
      <c r="J44" s="34">
        <f>IF(Source!BS31&lt;&gt; 0, Source!BS31, 1)</f>
        <v>34.51</v>
      </c>
      <c r="K44" s="46">
        <f>Source!R31</f>
        <v>56.25</v>
      </c>
    </row>
    <row r="45" spans="1:29" ht="14.25" x14ac:dyDescent="0.2">
      <c r="A45" s="33"/>
      <c r="B45" s="33"/>
      <c r="C45" s="33" t="s">
        <v>722</v>
      </c>
      <c r="D45" s="35" t="s">
        <v>723</v>
      </c>
      <c r="E45" s="34">
        <f>Source!DN31</f>
        <v>98</v>
      </c>
      <c r="F45" s="37"/>
      <c r="G45" s="36"/>
      <c r="H45" s="34"/>
      <c r="I45" s="37">
        <f>SUM(Q40:Q44)</f>
        <v>0.36</v>
      </c>
      <c r="J45" s="34">
        <f>Source!BZ31</f>
        <v>94</v>
      </c>
      <c r="K45" s="37">
        <f>SUM(R40:R44)</f>
        <v>12</v>
      </c>
    </row>
    <row r="46" spans="1:29" ht="14.25" x14ac:dyDescent="0.2">
      <c r="A46" s="33"/>
      <c r="B46" s="33"/>
      <c r="C46" s="33" t="s">
        <v>724</v>
      </c>
      <c r="D46" s="35" t="s">
        <v>723</v>
      </c>
      <c r="E46" s="34">
        <f>Source!DO31</f>
        <v>77</v>
      </c>
      <c r="F46" s="37"/>
      <c r="G46" s="36"/>
      <c r="H46" s="34"/>
      <c r="I46" s="37">
        <f>SUM(S40:S45)</f>
        <v>0.28000000000000003</v>
      </c>
      <c r="J46" s="34">
        <f>Source!CA31</f>
        <v>51</v>
      </c>
      <c r="K46" s="37">
        <f>SUM(T40:T45)</f>
        <v>6.51</v>
      </c>
    </row>
    <row r="47" spans="1:29" ht="14.25" x14ac:dyDescent="0.2">
      <c r="A47" s="33"/>
      <c r="B47" s="33"/>
      <c r="C47" s="33" t="s">
        <v>731</v>
      </c>
      <c r="D47" s="35" t="s">
        <v>723</v>
      </c>
      <c r="E47" s="34">
        <f>175</f>
        <v>175</v>
      </c>
      <c r="F47" s="37"/>
      <c r="G47" s="36"/>
      <c r="H47" s="34"/>
      <c r="I47" s="37">
        <f>SUM(U40:U46)</f>
        <v>2.85</v>
      </c>
      <c r="J47" s="34">
        <f>160</f>
        <v>160</v>
      </c>
      <c r="K47" s="37">
        <f>SUM(V40:V46)</f>
        <v>90</v>
      </c>
    </row>
    <row r="48" spans="1:29" ht="14.25" x14ac:dyDescent="0.2">
      <c r="A48" s="39"/>
      <c r="B48" s="39"/>
      <c r="C48" s="39" t="s">
        <v>725</v>
      </c>
      <c r="D48" s="40" t="s">
        <v>726</v>
      </c>
      <c r="E48" s="41">
        <f>Source!AQ30</f>
        <v>2.95</v>
      </c>
      <c r="F48" s="42"/>
      <c r="G48" s="43" t="str">
        <f>Source!DI30</f>
        <v>)*1,1</v>
      </c>
      <c r="H48" s="41">
        <f>Source!AV31</f>
        <v>1.1919999999999999</v>
      </c>
      <c r="I48" s="42">
        <f>Source!U30</f>
        <v>3.6359576000000005E-2</v>
      </c>
      <c r="J48" s="41"/>
      <c r="K48" s="42"/>
    </row>
    <row r="49" spans="1:29" ht="15" x14ac:dyDescent="0.25">
      <c r="C49" s="23" t="s">
        <v>727</v>
      </c>
      <c r="H49" s="44">
        <f>I42+I43+I45+I46+I47+0</f>
        <v>20.380000000000003</v>
      </c>
      <c r="I49" s="44"/>
      <c r="J49" s="44">
        <f>K42+K43+K45+K46+K47+0</f>
        <v>322</v>
      </c>
      <c r="K49" s="44"/>
      <c r="O49" s="45">
        <f>I42+I43+I45+I46+I47+0</f>
        <v>20.380000000000003</v>
      </c>
      <c r="P49" s="45">
        <f>K42+K43+K45+K46+K47+0</f>
        <v>322</v>
      </c>
    </row>
    <row r="51" spans="1:29" ht="57" x14ac:dyDescent="0.2">
      <c r="A51" s="33">
        <v>3</v>
      </c>
      <c r="B51" s="33" t="s">
        <v>732</v>
      </c>
      <c r="C51" s="33" t="s">
        <v>35</v>
      </c>
      <c r="D51" s="35" t="str">
        <f>Source!DW32</f>
        <v>100 м3 грунта</v>
      </c>
      <c r="E51" s="34">
        <f>Source!I32</f>
        <v>8.94E-3</v>
      </c>
      <c r="F51" s="37"/>
      <c r="G51" s="36"/>
      <c r="H51" s="34"/>
      <c r="I51" s="37"/>
      <c r="J51" s="34"/>
      <c r="K51" s="37"/>
      <c r="Q51">
        <f>Source!X32</f>
        <v>0.14000000000000001</v>
      </c>
      <c r="R51">
        <f>Source!X33</f>
        <v>4.54</v>
      </c>
      <c r="S51">
        <f>Source!Y32</f>
        <v>0.11</v>
      </c>
      <c r="T51">
        <f>Source!Y33</f>
        <v>2.46</v>
      </c>
      <c r="U51">
        <f>ROUND((175/100)*ROUND(Source!R32, 2), 2)</f>
        <v>1.89</v>
      </c>
      <c r="V51">
        <f>ROUND((160/100)*ROUND(Source!R33, 2), 2)</f>
        <v>59.63</v>
      </c>
      <c r="AC51">
        <v>0</v>
      </c>
    </row>
    <row r="52" spans="1:29" x14ac:dyDescent="0.2">
      <c r="C52" s="38" t="str">
        <f>"Объем: "&amp;Source!I32&amp;"=0,894/"&amp;"100"</f>
        <v>Объем: 0,00894=0,894/100</v>
      </c>
    </row>
    <row r="53" spans="1:29" ht="14.25" x14ac:dyDescent="0.2">
      <c r="A53" s="33"/>
      <c r="B53" s="33"/>
      <c r="C53" s="33" t="s">
        <v>721</v>
      </c>
      <c r="D53" s="35"/>
      <c r="E53" s="34"/>
      <c r="F53" s="37">
        <f>Source!AO32</f>
        <v>12.16</v>
      </c>
      <c r="G53" s="36" t="str">
        <f>Source!DG32</f>
        <v>)*1,1</v>
      </c>
      <c r="H53" s="34">
        <f>Source!AV33</f>
        <v>1.1919999999999999</v>
      </c>
      <c r="I53" s="37">
        <f>Source!S32</f>
        <v>0.14000000000000001</v>
      </c>
      <c r="J53" s="34">
        <f>IF(Source!BA33&lt;&gt; 0, Source!BA33, 1)</f>
        <v>34.51</v>
      </c>
      <c r="K53" s="37">
        <f>Source!S33</f>
        <v>4.83</v>
      </c>
    </row>
    <row r="54" spans="1:29" ht="14.25" x14ac:dyDescent="0.2">
      <c r="A54" s="33"/>
      <c r="B54" s="33"/>
      <c r="C54" s="33" t="s">
        <v>729</v>
      </c>
      <c r="D54" s="35"/>
      <c r="E54" s="34"/>
      <c r="F54" s="37">
        <f>Source!AM32</f>
        <v>932.06</v>
      </c>
      <c r="G54" s="36" t="str">
        <f>Source!DE32</f>
        <v>)*1,1</v>
      </c>
      <c r="H54" s="34">
        <f>Source!AV33</f>
        <v>1.1919999999999999</v>
      </c>
      <c r="I54" s="37">
        <f>Source!Q32</f>
        <v>10.93</v>
      </c>
      <c r="J54" s="34">
        <f>IF(Source!BB33&lt;&gt; 0, Source!BB33, 1)</f>
        <v>12.17</v>
      </c>
      <c r="K54" s="37">
        <f>Source!Q33</f>
        <v>133.02000000000001</v>
      </c>
    </row>
    <row r="55" spans="1:29" ht="14.25" x14ac:dyDescent="0.2">
      <c r="A55" s="33"/>
      <c r="B55" s="33"/>
      <c r="C55" s="33" t="s">
        <v>730</v>
      </c>
      <c r="D55" s="35"/>
      <c r="E55" s="34"/>
      <c r="F55" s="37">
        <f>Source!AN32</f>
        <v>91.89</v>
      </c>
      <c r="G55" s="36" t="str">
        <f>Source!DF32</f>
        <v>)*1,1</v>
      </c>
      <c r="H55" s="34">
        <f>Source!AV33</f>
        <v>1.1919999999999999</v>
      </c>
      <c r="I55" s="46">
        <f>Source!R32</f>
        <v>1.08</v>
      </c>
      <c r="J55" s="34">
        <f>IF(Source!BS33&lt;&gt; 0, Source!BS33, 1)</f>
        <v>34.51</v>
      </c>
      <c r="K55" s="46">
        <f>Source!R33</f>
        <v>37.270000000000003</v>
      </c>
    </row>
    <row r="56" spans="1:29" ht="14.25" x14ac:dyDescent="0.2">
      <c r="A56" s="33"/>
      <c r="B56" s="33"/>
      <c r="C56" s="33" t="s">
        <v>722</v>
      </c>
      <c r="D56" s="35" t="s">
        <v>723</v>
      </c>
      <c r="E56" s="34">
        <f>Source!DN33</f>
        <v>98</v>
      </c>
      <c r="F56" s="37"/>
      <c r="G56" s="36"/>
      <c r="H56" s="34"/>
      <c r="I56" s="37">
        <f>SUM(Q51:Q55)</f>
        <v>0.14000000000000001</v>
      </c>
      <c r="J56" s="34">
        <f>Source!BZ33</f>
        <v>94</v>
      </c>
      <c r="K56" s="37">
        <f>SUM(R51:R55)</f>
        <v>4.54</v>
      </c>
    </row>
    <row r="57" spans="1:29" ht="14.25" x14ac:dyDescent="0.2">
      <c r="A57" s="33"/>
      <c r="B57" s="33"/>
      <c r="C57" s="33" t="s">
        <v>724</v>
      </c>
      <c r="D57" s="35" t="s">
        <v>723</v>
      </c>
      <c r="E57" s="34">
        <f>Source!DO33</f>
        <v>77</v>
      </c>
      <c r="F57" s="37"/>
      <c r="G57" s="36"/>
      <c r="H57" s="34"/>
      <c r="I57" s="37">
        <f>SUM(S51:S56)</f>
        <v>0.11</v>
      </c>
      <c r="J57" s="34">
        <f>Source!CA33</f>
        <v>51</v>
      </c>
      <c r="K57" s="37">
        <f>SUM(T51:T56)</f>
        <v>2.46</v>
      </c>
    </row>
    <row r="58" spans="1:29" ht="14.25" x14ac:dyDescent="0.2">
      <c r="A58" s="33"/>
      <c r="B58" s="33"/>
      <c r="C58" s="33" t="s">
        <v>731</v>
      </c>
      <c r="D58" s="35" t="s">
        <v>723</v>
      </c>
      <c r="E58" s="34">
        <f>175</f>
        <v>175</v>
      </c>
      <c r="F58" s="37"/>
      <c r="G58" s="36"/>
      <c r="H58" s="34"/>
      <c r="I58" s="37">
        <f>SUM(U51:U57)</f>
        <v>1.89</v>
      </c>
      <c r="J58" s="34">
        <f>160</f>
        <v>160</v>
      </c>
      <c r="K58" s="37">
        <f>SUM(V51:V57)</f>
        <v>59.63</v>
      </c>
    </row>
    <row r="59" spans="1:29" ht="14.25" x14ac:dyDescent="0.2">
      <c r="A59" s="39"/>
      <c r="B59" s="39"/>
      <c r="C59" s="39" t="s">
        <v>725</v>
      </c>
      <c r="D59" s="40" t="s">
        <v>726</v>
      </c>
      <c r="E59" s="41">
        <f>Source!AQ32</f>
        <v>1.19</v>
      </c>
      <c r="F59" s="42"/>
      <c r="G59" s="43" t="str">
        <f>Source!DI32</f>
        <v>)*1,1</v>
      </c>
      <c r="H59" s="41">
        <f>Source!AV33</f>
        <v>1.1919999999999999</v>
      </c>
      <c r="I59" s="42">
        <f>Source!U32</f>
        <v>1.3949332319999999E-2</v>
      </c>
      <c r="J59" s="41"/>
      <c r="K59" s="42"/>
    </row>
    <row r="60" spans="1:29" ht="15" x14ac:dyDescent="0.25">
      <c r="C60" s="23" t="s">
        <v>727</v>
      </c>
      <c r="H60" s="44">
        <f>I53+I54+I56+I57+I58+0</f>
        <v>13.21</v>
      </c>
      <c r="I60" s="44"/>
      <c r="J60" s="44">
        <f>K53+K54+K56+K57+K58+0</f>
        <v>204.48000000000002</v>
      </c>
      <c r="K60" s="44"/>
      <c r="O60" s="45">
        <f>I53+I54+I56+I57+I58+0</f>
        <v>13.21</v>
      </c>
      <c r="P60" s="45">
        <f>K53+K54+K56+K57+K58+0</f>
        <v>204.48000000000002</v>
      </c>
    </row>
    <row r="62" spans="1:29" ht="52.5" x14ac:dyDescent="0.2">
      <c r="A62" s="33">
        <v>4</v>
      </c>
      <c r="B62" s="33" t="s">
        <v>733</v>
      </c>
      <c r="C62" s="33" t="s">
        <v>39</v>
      </c>
      <c r="D62" s="35" t="str">
        <f>Source!DW34</f>
        <v>100 м3 грунта</v>
      </c>
      <c r="E62" s="34">
        <f>Source!I34</f>
        <v>5.0400000000000002E-3</v>
      </c>
      <c r="F62" s="37"/>
      <c r="G62" s="36"/>
      <c r="H62" s="34"/>
      <c r="I62" s="37"/>
      <c r="J62" s="34"/>
      <c r="K62" s="37"/>
      <c r="Q62">
        <f>Source!X34</f>
        <v>7.63</v>
      </c>
      <c r="R62">
        <f>Source!X35</f>
        <v>218.27</v>
      </c>
      <c r="S62">
        <f>Source!Y34</f>
        <v>5.6</v>
      </c>
      <c r="T62">
        <f>Source!Y35</f>
        <v>102.86</v>
      </c>
      <c r="U62">
        <f>ROUND((175/100)*ROUND(Source!R34, 2), 2)</f>
        <v>0</v>
      </c>
      <c r="V62">
        <f>ROUND((160/100)*ROUND(Source!R35, 2), 2)</f>
        <v>0</v>
      </c>
      <c r="AC62">
        <v>0</v>
      </c>
    </row>
    <row r="63" spans="1:29" x14ac:dyDescent="0.2">
      <c r="C63" s="38" t="str">
        <f>"Объем: "&amp;Source!I34&amp;"=0,504/"&amp;"100"</f>
        <v>Объем: 0,00504=0,504/100</v>
      </c>
    </row>
    <row r="64" spans="1:29" ht="14.25" x14ac:dyDescent="0.2">
      <c r="A64" s="33"/>
      <c r="B64" s="33"/>
      <c r="C64" s="33" t="s">
        <v>721</v>
      </c>
      <c r="D64" s="35"/>
      <c r="E64" s="34"/>
      <c r="F64" s="37">
        <f>Source!AO34</f>
        <v>1051.1300000000001</v>
      </c>
      <c r="G64" s="36" t="str">
        <f>Source!DG34</f>
        <v>)*1,1</v>
      </c>
      <c r="H64" s="34">
        <f>Source!AV35</f>
        <v>1.248</v>
      </c>
      <c r="I64" s="37">
        <f>Source!S34</f>
        <v>7.27</v>
      </c>
      <c r="J64" s="34">
        <f>IF(Source!BA35&lt;&gt; 0, Source!BA35, 1)</f>
        <v>34.51</v>
      </c>
      <c r="K64" s="37">
        <f>Source!S35</f>
        <v>250.89</v>
      </c>
    </row>
    <row r="65" spans="1:29" ht="14.25" x14ac:dyDescent="0.2">
      <c r="A65" s="33"/>
      <c r="B65" s="33"/>
      <c r="C65" s="33" t="s">
        <v>722</v>
      </c>
      <c r="D65" s="35" t="s">
        <v>723</v>
      </c>
      <c r="E65" s="34">
        <f>Source!DN35</f>
        <v>105</v>
      </c>
      <c r="F65" s="37"/>
      <c r="G65" s="36"/>
      <c r="H65" s="34"/>
      <c r="I65" s="37">
        <f>SUM(Q62:Q64)</f>
        <v>7.63</v>
      </c>
      <c r="J65" s="34">
        <f>Source!BZ35</f>
        <v>87</v>
      </c>
      <c r="K65" s="37">
        <f>SUM(R62:R64)</f>
        <v>218.27</v>
      </c>
    </row>
    <row r="66" spans="1:29" ht="14.25" x14ac:dyDescent="0.2">
      <c r="A66" s="33"/>
      <c r="B66" s="33"/>
      <c r="C66" s="33" t="s">
        <v>724</v>
      </c>
      <c r="D66" s="35" t="s">
        <v>723</v>
      </c>
      <c r="E66" s="34">
        <f>Source!DO35</f>
        <v>77</v>
      </c>
      <c r="F66" s="37"/>
      <c r="G66" s="36"/>
      <c r="H66" s="34"/>
      <c r="I66" s="37">
        <f>SUM(S62:S65)</f>
        <v>5.6</v>
      </c>
      <c r="J66" s="34">
        <f>Source!CA35</f>
        <v>41</v>
      </c>
      <c r="K66" s="37">
        <f>SUM(T62:T65)</f>
        <v>102.86</v>
      </c>
    </row>
    <row r="67" spans="1:29" ht="14.25" x14ac:dyDescent="0.2">
      <c r="A67" s="39"/>
      <c r="B67" s="39"/>
      <c r="C67" s="39" t="s">
        <v>725</v>
      </c>
      <c r="D67" s="40" t="s">
        <v>726</v>
      </c>
      <c r="E67" s="41">
        <f>Source!AQ34</f>
        <v>107.04</v>
      </c>
      <c r="F67" s="42"/>
      <c r="G67" s="43" t="str">
        <f>Source!DI34</f>
        <v>)*1,1</v>
      </c>
      <c r="H67" s="41">
        <f>Source!AV35</f>
        <v>1.248</v>
      </c>
      <c r="I67" s="42">
        <f>Source!U34</f>
        <v>0.74060034048000001</v>
      </c>
      <c r="J67" s="41"/>
      <c r="K67" s="42"/>
    </row>
    <row r="68" spans="1:29" ht="15" x14ac:dyDescent="0.25">
      <c r="C68" s="23" t="s">
        <v>727</v>
      </c>
      <c r="H68" s="44">
        <f>I64+I65+I66+0</f>
        <v>20.5</v>
      </c>
      <c r="I68" s="44"/>
      <c r="J68" s="44">
        <f>K64+K65+K66+0</f>
        <v>572.02</v>
      </c>
      <c r="K68" s="44"/>
      <c r="O68" s="45">
        <f>I64+I65+I66+0</f>
        <v>20.5</v>
      </c>
      <c r="P68" s="45">
        <f>K64+K65+K66+0</f>
        <v>572.02</v>
      </c>
    </row>
    <row r="70" spans="1:29" ht="116.25" x14ac:dyDescent="0.2">
      <c r="A70" s="33">
        <v>5</v>
      </c>
      <c r="B70" s="33" t="s">
        <v>734</v>
      </c>
      <c r="C70" s="33" t="s">
        <v>35</v>
      </c>
      <c r="D70" s="35" t="str">
        <f>Source!DW36</f>
        <v>100 м3 грунта</v>
      </c>
      <c r="E70" s="34">
        <f>Source!I36</f>
        <v>8.4700000000000001E-3</v>
      </c>
      <c r="F70" s="37"/>
      <c r="G70" s="36"/>
      <c r="H70" s="34"/>
      <c r="I70" s="37"/>
      <c r="J70" s="34"/>
      <c r="K70" s="37"/>
      <c r="Q70">
        <f>Source!X36</f>
        <v>7.0000000000000007E-2</v>
      </c>
      <c r="R70">
        <f>Source!X37</f>
        <v>2.27</v>
      </c>
      <c r="S70">
        <f>Source!Y36</f>
        <v>0.05</v>
      </c>
      <c r="T70">
        <f>Source!Y37</f>
        <v>1.23</v>
      </c>
      <c r="U70">
        <f>ROUND((175/100)*ROUND(Source!R36, 2), 2)</f>
        <v>1.61</v>
      </c>
      <c r="V70">
        <f>ROUND((160/100)*ROUND(Source!R37, 2), 2)</f>
        <v>50.8</v>
      </c>
      <c r="AC70">
        <v>0</v>
      </c>
    </row>
    <row r="71" spans="1:29" x14ac:dyDescent="0.2">
      <c r="C71" s="38" t="str">
        <f>"Объем: "&amp;Source!I36&amp;"=0,847/"&amp;"100"</f>
        <v>Объем: 0,00847=0,847/100</v>
      </c>
    </row>
    <row r="72" spans="1:29" ht="28.5" x14ac:dyDescent="0.2">
      <c r="A72" s="33"/>
      <c r="B72" s="33"/>
      <c r="C72" s="33" t="s">
        <v>721</v>
      </c>
      <c r="D72" s="35"/>
      <c r="E72" s="34"/>
      <c r="F72" s="37">
        <f>Source!AO36</f>
        <v>12.16</v>
      </c>
      <c r="G72" s="36" t="str">
        <f>Source!DG36</f>
        <v>)*1,1)*0,5</v>
      </c>
      <c r="H72" s="34">
        <f>Source!AV37</f>
        <v>1.1919999999999999</v>
      </c>
      <c r="I72" s="37">
        <f>Source!S36</f>
        <v>7.0000000000000007E-2</v>
      </c>
      <c r="J72" s="34">
        <f>IF(Source!BA37&lt;&gt; 0, Source!BA37, 1)</f>
        <v>34.51</v>
      </c>
      <c r="K72" s="37">
        <f>Source!S37</f>
        <v>2.42</v>
      </c>
    </row>
    <row r="73" spans="1:29" ht="28.5" x14ac:dyDescent="0.2">
      <c r="A73" s="33"/>
      <c r="B73" s="33"/>
      <c r="C73" s="33" t="s">
        <v>729</v>
      </c>
      <c r="D73" s="35"/>
      <c r="E73" s="34"/>
      <c r="F73" s="37">
        <f>Source!AM36</f>
        <v>932.06</v>
      </c>
      <c r="G73" s="36" t="str">
        <f>Source!DE36</f>
        <v>)*1,1)*0,9</v>
      </c>
      <c r="H73" s="34">
        <f>Source!AV37</f>
        <v>1.1919999999999999</v>
      </c>
      <c r="I73" s="37">
        <f>Source!Q36</f>
        <v>9.32</v>
      </c>
      <c r="J73" s="34">
        <f>IF(Source!BB37&lt;&gt; 0, Source!BB37, 1)</f>
        <v>12.17</v>
      </c>
      <c r="K73" s="37">
        <f>Source!Q37</f>
        <v>113.42</v>
      </c>
    </row>
    <row r="74" spans="1:29" ht="28.5" x14ac:dyDescent="0.2">
      <c r="A74" s="33"/>
      <c r="B74" s="33"/>
      <c r="C74" s="33" t="s">
        <v>730</v>
      </c>
      <c r="D74" s="35"/>
      <c r="E74" s="34"/>
      <c r="F74" s="37">
        <f>Source!AN36</f>
        <v>91.89</v>
      </c>
      <c r="G74" s="36" t="str">
        <f>Source!DF36</f>
        <v>)*1,1)*0,9</v>
      </c>
      <c r="H74" s="34">
        <f>Source!AV37</f>
        <v>1.1919999999999999</v>
      </c>
      <c r="I74" s="46">
        <f>Source!R36</f>
        <v>0.92</v>
      </c>
      <c r="J74" s="34">
        <f>IF(Source!BS37&lt;&gt; 0, Source!BS37, 1)</f>
        <v>34.51</v>
      </c>
      <c r="K74" s="46">
        <f>Source!R37</f>
        <v>31.75</v>
      </c>
    </row>
    <row r="75" spans="1:29" ht="14.25" x14ac:dyDescent="0.2">
      <c r="A75" s="33"/>
      <c r="B75" s="33"/>
      <c r="C75" s="33" t="s">
        <v>722</v>
      </c>
      <c r="D75" s="35" t="s">
        <v>723</v>
      </c>
      <c r="E75" s="34">
        <f>Source!DN37</f>
        <v>98</v>
      </c>
      <c r="F75" s="37"/>
      <c r="G75" s="36"/>
      <c r="H75" s="34"/>
      <c r="I75" s="37">
        <f>SUM(Q70:Q74)</f>
        <v>7.0000000000000007E-2</v>
      </c>
      <c r="J75" s="34">
        <f>Source!BZ37</f>
        <v>94</v>
      </c>
      <c r="K75" s="37">
        <f>SUM(R70:R74)</f>
        <v>2.27</v>
      </c>
    </row>
    <row r="76" spans="1:29" ht="14.25" x14ac:dyDescent="0.2">
      <c r="A76" s="33"/>
      <c r="B76" s="33"/>
      <c r="C76" s="33" t="s">
        <v>724</v>
      </c>
      <c r="D76" s="35" t="s">
        <v>723</v>
      </c>
      <c r="E76" s="34">
        <f>Source!DO37</f>
        <v>77</v>
      </c>
      <c r="F76" s="37"/>
      <c r="G76" s="36"/>
      <c r="H76" s="34"/>
      <c r="I76" s="37">
        <f>SUM(S70:S75)</f>
        <v>0.05</v>
      </c>
      <c r="J76" s="34">
        <f>Source!CA37</f>
        <v>51</v>
      </c>
      <c r="K76" s="37">
        <f>SUM(T70:T75)</f>
        <v>1.23</v>
      </c>
    </row>
    <row r="77" spans="1:29" ht="14.25" x14ac:dyDescent="0.2">
      <c r="A77" s="33"/>
      <c r="B77" s="33"/>
      <c r="C77" s="33" t="s">
        <v>731</v>
      </c>
      <c r="D77" s="35" t="s">
        <v>723</v>
      </c>
      <c r="E77" s="34">
        <f>175</f>
        <v>175</v>
      </c>
      <c r="F77" s="37"/>
      <c r="G77" s="36"/>
      <c r="H77" s="34"/>
      <c r="I77" s="37">
        <f>SUM(U70:U76)</f>
        <v>1.61</v>
      </c>
      <c r="J77" s="34">
        <f>160</f>
        <v>160</v>
      </c>
      <c r="K77" s="37">
        <f>SUM(V70:V76)</f>
        <v>50.8</v>
      </c>
    </row>
    <row r="78" spans="1:29" ht="28.5" x14ac:dyDescent="0.2">
      <c r="A78" s="39"/>
      <c r="B78" s="39"/>
      <c r="C78" s="39" t="s">
        <v>725</v>
      </c>
      <c r="D78" s="40" t="s">
        <v>726</v>
      </c>
      <c r="E78" s="41">
        <f>Source!AQ36</f>
        <v>1.19</v>
      </c>
      <c r="F78" s="42"/>
      <c r="G78" s="43" t="str">
        <f>Source!DI36</f>
        <v>)*1,1)*0,5</v>
      </c>
      <c r="H78" s="41">
        <f>Source!AV37</f>
        <v>1.1919999999999999</v>
      </c>
      <c r="I78" s="42">
        <f>Source!U36</f>
        <v>6.6079890799999996E-3</v>
      </c>
      <c r="J78" s="41"/>
      <c r="K78" s="42"/>
    </row>
    <row r="79" spans="1:29" ht="15" x14ac:dyDescent="0.25">
      <c r="C79" s="23" t="s">
        <v>727</v>
      </c>
      <c r="H79" s="44">
        <f>I72+I73+I75+I76+I77+0</f>
        <v>11.120000000000001</v>
      </c>
      <c r="I79" s="44"/>
      <c r="J79" s="44">
        <f>K72+K73+K75+K76+K77+0</f>
        <v>170.14</v>
      </c>
      <c r="K79" s="44"/>
      <c r="O79" s="45">
        <f>I72+I73+I75+I76+I77+0</f>
        <v>11.120000000000001</v>
      </c>
      <c r="P79" s="45">
        <f>K72+K73+K75+K76+K77+0</f>
        <v>170.14</v>
      </c>
    </row>
    <row r="81" spans="1:29" ht="116.25" x14ac:dyDescent="0.2">
      <c r="A81" s="33">
        <v>9</v>
      </c>
      <c r="B81" s="33" t="s">
        <v>735</v>
      </c>
      <c r="C81" s="33" t="s">
        <v>67</v>
      </c>
      <c r="D81" s="35" t="str">
        <f>Source!DW44</f>
        <v>1 км трубопровода</v>
      </c>
      <c r="E81" s="34">
        <f>Source!I44</f>
        <v>5.9999999999999995E-4</v>
      </c>
      <c r="F81" s="37"/>
      <c r="G81" s="36"/>
      <c r="H81" s="34"/>
      <c r="I81" s="37"/>
      <c r="J81" s="34"/>
      <c r="K81" s="37"/>
      <c r="Q81">
        <f>Source!X44</f>
        <v>1.49</v>
      </c>
      <c r="R81">
        <f>Source!X45</f>
        <v>42.23</v>
      </c>
      <c r="S81">
        <f>Source!Y44</f>
        <v>0.93</v>
      </c>
      <c r="T81">
        <f>Source!Y45</f>
        <v>18.82</v>
      </c>
      <c r="U81">
        <f>ROUND((175/100)*ROUND(Source!R44, 2), 2)</f>
        <v>0.04</v>
      </c>
      <c r="V81">
        <f>ROUND((160/100)*ROUND(Source!R45, 2), 2)</f>
        <v>1.1000000000000001</v>
      </c>
      <c r="AC81">
        <v>0</v>
      </c>
    </row>
    <row r="82" spans="1:29" x14ac:dyDescent="0.2">
      <c r="C82" s="38" t="str">
        <f>"Объем: "&amp;Source!I44&amp;"=2*"&amp;"0,3/"&amp;"1000"</f>
        <v>Объем: 0,0006=2*0,3/1000</v>
      </c>
    </row>
    <row r="83" spans="1:29" ht="28.5" x14ac:dyDescent="0.2">
      <c r="A83" s="33"/>
      <c r="B83" s="33"/>
      <c r="C83" s="33" t="s">
        <v>721</v>
      </c>
      <c r="D83" s="35"/>
      <c r="E83" s="34"/>
      <c r="F83" s="37">
        <f>Source!AO44</f>
        <v>1577.19</v>
      </c>
      <c r="G83" s="36" t="str">
        <f>Source!DG44</f>
        <v>)*1,1)*1,2</v>
      </c>
      <c r="H83" s="34">
        <f>Source!AV45</f>
        <v>1.0669999999999999</v>
      </c>
      <c r="I83" s="37">
        <f>Source!S44</f>
        <v>1.33</v>
      </c>
      <c r="J83" s="34">
        <f>IF(Source!BA45&lt;&gt; 0, Source!BA45, 1)</f>
        <v>34.51</v>
      </c>
      <c r="K83" s="37">
        <f>Source!S45</f>
        <v>45.9</v>
      </c>
    </row>
    <row r="84" spans="1:29" ht="28.5" x14ac:dyDescent="0.2">
      <c r="A84" s="33"/>
      <c r="B84" s="33"/>
      <c r="C84" s="33" t="s">
        <v>729</v>
      </c>
      <c r="D84" s="35"/>
      <c r="E84" s="34"/>
      <c r="F84" s="37">
        <f>Source!AM44</f>
        <v>258.70999999999998</v>
      </c>
      <c r="G84" s="36" t="str">
        <f>Source!DE44</f>
        <v>)*1,1)*1,2</v>
      </c>
      <c r="H84" s="34">
        <f>Source!AV45</f>
        <v>1.0669999999999999</v>
      </c>
      <c r="I84" s="37">
        <f>Source!Q44</f>
        <v>0.22</v>
      </c>
      <c r="J84" s="34">
        <f>IF(Source!BB45&lt;&gt; 0, Source!BB45, 1)</f>
        <v>11.8</v>
      </c>
      <c r="K84" s="37">
        <f>Source!Q45</f>
        <v>2.6</v>
      </c>
    </row>
    <row r="85" spans="1:29" ht="28.5" x14ac:dyDescent="0.2">
      <c r="A85" s="33"/>
      <c r="B85" s="33"/>
      <c r="C85" s="33" t="s">
        <v>730</v>
      </c>
      <c r="D85" s="35"/>
      <c r="E85" s="34"/>
      <c r="F85" s="37">
        <f>Source!AN44</f>
        <v>28.39</v>
      </c>
      <c r="G85" s="36" t="str">
        <f>Source!DF44</f>
        <v>)*1,1)*1,2</v>
      </c>
      <c r="H85" s="34">
        <f>Source!AV45</f>
        <v>1.0669999999999999</v>
      </c>
      <c r="I85" s="46">
        <f>Source!R44</f>
        <v>0.02</v>
      </c>
      <c r="J85" s="34">
        <f>IF(Source!BS45&lt;&gt; 0, Source!BS45, 1)</f>
        <v>34.51</v>
      </c>
      <c r="K85" s="46">
        <f>Source!R45</f>
        <v>0.69</v>
      </c>
    </row>
    <row r="86" spans="1:29" ht="14.25" x14ac:dyDescent="0.2">
      <c r="A86" s="33"/>
      <c r="B86" s="33"/>
      <c r="C86" s="33" t="s">
        <v>722</v>
      </c>
      <c r="D86" s="35" t="s">
        <v>723</v>
      </c>
      <c r="E86" s="34">
        <f>Source!DN45</f>
        <v>112</v>
      </c>
      <c r="F86" s="37"/>
      <c r="G86" s="36"/>
      <c r="H86" s="34"/>
      <c r="I86" s="37">
        <f>SUM(Q81:Q85)</f>
        <v>1.49</v>
      </c>
      <c r="J86" s="34">
        <f>Source!BZ45</f>
        <v>92</v>
      </c>
      <c r="K86" s="37">
        <f>SUM(R81:R85)</f>
        <v>42.23</v>
      </c>
    </row>
    <row r="87" spans="1:29" ht="14.25" x14ac:dyDescent="0.2">
      <c r="A87" s="33"/>
      <c r="B87" s="33"/>
      <c r="C87" s="33" t="s">
        <v>724</v>
      </c>
      <c r="D87" s="35" t="s">
        <v>723</v>
      </c>
      <c r="E87" s="34">
        <f>Source!DO45</f>
        <v>70</v>
      </c>
      <c r="F87" s="37"/>
      <c r="G87" s="36"/>
      <c r="H87" s="34"/>
      <c r="I87" s="37">
        <f>SUM(S81:S86)</f>
        <v>0.93</v>
      </c>
      <c r="J87" s="34">
        <f>Source!CA45</f>
        <v>41</v>
      </c>
      <c r="K87" s="37">
        <f>SUM(T81:T86)</f>
        <v>18.82</v>
      </c>
    </row>
    <row r="88" spans="1:29" ht="14.25" x14ac:dyDescent="0.2">
      <c r="A88" s="33"/>
      <c r="B88" s="33"/>
      <c r="C88" s="33" t="s">
        <v>731</v>
      </c>
      <c r="D88" s="35" t="s">
        <v>723</v>
      </c>
      <c r="E88" s="34">
        <f>175</f>
        <v>175</v>
      </c>
      <c r="F88" s="37"/>
      <c r="G88" s="36"/>
      <c r="H88" s="34"/>
      <c r="I88" s="37">
        <f>SUM(U81:U87)</f>
        <v>0.04</v>
      </c>
      <c r="J88" s="34">
        <f>160</f>
        <v>160</v>
      </c>
      <c r="K88" s="37">
        <f>SUM(V81:V87)</f>
        <v>1.1000000000000001</v>
      </c>
    </row>
    <row r="89" spans="1:29" ht="28.5" x14ac:dyDescent="0.2">
      <c r="A89" s="39"/>
      <c r="B89" s="39"/>
      <c r="C89" s="39" t="s">
        <v>725</v>
      </c>
      <c r="D89" s="40" t="s">
        <v>726</v>
      </c>
      <c r="E89" s="41">
        <f>Source!AQ44</f>
        <v>147.85</v>
      </c>
      <c r="F89" s="42"/>
      <c r="G89" s="43" t="str">
        <f>Source!DI44</f>
        <v>)*1,1)*1,2</v>
      </c>
      <c r="H89" s="41">
        <f>Source!AV45</f>
        <v>1.0669999999999999</v>
      </c>
      <c r="I89" s="42">
        <f>Source!U44</f>
        <v>0.12494271239999999</v>
      </c>
      <c r="J89" s="41"/>
      <c r="K89" s="42"/>
    </row>
    <row r="90" spans="1:29" ht="15" x14ac:dyDescent="0.25">
      <c r="C90" s="23" t="s">
        <v>727</v>
      </c>
      <c r="H90" s="44">
        <f>I83+I84+I86+I87+I88+0</f>
        <v>4.01</v>
      </c>
      <c r="I90" s="44"/>
      <c r="J90" s="44">
        <f>K83+K84+K86+K87+K88+0</f>
        <v>110.64999999999998</v>
      </c>
      <c r="K90" s="44"/>
      <c r="O90" s="45">
        <f>I83+I84+I86+I87+I88+0</f>
        <v>4.01</v>
      </c>
      <c r="P90" s="45">
        <f>K83+K84+K86+K87+K88+0</f>
        <v>110.64999999999998</v>
      </c>
    </row>
    <row r="92" spans="1:29" ht="52.5" x14ac:dyDescent="0.2">
      <c r="A92" s="33">
        <v>10</v>
      </c>
      <c r="B92" s="33" t="s">
        <v>736</v>
      </c>
      <c r="C92" s="33" t="s">
        <v>67</v>
      </c>
      <c r="D92" s="35" t="str">
        <f>Source!DW46</f>
        <v>1 км трубопровода</v>
      </c>
      <c r="E92" s="34">
        <f>Source!I46</f>
        <v>1.4E-3</v>
      </c>
      <c r="F92" s="37"/>
      <c r="G92" s="36"/>
      <c r="H92" s="34"/>
      <c r="I92" s="37"/>
      <c r="J92" s="34"/>
      <c r="K92" s="37"/>
      <c r="Q92">
        <f>Source!X46</f>
        <v>2.9</v>
      </c>
      <c r="R92">
        <f>Source!X47</f>
        <v>82.23</v>
      </c>
      <c r="S92">
        <f>Source!Y46</f>
        <v>1.81</v>
      </c>
      <c r="T92">
        <f>Source!Y47</f>
        <v>36.65</v>
      </c>
      <c r="U92">
        <f>ROUND((175/100)*ROUND(Source!R46, 2), 2)</f>
        <v>0.09</v>
      </c>
      <c r="V92">
        <f>ROUND((160/100)*ROUND(Source!R47, 2), 2)</f>
        <v>2.77</v>
      </c>
      <c r="AC92">
        <v>0</v>
      </c>
    </row>
    <row r="93" spans="1:29" x14ac:dyDescent="0.2">
      <c r="C93" s="38" t="str">
        <f>"Объем: "&amp;Source!I46&amp;"=2*"&amp;"0,7/"&amp;"1000"</f>
        <v>Объем: 0,0014=2*0,7/1000</v>
      </c>
    </row>
    <row r="94" spans="1:29" ht="14.25" x14ac:dyDescent="0.2">
      <c r="A94" s="33"/>
      <c r="B94" s="33"/>
      <c r="C94" s="33" t="s">
        <v>721</v>
      </c>
      <c r="D94" s="35"/>
      <c r="E94" s="34"/>
      <c r="F94" s="37">
        <f>Source!AO46</f>
        <v>1577.19</v>
      </c>
      <c r="G94" s="36" t="str">
        <f>Source!DG46</f>
        <v>)*1,1</v>
      </c>
      <c r="H94" s="34">
        <f>Source!AV47</f>
        <v>1.0669999999999999</v>
      </c>
      <c r="I94" s="37">
        <f>Source!S46</f>
        <v>2.59</v>
      </c>
      <c r="J94" s="34">
        <f>IF(Source!BA47&lt;&gt; 0, Source!BA47, 1)</f>
        <v>34.51</v>
      </c>
      <c r="K94" s="37">
        <f>Source!S47</f>
        <v>89.38</v>
      </c>
    </row>
    <row r="95" spans="1:29" ht="14.25" x14ac:dyDescent="0.2">
      <c r="A95" s="33"/>
      <c r="B95" s="33"/>
      <c r="C95" s="33" t="s">
        <v>729</v>
      </c>
      <c r="D95" s="35"/>
      <c r="E95" s="34"/>
      <c r="F95" s="37">
        <f>Source!AM46</f>
        <v>258.70999999999998</v>
      </c>
      <c r="G95" s="36" t="str">
        <f>Source!DE46</f>
        <v>)*1,1</v>
      </c>
      <c r="H95" s="34">
        <f>Source!AV47</f>
        <v>1.0669999999999999</v>
      </c>
      <c r="I95" s="37">
        <f>Source!Q46</f>
        <v>0.43</v>
      </c>
      <c r="J95" s="34">
        <f>IF(Source!BB47&lt;&gt; 0, Source!BB47, 1)</f>
        <v>11.8</v>
      </c>
      <c r="K95" s="37">
        <f>Source!Q47</f>
        <v>5.07</v>
      </c>
    </row>
    <row r="96" spans="1:29" ht="14.25" x14ac:dyDescent="0.2">
      <c r="A96" s="33"/>
      <c r="B96" s="33"/>
      <c r="C96" s="33" t="s">
        <v>730</v>
      </c>
      <c r="D96" s="35"/>
      <c r="E96" s="34"/>
      <c r="F96" s="37">
        <f>Source!AN46</f>
        <v>28.39</v>
      </c>
      <c r="G96" s="36" t="str">
        <f>Source!DF46</f>
        <v>)*1,1</v>
      </c>
      <c r="H96" s="34">
        <f>Source!AV47</f>
        <v>1.0669999999999999</v>
      </c>
      <c r="I96" s="46">
        <f>Source!R46</f>
        <v>0.05</v>
      </c>
      <c r="J96" s="34">
        <f>IF(Source!BS47&lt;&gt; 0, Source!BS47, 1)</f>
        <v>34.51</v>
      </c>
      <c r="K96" s="46">
        <f>Source!R47</f>
        <v>1.73</v>
      </c>
    </row>
    <row r="97" spans="1:29" ht="14.25" x14ac:dyDescent="0.2">
      <c r="A97" s="33"/>
      <c r="B97" s="33"/>
      <c r="C97" s="33" t="s">
        <v>722</v>
      </c>
      <c r="D97" s="35" t="s">
        <v>723</v>
      </c>
      <c r="E97" s="34">
        <f>Source!DN47</f>
        <v>112</v>
      </c>
      <c r="F97" s="37"/>
      <c r="G97" s="36"/>
      <c r="H97" s="34"/>
      <c r="I97" s="37">
        <f>SUM(Q92:Q96)</f>
        <v>2.9</v>
      </c>
      <c r="J97" s="34">
        <f>Source!BZ47</f>
        <v>92</v>
      </c>
      <c r="K97" s="37">
        <f>SUM(R92:R96)</f>
        <v>82.23</v>
      </c>
    </row>
    <row r="98" spans="1:29" ht="14.25" x14ac:dyDescent="0.2">
      <c r="A98" s="33"/>
      <c r="B98" s="33"/>
      <c r="C98" s="33" t="s">
        <v>724</v>
      </c>
      <c r="D98" s="35" t="s">
        <v>723</v>
      </c>
      <c r="E98" s="34">
        <f>Source!DO47</f>
        <v>70</v>
      </c>
      <c r="F98" s="37"/>
      <c r="G98" s="36"/>
      <c r="H98" s="34"/>
      <c r="I98" s="37">
        <f>SUM(S92:S97)</f>
        <v>1.81</v>
      </c>
      <c r="J98" s="34">
        <f>Source!CA47</f>
        <v>41</v>
      </c>
      <c r="K98" s="37">
        <f>SUM(T92:T97)</f>
        <v>36.65</v>
      </c>
    </row>
    <row r="99" spans="1:29" ht="14.25" x14ac:dyDescent="0.2">
      <c r="A99" s="33"/>
      <c r="B99" s="33"/>
      <c r="C99" s="33" t="s">
        <v>731</v>
      </c>
      <c r="D99" s="35" t="s">
        <v>723</v>
      </c>
      <c r="E99" s="34">
        <f>175</f>
        <v>175</v>
      </c>
      <c r="F99" s="37"/>
      <c r="G99" s="36"/>
      <c r="H99" s="34"/>
      <c r="I99" s="37">
        <f>SUM(U92:U98)</f>
        <v>0.09</v>
      </c>
      <c r="J99" s="34">
        <f>160</f>
        <v>160</v>
      </c>
      <c r="K99" s="37">
        <f>SUM(V92:V98)</f>
        <v>2.77</v>
      </c>
    </row>
    <row r="100" spans="1:29" ht="14.25" x14ac:dyDescent="0.2">
      <c r="A100" s="39"/>
      <c r="B100" s="39"/>
      <c r="C100" s="39" t="s">
        <v>725</v>
      </c>
      <c r="D100" s="40" t="s">
        <v>726</v>
      </c>
      <c r="E100" s="41">
        <f>Source!AQ46</f>
        <v>147.85</v>
      </c>
      <c r="F100" s="42"/>
      <c r="G100" s="43" t="str">
        <f>Source!DI46</f>
        <v>)*1,1</v>
      </c>
      <c r="H100" s="41">
        <f>Source!AV47</f>
        <v>1.0669999999999999</v>
      </c>
      <c r="I100" s="42">
        <f>Source!U46</f>
        <v>0.24294416300000002</v>
      </c>
      <c r="J100" s="41"/>
      <c r="K100" s="42"/>
    </row>
    <row r="101" spans="1:29" ht="15" x14ac:dyDescent="0.25">
      <c r="C101" s="23" t="s">
        <v>727</v>
      </c>
      <c r="H101" s="44">
        <f>I94+I95+I97+I98+I99+0</f>
        <v>7.82</v>
      </c>
      <c r="I101" s="44"/>
      <c r="J101" s="44">
        <f>K94+K95+K97+K98+K99+0</f>
        <v>216.10000000000002</v>
      </c>
      <c r="K101" s="44"/>
      <c r="O101" s="45">
        <f>I94+I95+I97+I98+I99+0</f>
        <v>7.82</v>
      </c>
      <c r="P101" s="45">
        <f>K94+K95+K97+K98+K99+0</f>
        <v>216.10000000000002</v>
      </c>
    </row>
    <row r="103" spans="1:29" ht="116.25" x14ac:dyDescent="0.2">
      <c r="A103" s="33">
        <v>11</v>
      </c>
      <c r="B103" s="33" t="s">
        <v>737</v>
      </c>
      <c r="C103" s="33" t="s">
        <v>77</v>
      </c>
      <c r="D103" s="35" t="str">
        <f>Source!DW48</f>
        <v>1 км трубопровода</v>
      </c>
      <c r="E103" s="34">
        <f>Source!I48</f>
        <v>3.0000000000000001E-3</v>
      </c>
      <c r="F103" s="37"/>
      <c r="G103" s="36"/>
      <c r="H103" s="34"/>
      <c r="I103" s="37"/>
      <c r="J103" s="34"/>
      <c r="K103" s="37"/>
      <c r="Q103">
        <f>Source!X48</f>
        <v>5.52</v>
      </c>
      <c r="R103">
        <f>Source!X49</f>
        <v>156.52000000000001</v>
      </c>
      <c r="S103">
        <f>Source!Y48</f>
        <v>3.45</v>
      </c>
      <c r="T103">
        <f>Source!Y49</f>
        <v>69.75</v>
      </c>
      <c r="U103">
        <f>ROUND((175/100)*ROUND(Source!R48, 2), 2)</f>
        <v>0.21</v>
      </c>
      <c r="V103">
        <f>ROUND((160/100)*ROUND(Source!R49, 2), 2)</f>
        <v>6.62</v>
      </c>
      <c r="AC103">
        <v>0</v>
      </c>
    </row>
    <row r="104" spans="1:29" x14ac:dyDescent="0.2">
      <c r="C104" s="38" t="str">
        <f>"Объем: "&amp;Source!I48&amp;"=10*"&amp;"0,3/"&amp;"1000"</f>
        <v>Объем: 0,003=10*0,3/1000</v>
      </c>
    </row>
    <row r="105" spans="1:29" ht="28.5" x14ac:dyDescent="0.2">
      <c r="A105" s="33"/>
      <c r="B105" s="33"/>
      <c r="C105" s="33" t="s">
        <v>721</v>
      </c>
      <c r="D105" s="35"/>
      <c r="E105" s="34"/>
      <c r="F105" s="37">
        <f>Source!AO48</f>
        <v>1167.92</v>
      </c>
      <c r="G105" s="36" t="str">
        <f>Source!DG48</f>
        <v>)*1,1)*1,2</v>
      </c>
      <c r="H105" s="34">
        <f>Source!AV49</f>
        <v>1.0669999999999999</v>
      </c>
      <c r="I105" s="37">
        <f>Source!S48</f>
        <v>4.93</v>
      </c>
      <c r="J105" s="34">
        <f>IF(Source!BA49&lt;&gt; 0, Source!BA49, 1)</f>
        <v>34.51</v>
      </c>
      <c r="K105" s="37">
        <f>Source!S49</f>
        <v>170.13</v>
      </c>
    </row>
    <row r="106" spans="1:29" ht="28.5" x14ac:dyDescent="0.2">
      <c r="A106" s="33"/>
      <c r="B106" s="33"/>
      <c r="C106" s="33" t="s">
        <v>729</v>
      </c>
      <c r="D106" s="35"/>
      <c r="E106" s="34"/>
      <c r="F106" s="37">
        <f>Source!AM48</f>
        <v>255.97</v>
      </c>
      <c r="G106" s="36" t="str">
        <f>Source!DE48</f>
        <v>)*1,1)*1,2</v>
      </c>
      <c r="H106" s="34">
        <f>Source!AV49</f>
        <v>1.0669999999999999</v>
      </c>
      <c r="I106" s="37">
        <f>Source!Q48</f>
        <v>1.08</v>
      </c>
      <c r="J106" s="34">
        <f>IF(Source!BB49&lt;&gt; 0, Source!BB49, 1)</f>
        <v>11.8</v>
      </c>
      <c r="K106" s="37">
        <f>Source!Q49</f>
        <v>12.74</v>
      </c>
    </row>
    <row r="107" spans="1:29" ht="28.5" x14ac:dyDescent="0.2">
      <c r="A107" s="33"/>
      <c r="B107" s="33"/>
      <c r="C107" s="33" t="s">
        <v>730</v>
      </c>
      <c r="D107" s="35"/>
      <c r="E107" s="34"/>
      <c r="F107" s="37">
        <f>Source!AN48</f>
        <v>28.08</v>
      </c>
      <c r="G107" s="36" t="str">
        <f>Source!DF48</f>
        <v>)*1,1)*1,2</v>
      </c>
      <c r="H107" s="34">
        <f>Source!AV49</f>
        <v>1.0669999999999999</v>
      </c>
      <c r="I107" s="46">
        <f>Source!R48</f>
        <v>0.12</v>
      </c>
      <c r="J107" s="34">
        <f>IF(Source!BS49&lt;&gt; 0, Source!BS49, 1)</f>
        <v>34.51</v>
      </c>
      <c r="K107" s="46">
        <f>Source!R49</f>
        <v>4.1399999999999997</v>
      </c>
    </row>
    <row r="108" spans="1:29" ht="14.25" x14ac:dyDescent="0.2">
      <c r="A108" s="33"/>
      <c r="B108" s="33"/>
      <c r="C108" s="33" t="s">
        <v>722</v>
      </c>
      <c r="D108" s="35" t="s">
        <v>723</v>
      </c>
      <c r="E108" s="34">
        <f>Source!DN49</f>
        <v>112</v>
      </c>
      <c r="F108" s="37"/>
      <c r="G108" s="36"/>
      <c r="H108" s="34"/>
      <c r="I108" s="37">
        <f>SUM(Q103:Q107)</f>
        <v>5.52</v>
      </c>
      <c r="J108" s="34">
        <f>Source!BZ49</f>
        <v>92</v>
      </c>
      <c r="K108" s="37">
        <f>SUM(R103:R107)</f>
        <v>156.52000000000001</v>
      </c>
    </row>
    <row r="109" spans="1:29" ht="14.25" x14ac:dyDescent="0.2">
      <c r="A109" s="33"/>
      <c r="B109" s="33"/>
      <c r="C109" s="33" t="s">
        <v>724</v>
      </c>
      <c r="D109" s="35" t="s">
        <v>723</v>
      </c>
      <c r="E109" s="34">
        <f>Source!DO49</f>
        <v>70</v>
      </c>
      <c r="F109" s="37"/>
      <c r="G109" s="36"/>
      <c r="H109" s="34"/>
      <c r="I109" s="37">
        <f>SUM(S103:S108)</f>
        <v>3.45</v>
      </c>
      <c r="J109" s="34">
        <f>Source!CA49</f>
        <v>41</v>
      </c>
      <c r="K109" s="37">
        <f>SUM(T103:T108)</f>
        <v>69.75</v>
      </c>
    </row>
    <row r="110" spans="1:29" ht="14.25" x14ac:dyDescent="0.2">
      <c r="A110" s="33"/>
      <c r="B110" s="33"/>
      <c r="C110" s="33" t="s">
        <v>731</v>
      </c>
      <c r="D110" s="35" t="s">
        <v>723</v>
      </c>
      <c r="E110" s="34">
        <f>175</f>
        <v>175</v>
      </c>
      <c r="F110" s="37"/>
      <c r="G110" s="36"/>
      <c r="H110" s="34"/>
      <c r="I110" s="37">
        <f>SUM(U103:U109)</f>
        <v>0.21</v>
      </c>
      <c r="J110" s="34">
        <f>160</f>
        <v>160</v>
      </c>
      <c r="K110" s="37">
        <f>SUM(V103:V109)</f>
        <v>6.62</v>
      </c>
    </row>
    <row r="111" spans="1:29" ht="28.5" x14ac:dyDescent="0.2">
      <c r="A111" s="39"/>
      <c r="B111" s="39"/>
      <c r="C111" s="39" t="s">
        <v>725</v>
      </c>
      <c r="D111" s="40" t="s">
        <v>726</v>
      </c>
      <c r="E111" s="41">
        <f>Source!AQ48</f>
        <v>107.8</v>
      </c>
      <c r="F111" s="42"/>
      <c r="G111" s="43" t="str">
        <f>Source!DI48</f>
        <v>)*1,1)*1,2</v>
      </c>
      <c r="H111" s="41">
        <f>Source!AV49</f>
        <v>1.0669999999999999</v>
      </c>
      <c r="I111" s="42">
        <f>Source!U48</f>
        <v>0.45548949600000005</v>
      </c>
      <c r="J111" s="41"/>
      <c r="K111" s="42"/>
    </row>
    <row r="112" spans="1:29" ht="15" x14ac:dyDescent="0.25">
      <c r="C112" s="23" t="s">
        <v>727</v>
      </c>
      <c r="H112" s="44">
        <f>I105+I106+I108+I109+I110+0</f>
        <v>15.190000000000001</v>
      </c>
      <c r="I112" s="44"/>
      <c r="J112" s="44">
        <f>K105+K106+K108+K109+K110+0</f>
        <v>415.76</v>
      </c>
      <c r="K112" s="44"/>
      <c r="O112" s="45">
        <f>I105+I106+I108+I109+I110+0</f>
        <v>15.190000000000001</v>
      </c>
      <c r="P112" s="45">
        <f>K105+K106+K108+K109+K110+0</f>
        <v>415.76</v>
      </c>
    </row>
    <row r="114" spans="1:29" ht="52.5" x14ac:dyDescent="0.2">
      <c r="A114" s="33">
        <v>12</v>
      </c>
      <c r="B114" s="33" t="s">
        <v>738</v>
      </c>
      <c r="C114" s="33" t="s">
        <v>77</v>
      </c>
      <c r="D114" s="35" t="str">
        <f>Source!DW50</f>
        <v>1 км трубопровода</v>
      </c>
      <c r="E114" s="34">
        <f>Source!I50</f>
        <v>7.0000000000000001E-3</v>
      </c>
      <c r="F114" s="37"/>
      <c r="G114" s="36"/>
      <c r="H114" s="34"/>
      <c r="I114" s="37"/>
      <c r="J114" s="34"/>
      <c r="K114" s="37"/>
      <c r="Q114">
        <f>Source!X50</f>
        <v>10.75</v>
      </c>
      <c r="R114">
        <f>Source!X51</f>
        <v>304.8</v>
      </c>
      <c r="S114">
        <f>Source!Y50</f>
        <v>6.72</v>
      </c>
      <c r="T114">
        <f>Source!Y51</f>
        <v>135.83000000000001</v>
      </c>
      <c r="U114">
        <f>ROUND((175/100)*ROUND(Source!R50, 2), 2)</f>
        <v>0.4</v>
      </c>
      <c r="V114">
        <f>ROUND((160/100)*ROUND(Source!R51, 2), 2)</f>
        <v>12.7</v>
      </c>
      <c r="AC114">
        <v>0</v>
      </c>
    </row>
    <row r="115" spans="1:29" x14ac:dyDescent="0.2">
      <c r="C115" s="38" t="str">
        <f>"Объем: "&amp;Source!I50&amp;"=10*"&amp;"0,7/"&amp;"1000"</f>
        <v>Объем: 0,007=10*0,7/1000</v>
      </c>
    </row>
    <row r="116" spans="1:29" ht="14.25" x14ac:dyDescent="0.2">
      <c r="A116" s="33"/>
      <c r="B116" s="33"/>
      <c r="C116" s="33" t="s">
        <v>721</v>
      </c>
      <c r="D116" s="35"/>
      <c r="E116" s="34"/>
      <c r="F116" s="37">
        <f>Source!AO50</f>
        <v>1167.92</v>
      </c>
      <c r="G116" s="36" t="str">
        <f>Source!DG50</f>
        <v>)*1,1</v>
      </c>
      <c r="H116" s="34">
        <f>Source!AV51</f>
        <v>1.0669999999999999</v>
      </c>
      <c r="I116" s="37">
        <f>Source!S50</f>
        <v>9.6</v>
      </c>
      <c r="J116" s="34">
        <f>IF(Source!BA51&lt;&gt; 0, Source!BA51, 1)</f>
        <v>34.51</v>
      </c>
      <c r="K116" s="37">
        <f>Source!S51</f>
        <v>331.3</v>
      </c>
    </row>
    <row r="117" spans="1:29" ht="14.25" x14ac:dyDescent="0.2">
      <c r="A117" s="33"/>
      <c r="B117" s="33"/>
      <c r="C117" s="33" t="s">
        <v>729</v>
      </c>
      <c r="D117" s="35"/>
      <c r="E117" s="34"/>
      <c r="F117" s="37">
        <f>Source!AM50</f>
        <v>255.97</v>
      </c>
      <c r="G117" s="36" t="str">
        <f>Source!DE50</f>
        <v>)*1,1</v>
      </c>
      <c r="H117" s="34">
        <f>Source!AV51</f>
        <v>1.0669999999999999</v>
      </c>
      <c r="I117" s="37">
        <f>Source!Q50</f>
        <v>2.1</v>
      </c>
      <c r="J117" s="34">
        <f>IF(Source!BB51&lt;&gt; 0, Source!BB51, 1)</f>
        <v>11.8</v>
      </c>
      <c r="K117" s="37">
        <f>Source!Q51</f>
        <v>24.78</v>
      </c>
    </row>
    <row r="118" spans="1:29" ht="14.25" x14ac:dyDescent="0.2">
      <c r="A118" s="33"/>
      <c r="B118" s="33"/>
      <c r="C118" s="33" t="s">
        <v>730</v>
      </c>
      <c r="D118" s="35"/>
      <c r="E118" s="34"/>
      <c r="F118" s="37">
        <f>Source!AN50</f>
        <v>28.08</v>
      </c>
      <c r="G118" s="36" t="str">
        <f>Source!DF50</f>
        <v>)*1,1</v>
      </c>
      <c r="H118" s="34">
        <f>Source!AV51</f>
        <v>1.0669999999999999</v>
      </c>
      <c r="I118" s="46">
        <f>Source!R50</f>
        <v>0.23</v>
      </c>
      <c r="J118" s="34">
        <f>IF(Source!BS51&lt;&gt; 0, Source!BS51, 1)</f>
        <v>34.51</v>
      </c>
      <c r="K118" s="46">
        <f>Source!R51</f>
        <v>7.94</v>
      </c>
    </row>
    <row r="119" spans="1:29" ht="14.25" x14ac:dyDescent="0.2">
      <c r="A119" s="33"/>
      <c r="B119" s="33"/>
      <c r="C119" s="33" t="s">
        <v>722</v>
      </c>
      <c r="D119" s="35" t="s">
        <v>723</v>
      </c>
      <c r="E119" s="34">
        <f>Source!DN51</f>
        <v>112</v>
      </c>
      <c r="F119" s="37"/>
      <c r="G119" s="36"/>
      <c r="H119" s="34"/>
      <c r="I119" s="37">
        <f>SUM(Q114:Q118)</f>
        <v>10.75</v>
      </c>
      <c r="J119" s="34">
        <f>Source!BZ51</f>
        <v>92</v>
      </c>
      <c r="K119" s="37">
        <f>SUM(R114:R118)</f>
        <v>304.8</v>
      </c>
    </row>
    <row r="120" spans="1:29" ht="14.25" x14ac:dyDescent="0.2">
      <c r="A120" s="33"/>
      <c r="B120" s="33"/>
      <c r="C120" s="33" t="s">
        <v>724</v>
      </c>
      <c r="D120" s="35" t="s">
        <v>723</v>
      </c>
      <c r="E120" s="34">
        <f>Source!DO51</f>
        <v>70</v>
      </c>
      <c r="F120" s="37"/>
      <c r="G120" s="36"/>
      <c r="H120" s="34"/>
      <c r="I120" s="37">
        <f>SUM(S114:S119)</f>
        <v>6.72</v>
      </c>
      <c r="J120" s="34">
        <f>Source!CA51</f>
        <v>41</v>
      </c>
      <c r="K120" s="37">
        <f>SUM(T114:T119)</f>
        <v>135.83000000000001</v>
      </c>
    </row>
    <row r="121" spans="1:29" ht="14.25" x14ac:dyDescent="0.2">
      <c r="A121" s="33"/>
      <c r="B121" s="33"/>
      <c r="C121" s="33" t="s">
        <v>731</v>
      </c>
      <c r="D121" s="35" t="s">
        <v>723</v>
      </c>
      <c r="E121" s="34">
        <f>175</f>
        <v>175</v>
      </c>
      <c r="F121" s="37"/>
      <c r="G121" s="36"/>
      <c r="H121" s="34"/>
      <c r="I121" s="37">
        <f>SUM(U114:U120)</f>
        <v>0.4</v>
      </c>
      <c r="J121" s="34">
        <f>160</f>
        <v>160</v>
      </c>
      <c r="K121" s="37">
        <f>SUM(V114:V120)</f>
        <v>12.7</v>
      </c>
    </row>
    <row r="122" spans="1:29" ht="14.25" x14ac:dyDescent="0.2">
      <c r="A122" s="39"/>
      <c r="B122" s="39"/>
      <c r="C122" s="39" t="s">
        <v>725</v>
      </c>
      <c r="D122" s="40" t="s">
        <v>726</v>
      </c>
      <c r="E122" s="41">
        <f>Source!AQ50</f>
        <v>107.8</v>
      </c>
      <c r="F122" s="42"/>
      <c r="G122" s="43" t="str">
        <f>Source!DI50</f>
        <v>)*1,1</v>
      </c>
      <c r="H122" s="41">
        <f>Source!AV51</f>
        <v>1.0669999999999999</v>
      </c>
      <c r="I122" s="42">
        <f>Source!U50</f>
        <v>0.88567402000000006</v>
      </c>
      <c r="J122" s="41"/>
      <c r="K122" s="42"/>
    </row>
    <row r="123" spans="1:29" ht="15" x14ac:dyDescent="0.25">
      <c r="C123" s="23" t="s">
        <v>727</v>
      </c>
      <c r="H123" s="44">
        <f>I116+I117+I119+I120+I121+0</f>
        <v>29.569999999999997</v>
      </c>
      <c r="I123" s="44"/>
      <c r="J123" s="44">
        <f>K116+K117+K119+K120+K121+0</f>
        <v>809.4100000000002</v>
      </c>
      <c r="K123" s="44"/>
      <c r="O123" s="45">
        <f>I116+I117+I119+I120+I121+0</f>
        <v>29.569999999999997</v>
      </c>
      <c r="P123" s="45">
        <f>K116+K117+K119+K120+K121+0</f>
        <v>809.4100000000002</v>
      </c>
    </row>
    <row r="125" spans="1:29" ht="52.5" x14ac:dyDescent="0.2">
      <c r="A125" s="39">
        <v>13</v>
      </c>
      <c r="B125" s="39" t="s">
        <v>740</v>
      </c>
      <c r="C125" s="39" t="s">
        <v>739</v>
      </c>
      <c r="D125" s="40" t="str">
        <f>Source!DW52</f>
        <v>м</v>
      </c>
      <c r="E125" s="41">
        <f>Source!I52</f>
        <v>12</v>
      </c>
      <c r="F125" s="42">
        <f>Source!AL52</f>
        <v>94.9</v>
      </c>
      <c r="G125" s="43" t="str">
        <f>Source!DD52</f>
        <v/>
      </c>
      <c r="H125" s="41">
        <f>Source!AW53</f>
        <v>1</v>
      </c>
      <c r="I125" s="42">
        <f>Source!P52</f>
        <v>1138.8</v>
      </c>
      <c r="J125" s="41">
        <f>IF(Source!BC53&lt;&gt; 0, Source!BC53, 1)</f>
        <v>9.74</v>
      </c>
      <c r="K125" s="42">
        <f>Source!P53</f>
        <v>11091.91</v>
      </c>
      <c r="Q125">
        <f>Source!X52</f>
        <v>0</v>
      </c>
      <c r="R125">
        <f>Source!X53</f>
        <v>0</v>
      </c>
      <c r="S125">
        <f>Source!Y52</f>
        <v>0</v>
      </c>
      <c r="T125">
        <f>Source!Y53</f>
        <v>0</v>
      </c>
      <c r="U125">
        <f>ROUND((175/100)*ROUND(Source!R52, 2), 2)</f>
        <v>0</v>
      </c>
      <c r="V125">
        <f>ROUND((160/100)*ROUND(Source!R53, 2), 2)</f>
        <v>0</v>
      </c>
      <c r="AC125">
        <v>3</v>
      </c>
    </row>
    <row r="126" spans="1:29" ht="15" x14ac:dyDescent="0.25">
      <c r="C126" s="23" t="s">
        <v>727</v>
      </c>
      <c r="H126" s="44">
        <f>I125+0</f>
        <v>1138.8</v>
      </c>
      <c r="I126" s="44"/>
      <c r="J126" s="44">
        <f>K125+0</f>
        <v>11091.91</v>
      </c>
      <c r="K126" s="44"/>
      <c r="O126" s="45">
        <f>I125+0</f>
        <v>1138.8</v>
      </c>
      <c r="P126" s="45">
        <f>K125+0</f>
        <v>11091.91</v>
      </c>
    </row>
    <row r="128" spans="1:29" ht="52.5" x14ac:dyDescent="0.2">
      <c r="A128" s="39">
        <v>14</v>
      </c>
      <c r="B128" s="39" t="s">
        <v>741</v>
      </c>
      <c r="C128" s="39" t="s">
        <v>87</v>
      </c>
      <c r="D128" s="40" t="str">
        <f>Source!DW54</f>
        <v>м3</v>
      </c>
      <c r="E128" s="41">
        <f>Source!I54</f>
        <v>0.77</v>
      </c>
      <c r="F128" s="42">
        <f>Source!AL54</f>
        <v>104.99</v>
      </c>
      <c r="G128" s="43" t="str">
        <f>Source!DD54</f>
        <v/>
      </c>
      <c r="H128" s="41">
        <f>Source!AW55</f>
        <v>1</v>
      </c>
      <c r="I128" s="42">
        <f>Source!P54</f>
        <v>80.84</v>
      </c>
      <c r="J128" s="41">
        <f>IF(Source!BC55&lt;&gt; 0, Source!BC55, 1)</f>
        <v>7.69</v>
      </c>
      <c r="K128" s="42">
        <f>Source!P55</f>
        <v>621.66</v>
      </c>
      <c r="Q128">
        <f>Source!X54</f>
        <v>0</v>
      </c>
      <c r="R128">
        <f>Source!X55</f>
        <v>0</v>
      </c>
      <c r="S128">
        <f>Source!Y54</f>
        <v>0</v>
      </c>
      <c r="T128">
        <f>Source!Y55</f>
        <v>0</v>
      </c>
      <c r="U128">
        <f>ROUND((175/100)*ROUND(Source!R54, 2), 2)</f>
        <v>0</v>
      </c>
      <c r="V128">
        <f>ROUND((160/100)*ROUND(Source!R55, 2), 2)</f>
        <v>0</v>
      </c>
      <c r="AC128">
        <v>3</v>
      </c>
    </row>
    <row r="129" spans="1:29" ht="15" x14ac:dyDescent="0.25">
      <c r="C129" s="23" t="s">
        <v>727</v>
      </c>
      <c r="H129" s="44">
        <f>I128+0</f>
        <v>80.84</v>
      </c>
      <c r="I129" s="44"/>
      <c r="J129" s="44">
        <f>K128+0</f>
        <v>621.66</v>
      </c>
      <c r="K129" s="44"/>
      <c r="O129" s="45">
        <f>I128+0</f>
        <v>80.84</v>
      </c>
      <c r="P129" s="45">
        <f>K128+0</f>
        <v>621.66</v>
      </c>
    </row>
    <row r="131" spans="1:29" ht="57" x14ac:dyDescent="0.2">
      <c r="A131" s="39">
        <v>15</v>
      </c>
      <c r="B131" s="39" t="s">
        <v>742</v>
      </c>
      <c r="C131" s="39" t="s">
        <v>92</v>
      </c>
      <c r="D131" s="40" t="str">
        <f>Source!DW56</f>
        <v>шт.</v>
      </c>
      <c r="E131" s="41">
        <f>Source!I56</f>
        <v>4</v>
      </c>
      <c r="F131" s="42">
        <f>Source!AL56</f>
        <v>3.9</v>
      </c>
      <c r="G131" s="43" t="str">
        <f>Source!DD56</f>
        <v/>
      </c>
      <c r="H131" s="41">
        <f>Source!AW57</f>
        <v>1</v>
      </c>
      <c r="I131" s="42">
        <f>Source!P56</f>
        <v>15.6</v>
      </c>
      <c r="J131" s="41">
        <f>IF(Source!BC57&lt;&gt; 0, Source!BC57, 1)</f>
        <v>13.93</v>
      </c>
      <c r="K131" s="42">
        <f>Source!P57</f>
        <v>217.31</v>
      </c>
      <c r="Q131">
        <f>Source!X56</f>
        <v>0</v>
      </c>
      <c r="R131">
        <f>Source!X57</f>
        <v>0</v>
      </c>
      <c r="S131">
        <f>Source!Y56</f>
        <v>0</v>
      </c>
      <c r="T131">
        <f>Source!Y57</f>
        <v>0</v>
      </c>
      <c r="U131">
        <f>ROUND((175/100)*ROUND(Source!R56, 2), 2)</f>
        <v>0</v>
      </c>
      <c r="V131">
        <f>ROUND((160/100)*ROUND(Source!R57, 2), 2)</f>
        <v>0</v>
      </c>
      <c r="AC131">
        <v>3</v>
      </c>
    </row>
    <row r="132" spans="1:29" ht="15" x14ac:dyDescent="0.25">
      <c r="C132" s="23" t="s">
        <v>727</v>
      </c>
      <c r="H132" s="44">
        <f>I131+0</f>
        <v>15.6</v>
      </c>
      <c r="I132" s="44"/>
      <c r="J132" s="44">
        <f>K131+0</f>
        <v>217.31</v>
      </c>
      <c r="K132" s="44"/>
      <c r="O132" s="45">
        <f>I131+0</f>
        <v>15.6</v>
      </c>
      <c r="P132" s="45">
        <f>K131+0</f>
        <v>217.31</v>
      </c>
    </row>
    <row r="135" spans="1:29" ht="15" x14ac:dyDescent="0.25">
      <c r="A135" s="49" t="str">
        <f>CONCATENATE("Итого по разделу: ",IF(Source!G63&lt;&gt;"Новый раздел", Source!G63, ""))</f>
        <v>Итого по разделу: Земляные работы</v>
      </c>
      <c r="B135" s="49"/>
      <c r="C135" s="49"/>
      <c r="D135" s="49"/>
      <c r="E135" s="49"/>
      <c r="F135" s="49"/>
      <c r="G135" s="49"/>
      <c r="H135" s="48">
        <f>SUM(O31:O134)</f>
        <v>1419.1899999999998</v>
      </c>
      <c r="I135" s="47"/>
      <c r="J135" s="48">
        <f>SUM(P31:P134)</f>
        <v>16485.61</v>
      </c>
      <c r="K135" s="47"/>
    </row>
    <row r="136" spans="1:29" hidden="1" x14ac:dyDescent="0.2">
      <c r="A136" t="s">
        <v>743</v>
      </c>
      <c r="I136">
        <f>SUM(W31:W135)</f>
        <v>0</v>
      </c>
      <c r="J136">
        <f>SUM(X31:X135)</f>
        <v>0</v>
      </c>
    </row>
    <row r="137" spans="1:29" hidden="1" x14ac:dyDescent="0.2">
      <c r="A137" t="s">
        <v>744</v>
      </c>
      <c r="I137">
        <f>SUM(Y31:Y136)</f>
        <v>0</v>
      </c>
      <c r="J137">
        <f>SUM(Z31:Z136)</f>
        <v>0</v>
      </c>
    </row>
    <row r="139" spans="1:29" ht="16.5" x14ac:dyDescent="0.25">
      <c r="A139" s="32" t="str">
        <f>CONCATENATE("Раздел: ",IF(Source!G93&lt;&gt;"Новый раздел", Source!G93, ""))</f>
        <v>Раздел: Монтажные работы 20% c к-том 1.2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</row>
    <row r="140" spans="1:29" ht="116.25" x14ac:dyDescent="0.2">
      <c r="A140" s="33">
        <v>18</v>
      </c>
      <c r="B140" s="33" t="s">
        <v>745</v>
      </c>
      <c r="C140" s="33" t="s">
        <v>163</v>
      </c>
      <c r="D140" s="35" t="str">
        <f>Source!DW97</f>
        <v>100 М КАБЕЛЯ</v>
      </c>
      <c r="E140" s="34">
        <f>Source!I97</f>
        <v>0.11015999999999999</v>
      </c>
      <c r="F140" s="37"/>
      <c r="G140" s="36"/>
      <c r="H140" s="34"/>
      <c r="I140" s="37"/>
      <c r="J140" s="34"/>
      <c r="K140" s="37"/>
      <c r="Q140">
        <f>Source!X97</f>
        <v>33.82</v>
      </c>
      <c r="R140">
        <f>Source!X98</f>
        <v>958.82</v>
      </c>
      <c r="S140">
        <f>Source!Y97</f>
        <v>21.14</v>
      </c>
      <c r="T140">
        <f>Source!Y98</f>
        <v>448.15</v>
      </c>
      <c r="U140">
        <f>ROUND((175/100)*ROUND(Source!R97, 2), 2)</f>
        <v>1.75</v>
      </c>
      <c r="V140">
        <f>ROUND((160/100)*ROUND(Source!R98, 2), 2)</f>
        <v>55.22</v>
      </c>
      <c r="AC140">
        <v>0</v>
      </c>
    </row>
    <row r="141" spans="1:29" x14ac:dyDescent="0.2">
      <c r="C141" s="38" t="str">
        <f>"Объем: "&amp;Source!I97&amp;"=(36,72*"&amp;"0,3)/"&amp;"100"</f>
        <v>Объем: 0,11016=(36,72*0,3)/100</v>
      </c>
    </row>
    <row r="142" spans="1:29" ht="28.5" x14ac:dyDescent="0.2">
      <c r="A142" s="33"/>
      <c r="B142" s="33"/>
      <c r="C142" s="33" t="s">
        <v>721</v>
      </c>
      <c r="D142" s="35"/>
      <c r="E142" s="34"/>
      <c r="F142" s="37">
        <f>Source!AO97</f>
        <v>194.66</v>
      </c>
      <c r="G142" s="36" t="str">
        <f>Source!DG97</f>
        <v>)*1,1)*1,2</v>
      </c>
      <c r="H142" s="34">
        <f>Source!AV98</f>
        <v>1.0669999999999999</v>
      </c>
      <c r="I142" s="37">
        <f>Source!S97</f>
        <v>30.2</v>
      </c>
      <c r="J142" s="34">
        <f>IF(Source!BA98&lt;&gt; 0, Source!BA98, 1)</f>
        <v>34.51</v>
      </c>
      <c r="K142" s="37">
        <f>Source!S98</f>
        <v>1042.2</v>
      </c>
    </row>
    <row r="143" spans="1:29" ht="28.5" x14ac:dyDescent="0.2">
      <c r="A143" s="33"/>
      <c r="B143" s="33"/>
      <c r="C143" s="33" t="s">
        <v>729</v>
      </c>
      <c r="D143" s="35"/>
      <c r="E143" s="34"/>
      <c r="F143" s="37">
        <f>Source!AM97</f>
        <v>52.8</v>
      </c>
      <c r="G143" s="36" t="str">
        <f>Source!DE97</f>
        <v>)*1,1)*1,2</v>
      </c>
      <c r="H143" s="34">
        <f>Source!AV98</f>
        <v>1.0669999999999999</v>
      </c>
      <c r="I143" s="37">
        <f>Source!Q97</f>
        <v>8.19</v>
      </c>
      <c r="J143" s="34">
        <f>IF(Source!BB98&lt;&gt; 0, Source!BB98, 1)</f>
        <v>12.04</v>
      </c>
      <c r="K143" s="37">
        <f>Source!Q98</f>
        <v>98.61</v>
      </c>
    </row>
    <row r="144" spans="1:29" ht="28.5" x14ac:dyDescent="0.2">
      <c r="A144" s="33"/>
      <c r="B144" s="33"/>
      <c r="C144" s="33" t="s">
        <v>730</v>
      </c>
      <c r="D144" s="35"/>
      <c r="E144" s="34"/>
      <c r="F144" s="37">
        <f>Source!AN97</f>
        <v>6.44</v>
      </c>
      <c r="G144" s="36" t="str">
        <f>Source!DF97</f>
        <v>)*1,1)*1,2</v>
      </c>
      <c r="H144" s="34">
        <f>Source!AV98</f>
        <v>1.0669999999999999</v>
      </c>
      <c r="I144" s="46">
        <f>Source!R97</f>
        <v>1</v>
      </c>
      <c r="J144" s="34">
        <f>IF(Source!BS98&lt;&gt; 0, Source!BS98, 1)</f>
        <v>34.51</v>
      </c>
      <c r="K144" s="46">
        <f>Source!R98</f>
        <v>34.51</v>
      </c>
    </row>
    <row r="145" spans="1:29" ht="14.25" x14ac:dyDescent="0.2">
      <c r="A145" s="33"/>
      <c r="B145" s="33"/>
      <c r="C145" s="33" t="s">
        <v>746</v>
      </c>
      <c r="D145" s="35"/>
      <c r="E145" s="34"/>
      <c r="F145" s="37">
        <f>Source!AL97</f>
        <v>52.94</v>
      </c>
      <c r="G145" s="36" t="str">
        <f>Source!DD97</f>
        <v>)*1</v>
      </c>
      <c r="H145" s="34">
        <f>Source!AW98</f>
        <v>1.081</v>
      </c>
      <c r="I145" s="37">
        <f>Source!P97</f>
        <v>6.3</v>
      </c>
      <c r="J145" s="34">
        <f>IF(Source!BC98&lt;&gt; 0, Source!BC98, 1)</f>
        <v>17.38</v>
      </c>
      <c r="K145" s="37">
        <f>Source!P98</f>
        <v>109.49</v>
      </c>
    </row>
    <row r="146" spans="1:29" ht="14.25" x14ac:dyDescent="0.2">
      <c r="A146" s="33"/>
      <c r="B146" s="33"/>
      <c r="C146" s="33" t="s">
        <v>722</v>
      </c>
      <c r="D146" s="35" t="s">
        <v>723</v>
      </c>
      <c r="E146" s="34">
        <f>Source!DN98</f>
        <v>112</v>
      </c>
      <c r="F146" s="37"/>
      <c r="G146" s="36"/>
      <c r="H146" s="34"/>
      <c r="I146" s="37">
        <f>SUM(Q140:Q145)</f>
        <v>33.82</v>
      </c>
      <c r="J146" s="34">
        <f>Source!BZ98</f>
        <v>92</v>
      </c>
      <c r="K146" s="37">
        <f>SUM(R140:R145)</f>
        <v>958.82</v>
      </c>
    </row>
    <row r="147" spans="1:29" ht="14.25" x14ac:dyDescent="0.2">
      <c r="A147" s="33"/>
      <c r="B147" s="33"/>
      <c r="C147" s="33" t="s">
        <v>724</v>
      </c>
      <c r="D147" s="35" t="s">
        <v>723</v>
      </c>
      <c r="E147" s="34">
        <f>Source!DO98</f>
        <v>70</v>
      </c>
      <c r="F147" s="37"/>
      <c r="G147" s="36"/>
      <c r="H147" s="34"/>
      <c r="I147" s="37">
        <f>SUM(S140:S146)</f>
        <v>21.14</v>
      </c>
      <c r="J147" s="34">
        <f>Source!CA98</f>
        <v>43</v>
      </c>
      <c r="K147" s="37">
        <f>SUM(T140:T146)</f>
        <v>448.15</v>
      </c>
    </row>
    <row r="148" spans="1:29" ht="14.25" x14ac:dyDescent="0.2">
      <c r="A148" s="33"/>
      <c r="B148" s="33"/>
      <c r="C148" s="33" t="s">
        <v>731</v>
      </c>
      <c r="D148" s="35" t="s">
        <v>723</v>
      </c>
      <c r="E148" s="34">
        <f>175</f>
        <v>175</v>
      </c>
      <c r="F148" s="37"/>
      <c r="G148" s="36"/>
      <c r="H148" s="34"/>
      <c r="I148" s="37">
        <f>SUM(U140:U147)</f>
        <v>1.75</v>
      </c>
      <c r="J148" s="34">
        <f>160</f>
        <v>160</v>
      </c>
      <c r="K148" s="37">
        <f>SUM(V140:V147)</f>
        <v>55.22</v>
      </c>
    </row>
    <row r="149" spans="1:29" ht="28.5" x14ac:dyDescent="0.2">
      <c r="A149" s="39"/>
      <c r="B149" s="39"/>
      <c r="C149" s="39" t="s">
        <v>725</v>
      </c>
      <c r="D149" s="40" t="s">
        <v>726</v>
      </c>
      <c r="E149" s="41">
        <f>Source!AQ97</f>
        <v>15.8</v>
      </c>
      <c r="F149" s="42"/>
      <c r="G149" s="43" t="str">
        <f>Source!DI97</f>
        <v>)*1,1)*1,2</v>
      </c>
      <c r="H149" s="41">
        <f>Source!AV98</f>
        <v>1.0669999999999999</v>
      </c>
      <c r="I149" s="42">
        <f>Source!U97</f>
        <v>2.45142925632</v>
      </c>
      <c r="J149" s="41"/>
      <c r="K149" s="42"/>
    </row>
    <row r="150" spans="1:29" ht="15" x14ac:dyDescent="0.25">
      <c r="C150" s="23" t="s">
        <v>727</v>
      </c>
      <c r="H150" s="44">
        <f>I142+I143+I145+I146+I147+I148+0</f>
        <v>101.39999999999999</v>
      </c>
      <c r="I150" s="44"/>
      <c r="J150" s="44">
        <f>K142+K143+K145+K146+K147+K148+0</f>
        <v>2712.49</v>
      </c>
      <c r="K150" s="44"/>
      <c r="O150" s="45">
        <f>I142+I143+I145+I146+I147+I148+0</f>
        <v>101.39999999999999</v>
      </c>
      <c r="P150" s="45">
        <f>K142+K143+K145+K146+K147+K148+0</f>
        <v>2712.49</v>
      </c>
    </row>
    <row r="152" spans="1:29" ht="52.5" x14ac:dyDescent="0.2">
      <c r="A152" s="33">
        <v>19</v>
      </c>
      <c r="B152" s="33" t="s">
        <v>747</v>
      </c>
      <c r="C152" s="33" t="s">
        <v>163</v>
      </c>
      <c r="D152" s="35" t="str">
        <f>Source!DW99</f>
        <v>100 М КАБЕЛЯ</v>
      </c>
      <c r="E152" s="34">
        <f>Source!I99</f>
        <v>0.25703999999999999</v>
      </c>
      <c r="F152" s="37"/>
      <c r="G152" s="36"/>
      <c r="H152" s="34"/>
      <c r="I152" s="37"/>
      <c r="J152" s="34"/>
      <c r="K152" s="37"/>
      <c r="Q152">
        <f>Source!X99</f>
        <v>65.78</v>
      </c>
      <c r="R152">
        <f>Source!X100</f>
        <v>1864.63</v>
      </c>
      <c r="S152">
        <f>Source!Y99</f>
        <v>41.11</v>
      </c>
      <c r="T152">
        <f>Source!Y100</f>
        <v>871.51</v>
      </c>
      <c r="U152">
        <f>ROUND((175/100)*ROUND(Source!R99, 2), 2)</f>
        <v>3.4</v>
      </c>
      <c r="V152">
        <f>ROUND((160/100)*ROUND(Source!R100, 2), 2)</f>
        <v>107.12</v>
      </c>
      <c r="AC152">
        <v>0</v>
      </c>
    </row>
    <row r="153" spans="1:29" x14ac:dyDescent="0.2">
      <c r="C153" s="38" t="str">
        <f>"Объем: "&amp;Source!I99&amp;"=36,72*"&amp;"0,7/"&amp;"100"</f>
        <v>Объем: 0,25704=36,72*0,7/100</v>
      </c>
    </row>
    <row r="154" spans="1:29" ht="14.25" x14ac:dyDescent="0.2">
      <c r="A154" s="33"/>
      <c r="B154" s="33"/>
      <c r="C154" s="33" t="s">
        <v>721</v>
      </c>
      <c r="D154" s="35"/>
      <c r="E154" s="34"/>
      <c r="F154" s="37">
        <f>Source!AO99</f>
        <v>194.66</v>
      </c>
      <c r="G154" s="36" t="str">
        <f>Source!DG99</f>
        <v>)*1,1</v>
      </c>
      <c r="H154" s="34">
        <f>Source!AV100</f>
        <v>1.0669999999999999</v>
      </c>
      <c r="I154" s="37">
        <f>Source!S99</f>
        <v>58.73</v>
      </c>
      <c r="J154" s="34">
        <f>IF(Source!BA100&lt;&gt; 0, Source!BA100, 1)</f>
        <v>34.51</v>
      </c>
      <c r="K154" s="37">
        <f>Source!S100</f>
        <v>2026.77</v>
      </c>
    </row>
    <row r="155" spans="1:29" ht="14.25" x14ac:dyDescent="0.2">
      <c r="A155" s="33"/>
      <c r="B155" s="33"/>
      <c r="C155" s="33" t="s">
        <v>729</v>
      </c>
      <c r="D155" s="35"/>
      <c r="E155" s="34"/>
      <c r="F155" s="37">
        <f>Source!AM99</f>
        <v>52.8</v>
      </c>
      <c r="G155" s="36" t="str">
        <f>Source!DE99</f>
        <v>)*1,1</v>
      </c>
      <c r="H155" s="34">
        <f>Source!AV100</f>
        <v>1.0669999999999999</v>
      </c>
      <c r="I155" s="37">
        <f>Source!Q99</f>
        <v>15.93</v>
      </c>
      <c r="J155" s="34">
        <f>IF(Source!BB100&lt;&gt; 0, Source!BB100, 1)</f>
        <v>12.04</v>
      </c>
      <c r="K155" s="37">
        <f>Source!Q100</f>
        <v>191.8</v>
      </c>
    </row>
    <row r="156" spans="1:29" ht="14.25" x14ac:dyDescent="0.2">
      <c r="A156" s="33"/>
      <c r="B156" s="33"/>
      <c r="C156" s="33" t="s">
        <v>730</v>
      </c>
      <c r="D156" s="35"/>
      <c r="E156" s="34"/>
      <c r="F156" s="37">
        <f>Source!AN99</f>
        <v>6.44</v>
      </c>
      <c r="G156" s="36" t="str">
        <f>Source!DF99</f>
        <v>)*1,1</v>
      </c>
      <c r="H156" s="34">
        <f>Source!AV100</f>
        <v>1.0669999999999999</v>
      </c>
      <c r="I156" s="46">
        <f>Source!R99</f>
        <v>1.94</v>
      </c>
      <c r="J156" s="34">
        <f>IF(Source!BS100&lt;&gt; 0, Source!BS100, 1)</f>
        <v>34.51</v>
      </c>
      <c r="K156" s="46">
        <f>Source!R100</f>
        <v>66.95</v>
      </c>
    </row>
    <row r="157" spans="1:29" ht="14.25" x14ac:dyDescent="0.2">
      <c r="A157" s="33"/>
      <c r="B157" s="33"/>
      <c r="C157" s="33" t="s">
        <v>746</v>
      </c>
      <c r="D157" s="35"/>
      <c r="E157" s="34"/>
      <c r="F157" s="37">
        <f>Source!AL99</f>
        <v>52.94</v>
      </c>
      <c r="G157" s="36" t="str">
        <f>Source!DD99</f>
        <v/>
      </c>
      <c r="H157" s="34">
        <f>Source!AW100</f>
        <v>1.081</v>
      </c>
      <c r="I157" s="37">
        <f>Source!P99</f>
        <v>14.71</v>
      </c>
      <c r="J157" s="34">
        <f>IF(Source!BC100&lt;&gt; 0, Source!BC100, 1)</f>
        <v>17.38</v>
      </c>
      <c r="K157" s="37">
        <f>Source!P100</f>
        <v>255.66</v>
      </c>
    </row>
    <row r="158" spans="1:29" ht="14.25" x14ac:dyDescent="0.2">
      <c r="A158" s="33"/>
      <c r="B158" s="33"/>
      <c r="C158" s="33" t="s">
        <v>722</v>
      </c>
      <c r="D158" s="35" t="s">
        <v>723</v>
      </c>
      <c r="E158" s="34">
        <f>Source!DN100</f>
        <v>112</v>
      </c>
      <c r="F158" s="37"/>
      <c r="G158" s="36"/>
      <c r="H158" s="34"/>
      <c r="I158" s="37">
        <f>SUM(Q152:Q157)</f>
        <v>65.78</v>
      </c>
      <c r="J158" s="34">
        <f>Source!BZ100</f>
        <v>92</v>
      </c>
      <c r="K158" s="37">
        <f>SUM(R152:R157)</f>
        <v>1864.63</v>
      </c>
    </row>
    <row r="159" spans="1:29" ht="14.25" x14ac:dyDescent="0.2">
      <c r="A159" s="33"/>
      <c r="B159" s="33"/>
      <c r="C159" s="33" t="s">
        <v>724</v>
      </c>
      <c r="D159" s="35" t="s">
        <v>723</v>
      </c>
      <c r="E159" s="34">
        <f>Source!DO100</f>
        <v>70</v>
      </c>
      <c r="F159" s="37"/>
      <c r="G159" s="36"/>
      <c r="H159" s="34"/>
      <c r="I159" s="37">
        <f>SUM(S152:S158)</f>
        <v>41.11</v>
      </c>
      <c r="J159" s="34">
        <f>Source!CA100</f>
        <v>43</v>
      </c>
      <c r="K159" s="37">
        <f>SUM(T152:T158)</f>
        <v>871.51</v>
      </c>
    </row>
    <row r="160" spans="1:29" ht="14.25" x14ac:dyDescent="0.2">
      <c r="A160" s="33"/>
      <c r="B160" s="33"/>
      <c r="C160" s="33" t="s">
        <v>731</v>
      </c>
      <c r="D160" s="35" t="s">
        <v>723</v>
      </c>
      <c r="E160" s="34">
        <f>175</f>
        <v>175</v>
      </c>
      <c r="F160" s="37"/>
      <c r="G160" s="36"/>
      <c r="H160" s="34"/>
      <c r="I160" s="37">
        <f>SUM(U152:U159)</f>
        <v>3.4</v>
      </c>
      <c r="J160" s="34">
        <f>160</f>
        <v>160</v>
      </c>
      <c r="K160" s="37">
        <f>SUM(V152:V159)</f>
        <v>107.12</v>
      </c>
    </row>
    <row r="161" spans="1:29" ht="14.25" x14ac:dyDescent="0.2">
      <c r="A161" s="39"/>
      <c r="B161" s="39"/>
      <c r="C161" s="39" t="s">
        <v>725</v>
      </c>
      <c r="D161" s="40" t="s">
        <v>726</v>
      </c>
      <c r="E161" s="41">
        <f>Source!AQ99</f>
        <v>15.8</v>
      </c>
      <c r="F161" s="42"/>
      <c r="G161" s="43" t="str">
        <f>Source!DI99</f>
        <v>)*1,1</v>
      </c>
      <c r="H161" s="41">
        <f>Source!AV100</f>
        <v>1.0669999999999999</v>
      </c>
      <c r="I161" s="42">
        <f>Source!U99</f>
        <v>4.7666679984</v>
      </c>
      <c r="J161" s="41"/>
      <c r="K161" s="42"/>
    </row>
    <row r="162" spans="1:29" ht="15" x14ac:dyDescent="0.25">
      <c r="C162" s="23" t="s">
        <v>727</v>
      </c>
      <c r="H162" s="44">
        <f>I154+I155+I157+I158+I159+I160+0</f>
        <v>199.66</v>
      </c>
      <c r="I162" s="44"/>
      <c r="J162" s="44">
        <f>K154+K155+K157+K158+K159+K160+0</f>
        <v>5317.4900000000007</v>
      </c>
      <c r="K162" s="44"/>
      <c r="O162" s="45">
        <f>I154+I155+I157+I158+I159+I160+0</f>
        <v>199.66</v>
      </c>
      <c r="P162" s="45">
        <f>K154+K155+K157+K158+K159+K160+0</f>
        <v>5317.4900000000007</v>
      </c>
    </row>
    <row r="164" spans="1:29" ht="99.75" x14ac:dyDescent="0.2">
      <c r="A164" s="33">
        <v>21</v>
      </c>
      <c r="B164" s="33" t="str">
        <f>Source!F103</f>
        <v>1.23-7-391</v>
      </c>
      <c r="C164" s="33" t="s">
        <v>177</v>
      </c>
      <c r="D164" s="35" t="str">
        <f>Source!DW103</f>
        <v>км</v>
      </c>
      <c r="E164" s="34">
        <f>Source!I103</f>
        <v>3.7449999999999997E-2</v>
      </c>
      <c r="F164" s="37">
        <f>Source!AL103</f>
        <v>81534.37</v>
      </c>
      <c r="G164" s="36" t="str">
        <f>Source!DD103</f>
        <v/>
      </c>
      <c r="H164" s="34">
        <f>Source!AW104</f>
        <v>1</v>
      </c>
      <c r="I164" s="37">
        <f>Source!P103</f>
        <v>3053.46</v>
      </c>
      <c r="J164" s="34">
        <f>IF(Source!BC104&lt;&gt; 0, Source!BC104, 1)</f>
        <v>7.94</v>
      </c>
      <c r="K164" s="37">
        <f>Source!P104</f>
        <v>24244.47</v>
      </c>
      <c r="Q164">
        <f>Source!X103</f>
        <v>0</v>
      </c>
      <c r="R164">
        <f>Source!X104</f>
        <v>0</v>
      </c>
      <c r="S164">
        <f>Source!Y103</f>
        <v>0</v>
      </c>
      <c r="T164">
        <f>Source!Y104</f>
        <v>0</v>
      </c>
      <c r="U164">
        <f>ROUND((175/100)*ROUND(Source!R103, 2), 2)</f>
        <v>0</v>
      </c>
      <c r="V164">
        <f>ROUND((160/100)*ROUND(Source!R104, 2), 2)</f>
        <v>0</v>
      </c>
      <c r="AC164">
        <v>3</v>
      </c>
    </row>
    <row r="165" spans="1:29" x14ac:dyDescent="0.2">
      <c r="A165" s="50"/>
      <c r="B165" s="50"/>
      <c r="C165" s="51" t="str">
        <f>"Объем: "&amp;Source!I103&amp;"=37,45/"&amp;"1000"</f>
        <v>Объем: 0,03745=37,45/1000</v>
      </c>
      <c r="D165" s="50"/>
      <c r="E165" s="50"/>
      <c r="F165" s="50"/>
      <c r="G165" s="50"/>
      <c r="H165" s="50"/>
      <c r="I165" s="50"/>
      <c r="J165" s="50"/>
      <c r="K165" s="50"/>
    </row>
    <row r="166" spans="1:29" ht="15" x14ac:dyDescent="0.25">
      <c r="C166" s="23" t="s">
        <v>727</v>
      </c>
      <c r="H166" s="44">
        <f>I164+0</f>
        <v>3053.46</v>
      </c>
      <c r="I166" s="44"/>
      <c r="J166" s="44">
        <f>K164+0</f>
        <v>24244.47</v>
      </c>
      <c r="K166" s="44"/>
      <c r="O166" s="45">
        <f>I164+0</f>
        <v>3053.46</v>
      </c>
      <c r="P166" s="45">
        <f>K164+0</f>
        <v>24244.47</v>
      </c>
    </row>
    <row r="168" spans="1:29" ht="116.25" x14ac:dyDescent="0.2">
      <c r="A168" s="33">
        <v>28</v>
      </c>
      <c r="B168" s="33" t="s">
        <v>748</v>
      </c>
      <c r="C168" s="33" t="s">
        <v>223</v>
      </c>
      <c r="D168" s="35" t="str">
        <f>Source!DW123</f>
        <v>100 компл.</v>
      </c>
      <c r="E168" s="34">
        <f>Source!I123</f>
        <v>0.02</v>
      </c>
      <c r="F168" s="37"/>
      <c r="G168" s="36"/>
      <c r="H168" s="34"/>
      <c r="I168" s="37"/>
      <c r="J168" s="34"/>
      <c r="K168" s="37"/>
      <c r="Q168">
        <f>Source!X123</f>
        <v>66.44</v>
      </c>
      <c r="R168">
        <f>Source!X124</f>
        <v>1883.36</v>
      </c>
      <c r="S168">
        <f>Source!Y123</f>
        <v>41.52</v>
      </c>
      <c r="T168">
        <f>Source!Y124</f>
        <v>880.27</v>
      </c>
      <c r="U168">
        <f>ROUND((175/100)*ROUND(Source!R123, 2), 2)</f>
        <v>2.99</v>
      </c>
      <c r="V168">
        <f>ROUND((160/100)*ROUND(Source!R124, 2), 2)</f>
        <v>94.42</v>
      </c>
      <c r="AC168">
        <v>0</v>
      </c>
    </row>
    <row r="169" spans="1:29" x14ac:dyDescent="0.2">
      <c r="C169" s="38" t="str">
        <f>"Объем: "&amp;Source!I123&amp;"=2/"&amp;"100"</f>
        <v>Объем: 0,02=2/100</v>
      </c>
    </row>
    <row r="170" spans="1:29" ht="28.5" x14ac:dyDescent="0.2">
      <c r="A170" s="33"/>
      <c r="B170" s="33"/>
      <c r="C170" s="33" t="s">
        <v>721</v>
      </c>
      <c r="D170" s="35"/>
      <c r="E170" s="34"/>
      <c r="F170" s="37">
        <f>Source!AO123</f>
        <v>2146.23</v>
      </c>
      <c r="G170" s="36" t="str">
        <f>Source!DG123</f>
        <v>)*1,1)*1,2</v>
      </c>
      <c r="H170" s="34">
        <f>Source!AV124</f>
        <v>1.0469999999999999</v>
      </c>
      <c r="I170" s="37">
        <f>Source!S123</f>
        <v>59.32</v>
      </c>
      <c r="J170" s="34">
        <f>IF(Source!BA124&lt;&gt; 0, Source!BA124, 1)</f>
        <v>34.51</v>
      </c>
      <c r="K170" s="37">
        <f>Source!S124</f>
        <v>2047.13</v>
      </c>
    </row>
    <row r="171" spans="1:29" ht="28.5" x14ac:dyDescent="0.2">
      <c r="A171" s="33"/>
      <c r="B171" s="33"/>
      <c r="C171" s="33" t="s">
        <v>729</v>
      </c>
      <c r="D171" s="35"/>
      <c r="E171" s="34"/>
      <c r="F171" s="37">
        <f>Source!AM123</f>
        <v>715.67</v>
      </c>
      <c r="G171" s="36" t="str">
        <f>Source!DE123</f>
        <v>)*1,1)*1,2</v>
      </c>
      <c r="H171" s="34">
        <f>Source!AV124</f>
        <v>1.0469999999999999</v>
      </c>
      <c r="I171" s="37">
        <f>Source!Q123</f>
        <v>19.78</v>
      </c>
      <c r="J171" s="34">
        <f>IF(Source!BB124&lt;&gt; 0, Source!BB124, 1)</f>
        <v>7.03</v>
      </c>
      <c r="K171" s="37">
        <f>Source!Q124</f>
        <v>139.05000000000001</v>
      </c>
    </row>
    <row r="172" spans="1:29" ht="28.5" x14ac:dyDescent="0.2">
      <c r="A172" s="33"/>
      <c r="B172" s="33"/>
      <c r="C172" s="33" t="s">
        <v>730</v>
      </c>
      <c r="D172" s="35"/>
      <c r="E172" s="34"/>
      <c r="F172" s="37">
        <f>Source!AN123</f>
        <v>61.76</v>
      </c>
      <c r="G172" s="36" t="str">
        <f>Source!DF123</f>
        <v>)*1,1)*1,2</v>
      </c>
      <c r="H172" s="34">
        <f>Source!AV124</f>
        <v>1.0469999999999999</v>
      </c>
      <c r="I172" s="46">
        <f>Source!R123</f>
        <v>1.71</v>
      </c>
      <c r="J172" s="34">
        <f>IF(Source!BS124&lt;&gt; 0, Source!BS124, 1)</f>
        <v>34.51</v>
      </c>
      <c r="K172" s="46">
        <f>Source!R124</f>
        <v>59.01</v>
      </c>
    </row>
    <row r="173" spans="1:29" ht="14.25" x14ac:dyDescent="0.2">
      <c r="A173" s="33"/>
      <c r="B173" s="33"/>
      <c r="C173" s="33" t="s">
        <v>746</v>
      </c>
      <c r="D173" s="35"/>
      <c r="E173" s="34"/>
      <c r="F173" s="37">
        <f>Source!AL123</f>
        <v>535.53</v>
      </c>
      <c r="G173" s="36" t="str">
        <f>Source!DD123</f>
        <v>)*1</v>
      </c>
      <c r="H173" s="34">
        <f>Source!AW124</f>
        <v>1</v>
      </c>
      <c r="I173" s="37">
        <f>Source!P123</f>
        <v>10.71</v>
      </c>
      <c r="J173" s="34">
        <f>IF(Source!BC124&lt;&gt; 0, Source!BC124, 1)</f>
        <v>7.41</v>
      </c>
      <c r="K173" s="37">
        <f>Source!P124</f>
        <v>79.36</v>
      </c>
    </row>
    <row r="174" spans="1:29" ht="14.25" x14ac:dyDescent="0.2">
      <c r="A174" s="33"/>
      <c r="B174" s="33"/>
      <c r="C174" s="33" t="s">
        <v>722</v>
      </c>
      <c r="D174" s="35" t="s">
        <v>723</v>
      </c>
      <c r="E174" s="34">
        <f>Source!DN124</f>
        <v>112</v>
      </c>
      <c r="F174" s="37"/>
      <c r="G174" s="36"/>
      <c r="H174" s="34"/>
      <c r="I174" s="37">
        <f>SUM(Q168:Q173)</f>
        <v>66.44</v>
      </c>
      <c r="J174" s="34">
        <f>Source!BZ124</f>
        <v>92</v>
      </c>
      <c r="K174" s="37">
        <f>SUM(R168:R173)</f>
        <v>1883.36</v>
      </c>
    </row>
    <row r="175" spans="1:29" ht="14.25" x14ac:dyDescent="0.2">
      <c r="A175" s="33"/>
      <c r="B175" s="33"/>
      <c r="C175" s="33" t="s">
        <v>724</v>
      </c>
      <c r="D175" s="35" t="s">
        <v>723</v>
      </c>
      <c r="E175" s="34">
        <f>Source!DO124</f>
        <v>70</v>
      </c>
      <c r="F175" s="37"/>
      <c r="G175" s="36"/>
      <c r="H175" s="34"/>
      <c r="I175" s="37">
        <f>SUM(S168:S174)</f>
        <v>41.52</v>
      </c>
      <c r="J175" s="34">
        <f>Source!CA124</f>
        <v>43</v>
      </c>
      <c r="K175" s="37">
        <f>SUM(T168:T174)</f>
        <v>880.27</v>
      </c>
    </row>
    <row r="176" spans="1:29" ht="14.25" x14ac:dyDescent="0.2">
      <c r="A176" s="33"/>
      <c r="B176" s="33"/>
      <c r="C176" s="33" t="s">
        <v>731</v>
      </c>
      <c r="D176" s="35" t="s">
        <v>723</v>
      </c>
      <c r="E176" s="34">
        <f>175</f>
        <v>175</v>
      </c>
      <c r="F176" s="37"/>
      <c r="G176" s="36"/>
      <c r="H176" s="34"/>
      <c r="I176" s="37">
        <f>SUM(U168:U175)</f>
        <v>2.99</v>
      </c>
      <c r="J176" s="34">
        <f>160</f>
        <v>160</v>
      </c>
      <c r="K176" s="37">
        <f>SUM(V168:V175)</f>
        <v>94.42</v>
      </c>
    </row>
    <row r="177" spans="1:29" ht="28.5" x14ac:dyDescent="0.2">
      <c r="A177" s="39"/>
      <c r="B177" s="39"/>
      <c r="C177" s="39" t="s">
        <v>725</v>
      </c>
      <c r="D177" s="40" t="s">
        <v>726</v>
      </c>
      <c r="E177" s="41">
        <f>Source!AQ123</f>
        <v>155.88</v>
      </c>
      <c r="F177" s="42"/>
      <c r="G177" s="43" t="str">
        <f>Source!DI123</f>
        <v>)*1,1)*1,2</v>
      </c>
      <c r="H177" s="41">
        <f>Source!AV124</f>
        <v>1.0469999999999999</v>
      </c>
      <c r="I177" s="42">
        <f>Source!U123</f>
        <v>4.3086479039999999</v>
      </c>
      <c r="J177" s="41"/>
      <c r="K177" s="42"/>
    </row>
    <row r="178" spans="1:29" ht="15" x14ac:dyDescent="0.25">
      <c r="C178" s="23" t="s">
        <v>727</v>
      </c>
      <c r="H178" s="44">
        <f>I170+I171+I173+I174+I175+I176+0</f>
        <v>200.76000000000002</v>
      </c>
      <c r="I178" s="44"/>
      <c r="J178" s="44">
        <f>K170+K171+K173+K174+K175+K176+0</f>
        <v>5123.59</v>
      </c>
      <c r="K178" s="44"/>
      <c r="O178" s="45">
        <f>I170+I171+I173+I174+I175+I176+0</f>
        <v>200.76000000000002</v>
      </c>
      <c r="P178" s="45">
        <f>K170+K171+K173+K174+K175+K176+0</f>
        <v>5123.59</v>
      </c>
    </row>
    <row r="180" spans="1:29" ht="52.5" x14ac:dyDescent="0.2">
      <c r="A180" s="33">
        <v>29</v>
      </c>
      <c r="B180" s="33" t="s">
        <v>749</v>
      </c>
      <c r="C180" s="33" t="s">
        <v>223</v>
      </c>
      <c r="D180" s="35" t="str">
        <f>Source!DW125</f>
        <v>100 компл.</v>
      </c>
      <c r="E180" s="34">
        <f>Source!I125</f>
        <v>0.06</v>
      </c>
      <c r="F180" s="37"/>
      <c r="G180" s="36"/>
      <c r="H180" s="34"/>
      <c r="I180" s="37"/>
      <c r="J180" s="34"/>
      <c r="K180" s="37"/>
      <c r="Q180">
        <f>Source!X125</f>
        <v>166.11</v>
      </c>
      <c r="R180">
        <f>Source!X126</f>
        <v>4708.7299999999996</v>
      </c>
      <c r="S180">
        <f>Source!Y125</f>
        <v>103.82</v>
      </c>
      <c r="T180">
        <f>Source!Y126</f>
        <v>2200.8200000000002</v>
      </c>
      <c r="U180">
        <f>ROUND((175/100)*ROUND(Source!R125, 2), 2)</f>
        <v>7.47</v>
      </c>
      <c r="V180">
        <f>ROUND((160/100)*ROUND(Source!R126, 2), 2)</f>
        <v>235.78</v>
      </c>
      <c r="AC180">
        <v>0</v>
      </c>
    </row>
    <row r="181" spans="1:29" x14ac:dyDescent="0.2">
      <c r="C181" s="38" t="str">
        <f>"Объем: "&amp;Source!I125&amp;"=6/"&amp;"100"</f>
        <v>Объем: 0,06=6/100</v>
      </c>
    </row>
    <row r="182" spans="1:29" ht="14.25" x14ac:dyDescent="0.2">
      <c r="A182" s="33"/>
      <c r="B182" s="33"/>
      <c r="C182" s="33" t="s">
        <v>721</v>
      </c>
      <c r="D182" s="35"/>
      <c r="E182" s="34"/>
      <c r="F182" s="37">
        <f>Source!AO125</f>
        <v>2146.23</v>
      </c>
      <c r="G182" s="36" t="str">
        <f>Source!DG125</f>
        <v>)*1,1</v>
      </c>
      <c r="H182" s="34">
        <f>Source!AV126</f>
        <v>1.0469999999999999</v>
      </c>
      <c r="I182" s="37">
        <f>Source!S125</f>
        <v>148.31</v>
      </c>
      <c r="J182" s="34">
        <f>IF(Source!BA126&lt;&gt; 0, Source!BA126, 1)</f>
        <v>34.51</v>
      </c>
      <c r="K182" s="37">
        <f>Source!S126</f>
        <v>5118.18</v>
      </c>
    </row>
    <row r="183" spans="1:29" ht="14.25" x14ac:dyDescent="0.2">
      <c r="A183" s="33"/>
      <c r="B183" s="33"/>
      <c r="C183" s="33" t="s">
        <v>729</v>
      </c>
      <c r="D183" s="35"/>
      <c r="E183" s="34"/>
      <c r="F183" s="37">
        <f>Source!AM125</f>
        <v>715.67</v>
      </c>
      <c r="G183" s="36" t="str">
        <f>Source!DE125</f>
        <v>)*1,1</v>
      </c>
      <c r="H183" s="34">
        <f>Source!AV126</f>
        <v>1.0469999999999999</v>
      </c>
      <c r="I183" s="37">
        <f>Source!Q125</f>
        <v>49.45</v>
      </c>
      <c r="J183" s="34">
        <f>IF(Source!BB126&lt;&gt; 0, Source!BB126, 1)</f>
        <v>7.03</v>
      </c>
      <c r="K183" s="37">
        <f>Source!Q126</f>
        <v>347.63</v>
      </c>
    </row>
    <row r="184" spans="1:29" ht="14.25" x14ac:dyDescent="0.2">
      <c r="A184" s="33"/>
      <c r="B184" s="33"/>
      <c r="C184" s="33" t="s">
        <v>730</v>
      </c>
      <c r="D184" s="35"/>
      <c r="E184" s="34"/>
      <c r="F184" s="37">
        <f>Source!AN125</f>
        <v>61.76</v>
      </c>
      <c r="G184" s="36" t="str">
        <f>Source!DF125</f>
        <v>)*1,1</v>
      </c>
      <c r="H184" s="34">
        <f>Source!AV126</f>
        <v>1.0469999999999999</v>
      </c>
      <c r="I184" s="46">
        <f>Source!R125</f>
        <v>4.2699999999999996</v>
      </c>
      <c r="J184" s="34">
        <f>IF(Source!BS126&lt;&gt; 0, Source!BS126, 1)</f>
        <v>34.51</v>
      </c>
      <c r="K184" s="46">
        <f>Source!R126</f>
        <v>147.36000000000001</v>
      </c>
    </row>
    <row r="185" spans="1:29" ht="14.25" x14ac:dyDescent="0.2">
      <c r="A185" s="33"/>
      <c r="B185" s="33"/>
      <c r="C185" s="33" t="s">
        <v>746</v>
      </c>
      <c r="D185" s="35"/>
      <c r="E185" s="34"/>
      <c r="F185" s="37">
        <f>Source!AL125</f>
        <v>535.53</v>
      </c>
      <c r="G185" s="36" t="str">
        <f>Source!DD125</f>
        <v/>
      </c>
      <c r="H185" s="34">
        <f>Source!AW126</f>
        <v>1</v>
      </c>
      <c r="I185" s="37">
        <f>Source!P125</f>
        <v>32.130000000000003</v>
      </c>
      <c r="J185" s="34">
        <f>IF(Source!BC126&lt;&gt; 0, Source!BC126, 1)</f>
        <v>7.41</v>
      </c>
      <c r="K185" s="37">
        <f>Source!P126</f>
        <v>238.08</v>
      </c>
    </row>
    <row r="186" spans="1:29" ht="14.25" x14ac:dyDescent="0.2">
      <c r="A186" s="33"/>
      <c r="B186" s="33"/>
      <c r="C186" s="33" t="s">
        <v>722</v>
      </c>
      <c r="D186" s="35" t="s">
        <v>723</v>
      </c>
      <c r="E186" s="34">
        <f>Source!DN126</f>
        <v>112</v>
      </c>
      <c r="F186" s="37"/>
      <c r="G186" s="36"/>
      <c r="H186" s="34"/>
      <c r="I186" s="37">
        <f>SUM(Q180:Q185)</f>
        <v>166.11</v>
      </c>
      <c r="J186" s="34">
        <f>Source!BZ126</f>
        <v>92</v>
      </c>
      <c r="K186" s="37">
        <f>SUM(R180:R185)</f>
        <v>4708.7299999999996</v>
      </c>
    </row>
    <row r="187" spans="1:29" ht="14.25" x14ac:dyDescent="0.2">
      <c r="A187" s="33"/>
      <c r="B187" s="33"/>
      <c r="C187" s="33" t="s">
        <v>724</v>
      </c>
      <c r="D187" s="35" t="s">
        <v>723</v>
      </c>
      <c r="E187" s="34">
        <f>Source!DO126</f>
        <v>70</v>
      </c>
      <c r="F187" s="37"/>
      <c r="G187" s="36"/>
      <c r="H187" s="34"/>
      <c r="I187" s="37">
        <f>SUM(S180:S186)</f>
        <v>103.82</v>
      </c>
      <c r="J187" s="34">
        <f>Source!CA126</f>
        <v>43</v>
      </c>
      <c r="K187" s="37">
        <f>SUM(T180:T186)</f>
        <v>2200.8200000000002</v>
      </c>
    </row>
    <row r="188" spans="1:29" ht="14.25" x14ac:dyDescent="0.2">
      <c r="A188" s="33"/>
      <c r="B188" s="33"/>
      <c r="C188" s="33" t="s">
        <v>731</v>
      </c>
      <c r="D188" s="35" t="s">
        <v>723</v>
      </c>
      <c r="E188" s="34">
        <f>175</f>
        <v>175</v>
      </c>
      <c r="F188" s="37"/>
      <c r="G188" s="36"/>
      <c r="H188" s="34"/>
      <c r="I188" s="37">
        <f>SUM(U180:U187)</f>
        <v>7.47</v>
      </c>
      <c r="J188" s="34">
        <f>160</f>
        <v>160</v>
      </c>
      <c r="K188" s="37">
        <f>SUM(V180:V187)</f>
        <v>235.78</v>
      </c>
    </row>
    <row r="189" spans="1:29" ht="14.25" x14ac:dyDescent="0.2">
      <c r="A189" s="39"/>
      <c r="B189" s="39"/>
      <c r="C189" s="39" t="s">
        <v>725</v>
      </c>
      <c r="D189" s="40" t="s">
        <v>726</v>
      </c>
      <c r="E189" s="41">
        <f>Source!AQ125</f>
        <v>155.88</v>
      </c>
      <c r="F189" s="42"/>
      <c r="G189" s="43" t="str">
        <f>Source!DI125</f>
        <v>)*1,1</v>
      </c>
      <c r="H189" s="41">
        <f>Source!AV126</f>
        <v>1.0469999999999999</v>
      </c>
      <c r="I189" s="42">
        <f>Source!U125</f>
        <v>10.77161976</v>
      </c>
      <c r="J189" s="41"/>
      <c r="K189" s="42"/>
    </row>
    <row r="190" spans="1:29" ht="15" x14ac:dyDescent="0.25">
      <c r="C190" s="23" t="s">
        <v>727</v>
      </c>
      <c r="H190" s="44">
        <f>I182+I183+I185+I186+I187+I188+0</f>
        <v>507.29</v>
      </c>
      <c r="I190" s="44"/>
      <c r="J190" s="44">
        <f>K182+K183+K185+K186+K187+K188+0</f>
        <v>12849.22</v>
      </c>
      <c r="K190" s="44"/>
      <c r="O190" s="45">
        <f>I182+I183+I185+I186+I187+I188+0</f>
        <v>507.29</v>
      </c>
      <c r="P190" s="45">
        <f>K182+K183+K185+K186+K187+K188+0</f>
        <v>12849.22</v>
      </c>
    </row>
    <row r="192" spans="1:29" ht="66.75" x14ac:dyDescent="0.2">
      <c r="A192" s="33">
        <v>30</v>
      </c>
      <c r="B192" s="33" t="s">
        <v>750</v>
      </c>
      <c r="C192" s="33" t="s">
        <v>229</v>
      </c>
      <c r="D192" s="35" t="str">
        <f>Source!DW127</f>
        <v>КОМПЛЕКТ</v>
      </c>
      <c r="E192" s="34">
        <f>Source!I127</f>
        <v>8</v>
      </c>
      <c r="F192" s="37">
        <f>Source!AL127</f>
        <v>153.63</v>
      </c>
      <c r="G192" s="36" t="str">
        <f>Source!DD127</f>
        <v/>
      </c>
      <c r="H192" s="34">
        <f>Source!AW128</f>
        <v>1</v>
      </c>
      <c r="I192" s="37">
        <f>Source!P127</f>
        <v>1229.04</v>
      </c>
      <c r="J192" s="34">
        <f>IF(Source!BC128&lt;&gt; 0, Source!BC128, 1)</f>
        <v>2.11</v>
      </c>
      <c r="K192" s="37">
        <f>Source!P128</f>
        <v>2593.27</v>
      </c>
      <c r="Q192">
        <f>Source!X127</f>
        <v>0</v>
      </c>
      <c r="R192">
        <f>Source!X128</f>
        <v>0</v>
      </c>
      <c r="S192">
        <f>Source!Y127</f>
        <v>0</v>
      </c>
      <c r="T192">
        <f>Source!Y128</f>
        <v>0</v>
      </c>
      <c r="U192">
        <f>ROUND((175/100)*ROUND(Source!R127, 2), 2)</f>
        <v>0</v>
      </c>
      <c r="V192">
        <f>ROUND((160/100)*ROUND(Source!R128, 2), 2)</f>
        <v>0</v>
      </c>
      <c r="AC192">
        <v>3</v>
      </c>
    </row>
    <row r="193" spans="1:29" x14ac:dyDescent="0.2">
      <c r="A193" s="50"/>
      <c r="B193" s="50"/>
      <c r="C193" s="51" t="str">
        <f>"Объем: "&amp;Source!I127&amp;"=(("&amp;Source!I123&amp;"+"&amp;""&amp;Source!I125&amp;")*"&amp;"100)*"&amp;"1"</f>
        <v>Объем: 8=((0,02+0,06)*100)*1</v>
      </c>
      <c r="D193" s="50"/>
      <c r="E193" s="50"/>
      <c r="F193" s="50"/>
      <c r="G193" s="50"/>
      <c r="H193" s="50"/>
      <c r="I193" s="50"/>
      <c r="J193" s="50"/>
      <c r="K193" s="50"/>
    </row>
    <row r="194" spans="1:29" ht="15" x14ac:dyDescent="0.25">
      <c r="C194" s="23" t="s">
        <v>727</v>
      </c>
      <c r="H194" s="44">
        <f>I192+0</f>
        <v>1229.04</v>
      </c>
      <c r="I194" s="44"/>
      <c r="J194" s="44">
        <f>K192+0</f>
        <v>2593.27</v>
      </c>
      <c r="K194" s="44"/>
      <c r="O194" s="45">
        <f>I192+0</f>
        <v>1229.04</v>
      </c>
      <c r="P194" s="45">
        <f>K192+0</f>
        <v>2593.27</v>
      </c>
    </row>
    <row r="197" spans="1:29" ht="15" x14ac:dyDescent="0.25">
      <c r="A197" s="49" t="str">
        <f>CONCATENATE("Итого по разделу: ",IF(Source!G134&lt;&gt;"Новый раздел", Source!G134, ""))</f>
        <v>Итого по разделу: Монтажные работы 20% c к-том 1.2</v>
      </c>
      <c r="B197" s="49"/>
      <c r="C197" s="49"/>
      <c r="D197" s="49"/>
      <c r="E197" s="49"/>
      <c r="F197" s="49"/>
      <c r="G197" s="49"/>
      <c r="H197" s="48">
        <f>SUM(O139:O196)</f>
        <v>5291.6100000000006</v>
      </c>
      <c r="I197" s="47"/>
      <c r="J197" s="48">
        <f>SUM(P139:P196)</f>
        <v>52840.53</v>
      </c>
      <c r="K197" s="47"/>
    </row>
    <row r="198" spans="1:29" hidden="1" x14ac:dyDescent="0.2">
      <c r="A198" t="s">
        <v>743</v>
      </c>
      <c r="I198">
        <f>SUM(W139:W197)</f>
        <v>0</v>
      </c>
      <c r="J198">
        <f>SUM(X139:X197)</f>
        <v>0</v>
      </c>
    </row>
    <row r="199" spans="1:29" hidden="1" x14ac:dyDescent="0.2">
      <c r="A199" t="s">
        <v>744</v>
      </c>
      <c r="I199">
        <f>SUM(Y139:Y198)</f>
        <v>0</v>
      </c>
      <c r="J199">
        <f>SUM(Z139:Z198)</f>
        <v>0</v>
      </c>
    </row>
    <row r="201" spans="1:29" ht="16.5" x14ac:dyDescent="0.25">
      <c r="A201" s="32" t="str">
        <f>CONCATENATE("Раздел: ",IF(Source!G164&lt;&gt;"Новый раздел", Source!G164, ""))</f>
        <v>Раздел: Благоустройство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</row>
    <row r="203" spans="1:29" ht="16.5" x14ac:dyDescent="0.25">
      <c r="A203" s="32" t="str">
        <f>CONCATENATE("Подраздел: ",IF(Source!G168&lt;&gt;"Новый подраздел", Source!G168, ""))</f>
        <v>Подраздел: Газон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</row>
    <row r="204" spans="1:29" ht="57" x14ac:dyDescent="0.2">
      <c r="A204" s="33">
        <v>33</v>
      </c>
      <c r="B204" s="33" t="s">
        <v>751</v>
      </c>
      <c r="C204" s="33" t="s">
        <v>249</v>
      </c>
      <c r="D204" s="35" t="str">
        <f>Source!DW172</f>
        <v>100 м2</v>
      </c>
      <c r="E204" s="34">
        <f>Source!I172</f>
        <v>5.6250000000000001E-2</v>
      </c>
      <c r="F204" s="37"/>
      <c r="G204" s="36"/>
      <c r="H204" s="34"/>
      <c r="I204" s="37"/>
      <c r="J204" s="34"/>
      <c r="K204" s="37"/>
      <c r="Q204">
        <f>Source!X172</f>
        <v>32.26</v>
      </c>
      <c r="R204">
        <f>Source!X173</f>
        <v>625.07000000000005</v>
      </c>
      <c r="S204">
        <f>Source!Y172</f>
        <v>17.420000000000002</v>
      </c>
      <c r="T204">
        <f>Source!Y173</f>
        <v>285.74</v>
      </c>
      <c r="U204">
        <f>ROUND((175/100)*ROUND(Source!R172, 2), 2)</f>
        <v>7.0000000000000007E-2</v>
      </c>
      <c r="V204">
        <f>ROUND((160/100)*ROUND(Source!R173, 2), 2)</f>
        <v>2.21</v>
      </c>
      <c r="AC204">
        <v>0</v>
      </c>
    </row>
    <row r="205" spans="1:29" x14ac:dyDescent="0.2">
      <c r="C205" s="38" t="str">
        <f>"Объем: "&amp;Source!I172&amp;"=7,5*"&amp;"0,75/"&amp;"100"</f>
        <v>Объем: 0,05625=7,5*0,75/100</v>
      </c>
    </row>
    <row r="206" spans="1:29" ht="14.25" x14ac:dyDescent="0.2">
      <c r="A206" s="33"/>
      <c r="B206" s="33"/>
      <c r="C206" s="33" t="s">
        <v>721</v>
      </c>
      <c r="D206" s="35"/>
      <c r="E206" s="34"/>
      <c r="F206" s="37">
        <f>Source!AO172</f>
        <v>278.77999999999997</v>
      </c>
      <c r="G206" s="36" t="str">
        <f>Source!DG172</f>
        <v>)*1,1</v>
      </c>
      <c r="H206" s="34">
        <f>Source!AV173</f>
        <v>1</v>
      </c>
      <c r="I206" s="37">
        <f>Source!S172</f>
        <v>17.25</v>
      </c>
      <c r="J206" s="34">
        <f>IF(Source!BA173&lt;&gt; 0, Source!BA173, 1)</f>
        <v>34.51</v>
      </c>
      <c r="K206" s="37">
        <f>Source!S173</f>
        <v>595.29999999999995</v>
      </c>
    </row>
    <row r="207" spans="1:29" ht="14.25" x14ac:dyDescent="0.2">
      <c r="A207" s="33"/>
      <c r="B207" s="33"/>
      <c r="C207" s="33" t="s">
        <v>729</v>
      </c>
      <c r="D207" s="35"/>
      <c r="E207" s="34"/>
      <c r="F207" s="37">
        <f>Source!AM172</f>
        <v>5</v>
      </c>
      <c r="G207" s="36" t="str">
        <f>Source!DE172</f>
        <v>)*1,1</v>
      </c>
      <c r="H207" s="34">
        <f>Source!AV173</f>
        <v>1</v>
      </c>
      <c r="I207" s="37">
        <f>Source!Q172</f>
        <v>0.31</v>
      </c>
      <c r="J207" s="34">
        <f>IF(Source!BB173&lt;&gt; 0, Source!BB173, 1)</f>
        <v>13.21</v>
      </c>
      <c r="K207" s="37">
        <f>Source!Q173</f>
        <v>4.0999999999999996</v>
      </c>
    </row>
    <row r="208" spans="1:29" ht="14.25" x14ac:dyDescent="0.2">
      <c r="A208" s="33"/>
      <c r="B208" s="33"/>
      <c r="C208" s="33" t="s">
        <v>730</v>
      </c>
      <c r="D208" s="35"/>
      <c r="E208" s="34"/>
      <c r="F208" s="37">
        <f>Source!AN172</f>
        <v>0.63</v>
      </c>
      <c r="G208" s="36" t="str">
        <f>Source!DF172</f>
        <v>)*1,1</v>
      </c>
      <c r="H208" s="34">
        <f>Source!AV173</f>
        <v>1</v>
      </c>
      <c r="I208" s="46">
        <f>Source!R172</f>
        <v>0.04</v>
      </c>
      <c r="J208" s="34">
        <f>IF(Source!BS173&lt;&gt; 0, Source!BS173, 1)</f>
        <v>34.51</v>
      </c>
      <c r="K208" s="46">
        <f>Source!R173</f>
        <v>1.38</v>
      </c>
    </row>
    <row r="209" spans="1:29" ht="14.25" x14ac:dyDescent="0.2">
      <c r="A209" s="33" t="s">
        <v>254</v>
      </c>
      <c r="B209" s="33" t="str">
        <f>Source!F174</f>
        <v>1.4-6-1</v>
      </c>
      <c r="C209" s="33" t="s">
        <v>256</v>
      </c>
      <c r="D209" s="35" t="str">
        <f>Source!DW174</f>
        <v>м3</v>
      </c>
      <c r="E209" s="34">
        <f>Source!I174</f>
        <v>0.84375</v>
      </c>
      <c r="F209" s="37">
        <f>Source!AK174</f>
        <v>146.84</v>
      </c>
      <c r="G209" s="52" t="s">
        <v>3</v>
      </c>
      <c r="H209" s="34">
        <f>Source!AW175</f>
        <v>1</v>
      </c>
      <c r="I209" s="37">
        <f>Source!O174</f>
        <v>123.9</v>
      </c>
      <c r="J209" s="34">
        <f>IF(Source!BC175&lt;&gt; 0, Source!BC175, 1)</f>
        <v>7.24</v>
      </c>
      <c r="K209" s="37">
        <f>Source!O175</f>
        <v>897.04</v>
      </c>
      <c r="Q209">
        <f>Source!X174</f>
        <v>0</v>
      </c>
      <c r="R209">
        <f>Source!X175</f>
        <v>0</v>
      </c>
      <c r="S209">
        <f>Source!Y174</f>
        <v>0</v>
      </c>
      <c r="T209">
        <f>Source!Y175</f>
        <v>0</v>
      </c>
      <c r="U209">
        <f>ROUND((175/100)*ROUND(Source!R174, 2), 2)</f>
        <v>0</v>
      </c>
      <c r="V209">
        <f>ROUND((160/100)*ROUND(Source!R175, 2), 2)</f>
        <v>0</v>
      </c>
      <c r="AC209">
        <v>3</v>
      </c>
    </row>
    <row r="210" spans="1:29" ht="14.25" x14ac:dyDescent="0.2">
      <c r="A210" s="33"/>
      <c r="B210" s="33"/>
      <c r="C210" s="33" t="s">
        <v>722</v>
      </c>
      <c r="D210" s="35" t="s">
        <v>723</v>
      </c>
      <c r="E210" s="34">
        <f>Source!DN173</f>
        <v>187</v>
      </c>
      <c r="F210" s="37"/>
      <c r="G210" s="36"/>
      <c r="H210" s="34"/>
      <c r="I210" s="37">
        <f>SUM(Q204:Q209)</f>
        <v>32.26</v>
      </c>
      <c r="J210" s="34">
        <f>Source!BZ173</f>
        <v>105</v>
      </c>
      <c r="K210" s="37">
        <f>SUM(R204:R209)</f>
        <v>625.07000000000005</v>
      </c>
    </row>
    <row r="211" spans="1:29" ht="14.25" x14ac:dyDescent="0.2">
      <c r="A211" s="33"/>
      <c r="B211" s="33"/>
      <c r="C211" s="33" t="s">
        <v>724</v>
      </c>
      <c r="D211" s="35" t="s">
        <v>723</v>
      </c>
      <c r="E211" s="34">
        <f>Source!DO173</f>
        <v>101</v>
      </c>
      <c r="F211" s="37"/>
      <c r="G211" s="36"/>
      <c r="H211" s="34"/>
      <c r="I211" s="37">
        <f>SUM(S204:S210)</f>
        <v>17.420000000000002</v>
      </c>
      <c r="J211" s="34">
        <f>Source!CA173</f>
        <v>48</v>
      </c>
      <c r="K211" s="37">
        <f>SUM(T204:T210)</f>
        <v>285.74</v>
      </c>
    </row>
    <row r="212" spans="1:29" ht="14.25" x14ac:dyDescent="0.2">
      <c r="A212" s="33"/>
      <c r="B212" s="33"/>
      <c r="C212" s="33" t="s">
        <v>731</v>
      </c>
      <c r="D212" s="35" t="s">
        <v>723</v>
      </c>
      <c r="E212" s="34">
        <f>175</f>
        <v>175</v>
      </c>
      <c r="F212" s="37"/>
      <c r="G212" s="36"/>
      <c r="H212" s="34"/>
      <c r="I212" s="37">
        <f>SUM(U204:U211)</f>
        <v>7.0000000000000007E-2</v>
      </c>
      <c r="J212" s="34">
        <f>160</f>
        <v>160</v>
      </c>
      <c r="K212" s="37">
        <f>SUM(V204:V211)</f>
        <v>2.21</v>
      </c>
    </row>
    <row r="213" spans="1:29" ht="14.25" x14ac:dyDescent="0.2">
      <c r="A213" s="39"/>
      <c r="B213" s="39"/>
      <c r="C213" s="39" t="s">
        <v>725</v>
      </c>
      <c r="D213" s="40" t="s">
        <v>726</v>
      </c>
      <c r="E213" s="41">
        <f>Source!AQ172</f>
        <v>26.78</v>
      </c>
      <c r="F213" s="42"/>
      <c r="G213" s="43" t="str">
        <f>Source!DI172</f>
        <v>)*1,1</v>
      </c>
      <c r="H213" s="41">
        <f>Source!AV173</f>
        <v>1</v>
      </c>
      <c r="I213" s="42">
        <f>Source!U172</f>
        <v>1.6570125000000002</v>
      </c>
      <c r="J213" s="41"/>
      <c r="K213" s="42"/>
    </row>
    <row r="214" spans="1:29" ht="15" x14ac:dyDescent="0.25">
      <c r="C214" s="23" t="s">
        <v>727</v>
      </c>
      <c r="H214" s="44">
        <f>I206+I207+I210+I211+I212+SUM(I209:I209)</f>
        <v>191.20999999999998</v>
      </c>
      <c r="I214" s="44"/>
      <c r="J214" s="44">
        <f>K206+K207+K210+K211+K212+SUM(K209:K209)</f>
        <v>2409.46</v>
      </c>
      <c r="K214" s="44"/>
      <c r="O214" s="45">
        <f>I206+I207+I210+I211+I212+SUM(I209:I209)</f>
        <v>191.20999999999998</v>
      </c>
      <c r="P214" s="45">
        <f>K206+K207+K210+K211+K212+SUM(K209:K209)</f>
        <v>2409.46</v>
      </c>
    </row>
    <row r="216" spans="1:29" ht="57" x14ac:dyDescent="0.2">
      <c r="A216" s="33">
        <v>34</v>
      </c>
      <c r="B216" s="33" t="s">
        <v>752</v>
      </c>
      <c r="C216" s="33" t="s">
        <v>260</v>
      </c>
      <c r="D216" s="35" t="str">
        <f>Source!DW176</f>
        <v>100 м2</v>
      </c>
      <c r="E216" s="34">
        <f>Source!I176</f>
        <v>1.8749999999999999E-2</v>
      </c>
      <c r="F216" s="37"/>
      <c r="G216" s="36"/>
      <c r="H216" s="34"/>
      <c r="I216" s="37"/>
      <c r="J216" s="34"/>
      <c r="K216" s="37"/>
      <c r="Q216">
        <f>Source!X176</f>
        <v>16.059999999999999</v>
      </c>
      <c r="R216">
        <f>Source!X177</f>
        <v>311.26</v>
      </c>
      <c r="S216">
        <f>Source!Y176</f>
        <v>8.68</v>
      </c>
      <c r="T216">
        <f>Source!Y177</f>
        <v>142.29</v>
      </c>
      <c r="U216">
        <f>ROUND((175/100)*ROUND(Source!R176, 2), 2)</f>
        <v>0</v>
      </c>
      <c r="V216">
        <f>ROUND((160/100)*ROUND(Source!R177, 2), 2)</f>
        <v>0</v>
      </c>
      <c r="AC216">
        <v>0</v>
      </c>
    </row>
    <row r="217" spans="1:29" x14ac:dyDescent="0.2">
      <c r="C217" s="38" t="str">
        <f>"Объем: "&amp;Source!I176&amp;"=7,5*"&amp;"0,25/"&amp;"100"</f>
        <v>Объем: 0,01875=7,5*0,25/100</v>
      </c>
    </row>
    <row r="218" spans="1:29" ht="14.25" x14ac:dyDescent="0.2">
      <c r="A218" s="33"/>
      <c r="B218" s="33"/>
      <c r="C218" s="33" t="s">
        <v>721</v>
      </c>
      <c r="D218" s="35"/>
      <c r="E218" s="34"/>
      <c r="F218" s="37">
        <f>Source!AO176</f>
        <v>416.4</v>
      </c>
      <c r="G218" s="36" t="str">
        <f>Source!DG176</f>
        <v>)*1,1</v>
      </c>
      <c r="H218" s="34">
        <f>Source!AV177</f>
        <v>1</v>
      </c>
      <c r="I218" s="37">
        <f>Source!S176</f>
        <v>8.59</v>
      </c>
      <c r="J218" s="34">
        <f>IF(Source!BA177&lt;&gt; 0, Source!BA177, 1)</f>
        <v>34.51</v>
      </c>
      <c r="K218" s="37">
        <f>Source!S177</f>
        <v>296.44</v>
      </c>
    </row>
    <row r="219" spans="1:29" ht="14.25" x14ac:dyDescent="0.2">
      <c r="A219" s="33" t="s">
        <v>262</v>
      </c>
      <c r="B219" s="33" t="str">
        <f>Source!F178</f>
        <v>1.4-6-1</v>
      </c>
      <c r="C219" s="33" t="s">
        <v>256</v>
      </c>
      <c r="D219" s="35" t="str">
        <f>Source!DW178</f>
        <v>м3</v>
      </c>
      <c r="E219" s="34">
        <f>Source!I178</f>
        <v>0.28125</v>
      </c>
      <c r="F219" s="37">
        <f>Source!AK178</f>
        <v>146.84</v>
      </c>
      <c r="G219" s="52" t="s">
        <v>3</v>
      </c>
      <c r="H219" s="34">
        <f>Source!AW179</f>
        <v>1</v>
      </c>
      <c r="I219" s="37">
        <f>Source!O178</f>
        <v>41.3</v>
      </c>
      <c r="J219" s="34">
        <f>IF(Source!BC179&lt;&gt; 0, Source!BC179, 1)</f>
        <v>7.24</v>
      </c>
      <c r="K219" s="37">
        <f>Source!O179</f>
        <v>299.01</v>
      </c>
      <c r="Q219">
        <f>Source!X178</f>
        <v>0</v>
      </c>
      <c r="R219">
        <f>Source!X179</f>
        <v>0</v>
      </c>
      <c r="S219">
        <f>Source!Y178</f>
        <v>0</v>
      </c>
      <c r="T219">
        <f>Source!Y179</f>
        <v>0</v>
      </c>
      <c r="U219">
        <f>ROUND((175/100)*ROUND(Source!R178, 2), 2)</f>
        <v>0</v>
      </c>
      <c r="V219">
        <f>ROUND((160/100)*ROUND(Source!R179, 2), 2)</f>
        <v>0</v>
      </c>
      <c r="AC219">
        <v>3</v>
      </c>
    </row>
    <row r="220" spans="1:29" ht="14.25" x14ac:dyDescent="0.2">
      <c r="A220" s="33"/>
      <c r="B220" s="33"/>
      <c r="C220" s="33" t="s">
        <v>722</v>
      </c>
      <c r="D220" s="35" t="s">
        <v>723</v>
      </c>
      <c r="E220" s="34">
        <f>Source!DN177</f>
        <v>187</v>
      </c>
      <c r="F220" s="37"/>
      <c r="G220" s="36"/>
      <c r="H220" s="34"/>
      <c r="I220" s="37">
        <f>SUM(Q216:Q219)</f>
        <v>16.059999999999999</v>
      </c>
      <c r="J220" s="34">
        <f>Source!BZ177</f>
        <v>105</v>
      </c>
      <c r="K220" s="37">
        <f>SUM(R216:R219)</f>
        <v>311.26</v>
      </c>
    </row>
    <row r="221" spans="1:29" ht="14.25" x14ac:dyDescent="0.2">
      <c r="A221" s="33"/>
      <c r="B221" s="33"/>
      <c r="C221" s="33" t="s">
        <v>724</v>
      </c>
      <c r="D221" s="35" t="s">
        <v>723</v>
      </c>
      <c r="E221" s="34">
        <f>Source!DO177</f>
        <v>101</v>
      </c>
      <c r="F221" s="37"/>
      <c r="G221" s="36"/>
      <c r="H221" s="34"/>
      <c r="I221" s="37">
        <f>SUM(S216:S220)</f>
        <v>8.68</v>
      </c>
      <c r="J221" s="34">
        <f>Source!CA177</f>
        <v>48</v>
      </c>
      <c r="K221" s="37">
        <f>SUM(T216:T220)</f>
        <v>142.29</v>
      </c>
    </row>
    <row r="222" spans="1:29" ht="14.25" x14ac:dyDescent="0.2">
      <c r="A222" s="39"/>
      <c r="B222" s="39"/>
      <c r="C222" s="39" t="s">
        <v>725</v>
      </c>
      <c r="D222" s="40" t="s">
        <v>726</v>
      </c>
      <c r="E222" s="41">
        <f>Source!AQ176</f>
        <v>40</v>
      </c>
      <c r="F222" s="42"/>
      <c r="G222" s="43" t="str">
        <f>Source!DI176</f>
        <v>)*1,1</v>
      </c>
      <c r="H222" s="41">
        <f>Source!AV177</f>
        <v>1</v>
      </c>
      <c r="I222" s="42">
        <f>Source!U176</f>
        <v>0.82499999999999996</v>
      </c>
      <c r="J222" s="41"/>
      <c r="K222" s="42"/>
    </row>
    <row r="223" spans="1:29" ht="15" x14ac:dyDescent="0.25">
      <c r="C223" s="23" t="s">
        <v>727</v>
      </c>
      <c r="H223" s="44">
        <f>I218+I220+I221+SUM(I219:I219)</f>
        <v>74.63</v>
      </c>
      <c r="I223" s="44"/>
      <c r="J223" s="44">
        <f>K218+K220+K221+SUM(K219:K219)</f>
        <v>1049</v>
      </c>
      <c r="K223" s="44"/>
      <c r="O223" s="45">
        <f>I218+I220+I221+SUM(I219:I219)</f>
        <v>74.63</v>
      </c>
      <c r="P223" s="45">
        <f>K218+K220+K221+SUM(K219:K219)</f>
        <v>1049</v>
      </c>
    </row>
    <row r="225" spans="1:29" ht="57" x14ac:dyDescent="0.2">
      <c r="A225" s="33">
        <v>35</v>
      </c>
      <c r="B225" s="33" t="s">
        <v>753</v>
      </c>
      <c r="C225" s="33" t="s">
        <v>265</v>
      </c>
      <c r="D225" s="35" t="str">
        <f>Source!DW180</f>
        <v>100 м2</v>
      </c>
      <c r="E225" s="34">
        <f>Source!I180</f>
        <v>-7.4999999999999997E-2</v>
      </c>
      <c r="F225" s="37"/>
      <c r="G225" s="36"/>
      <c r="H225" s="34"/>
      <c r="I225" s="37"/>
      <c r="J225" s="34"/>
      <c r="K225" s="37"/>
      <c r="Q225">
        <f>Source!X180</f>
        <v>-8.7899999999999991</v>
      </c>
      <c r="R225">
        <f>Source!X181</f>
        <v>-170.31</v>
      </c>
      <c r="S225">
        <f>Source!Y180</f>
        <v>-4.75</v>
      </c>
      <c r="T225">
        <f>Source!Y181</f>
        <v>-77.86</v>
      </c>
      <c r="U225">
        <f>ROUND((175/100)*ROUND(Source!R180, 2), 2)</f>
        <v>0</v>
      </c>
      <c r="V225">
        <f>ROUND((160/100)*ROUND(Source!R181, 2), 2)</f>
        <v>0</v>
      </c>
      <c r="AC225">
        <v>0</v>
      </c>
    </row>
    <row r="226" spans="1:29" x14ac:dyDescent="0.2">
      <c r="C226" s="38" t="str">
        <f>"Объем: "&amp;Source!I180&amp;"=-"&amp;"7,5/"&amp;"100"</f>
        <v>Объем: -0,075=-7,5/100</v>
      </c>
    </row>
    <row r="227" spans="1:29" ht="14.25" x14ac:dyDescent="0.2">
      <c r="A227" s="33"/>
      <c r="B227" s="33"/>
      <c r="C227" s="33" t="s">
        <v>721</v>
      </c>
      <c r="D227" s="35"/>
      <c r="E227" s="34"/>
      <c r="F227" s="37">
        <f>Source!AO180</f>
        <v>56.94</v>
      </c>
      <c r="G227" s="36" t="str">
        <f>Source!DG180</f>
        <v>)*1,1</v>
      </c>
      <c r="H227" s="34">
        <f>Source!AV181</f>
        <v>1</v>
      </c>
      <c r="I227" s="37">
        <f>Source!S180</f>
        <v>-4.7</v>
      </c>
      <c r="J227" s="34">
        <f>IF(Source!BA181&lt;&gt; 0, Source!BA181, 1)</f>
        <v>34.51</v>
      </c>
      <c r="K227" s="37">
        <f>Source!S181</f>
        <v>-162.19999999999999</v>
      </c>
    </row>
    <row r="228" spans="1:29" ht="14.25" x14ac:dyDescent="0.2">
      <c r="A228" s="33" t="s">
        <v>267</v>
      </c>
      <c r="B228" s="33" t="str">
        <f>Source!F182</f>
        <v>1.4-6-1</v>
      </c>
      <c r="C228" s="33" t="s">
        <v>256</v>
      </c>
      <c r="D228" s="35" t="str">
        <f>Source!DW182</f>
        <v>м3</v>
      </c>
      <c r="E228" s="34">
        <f>Source!I182</f>
        <v>-0.375</v>
      </c>
      <c r="F228" s="37">
        <f>Source!AK182</f>
        <v>146.84</v>
      </c>
      <c r="G228" s="52" t="s">
        <v>3</v>
      </c>
      <c r="H228" s="34">
        <f>Source!AW183</f>
        <v>1</v>
      </c>
      <c r="I228" s="37">
        <f>Source!O182</f>
        <v>-55.07</v>
      </c>
      <c r="J228" s="34">
        <f>IF(Source!BC183&lt;&gt; 0, Source!BC183, 1)</f>
        <v>7.24</v>
      </c>
      <c r="K228" s="37">
        <f>Source!O183</f>
        <v>-398.71</v>
      </c>
      <c r="Q228">
        <f>Source!X182</f>
        <v>0</v>
      </c>
      <c r="R228">
        <f>Source!X183</f>
        <v>0</v>
      </c>
      <c r="S228">
        <f>Source!Y182</f>
        <v>0</v>
      </c>
      <c r="T228">
        <f>Source!Y183</f>
        <v>0</v>
      </c>
      <c r="U228">
        <f>ROUND((175/100)*ROUND(Source!R182, 2), 2)</f>
        <v>0</v>
      </c>
      <c r="V228">
        <f>ROUND((160/100)*ROUND(Source!R183, 2), 2)</f>
        <v>0</v>
      </c>
      <c r="AC228">
        <v>3</v>
      </c>
    </row>
    <row r="229" spans="1:29" ht="14.25" x14ac:dyDescent="0.2">
      <c r="A229" s="33"/>
      <c r="B229" s="33"/>
      <c r="C229" s="33" t="s">
        <v>722</v>
      </c>
      <c r="D229" s="35" t="s">
        <v>723</v>
      </c>
      <c r="E229" s="34">
        <f>Source!DN181</f>
        <v>187</v>
      </c>
      <c r="F229" s="37"/>
      <c r="G229" s="36"/>
      <c r="H229" s="34"/>
      <c r="I229" s="37">
        <f>SUM(Q225:Q228)</f>
        <v>-8.7899999999999991</v>
      </c>
      <c r="J229" s="34">
        <f>Source!BZ181</f>
        <v>105</v>
      </c>
      <c r="K229" s="37">
        <f>SUM(R225:R228)</f>
        <v>-170.31</v>
      </c>
    </row>
    <row r="230" spans="1:29" ht="14.25" x14ac:dyDescent="0.2">
      <c r="A230" s="33"/>
      <c r="B230" s="33"/>
      <c r="C230" s="33" t="s">
        <v>724</v>
      </c>
      <c r="D230" s="35" t="s">
        <v>723</v>
      </c>
      <c r="E230" s="34">
        <f>Source!DO181</f>
        <v>101</v>
      </c>
      <c r="F230" s="37"/>
      <c r="G230" s="36"/>
      <c r="H230" s="34"/>
      <c r="I230" s="37">
        <f>SUM(S225:S229)</f>
        <v>-4.75</v>
      </c>
      <c r="J230" s="34">
        <f>Source!CA181</f>
        <v>48</v>
      </c>
      <c r="K230" s="37">
        <f>SUM(T225:T229)</f>
        <v>-77.86</v>
      </c>
    </row>
    <row r="231" spans="1:29" ht="14.25" x14ac:dyDescent="0.2">
      <c r="A231" s="39"/>
      <c r="B231" s="39"/>
      <c r="C231" s="39" t="s">
        <v>725</v>
      </c>
      <c r="D231" s="40" t="s">
        <v>726</v>
      </c>
      <c r="E231" s="41">
        <f>Source!AQ180</f>
        <v>5.47</v>
      </c>
      <c r="F231" s="42"/>
      <c r="G231" s="43" t="str">
        <f>Source!DI180</f>
        <v>)*1,1</v>
      </c>
      <c r="H231" s="41">
        <f>Source!AV181</f>
        <v>1</v>
      </c>
      <c r="I231" s="42">
        <f>Source!U180</f>
        <v>-0.45127499999999998</v>
      </c>
      <c r="J231" s="41"/>
      <c r="K231" s="42"/>
    </row>
    <row r="232" spans="1:29" ht="15" x14ac:dyDescent="0.25">
      <c r="C232" s="23" t="s">
        <v>727</v>
      </c>
      <c r="H232" s="44">
        <f>I227+I229+I230+SUM(I228:I228)</f>
        <v>-73.31</v>
      </c>
      <c r="I232" s="44"/>
      <c r="J232" s="44">
        <f>K227+K229+K230+SUM(K228:K228)</f>
        <v>-809.07999999999993</v>
      </c>
      <c r="K232" s="44"/>
      <c r="O232" s="45">
        <f>I227+I229+I230+SUM(I228:I228)</f>
        <v>-73.31</v>
      </c>
      <c r="P232" s="45">
        <f>K227+K229+K230+SUM(K228:K228)</f>
        <v>-809.07999999999993</v>
      </c>
    </row>
    <row r="234" spans="1:29" ht="52.5" x14ac:dyDescent="0.2">
      <c r="A234" s="33">
        <v>36</v>
      </c>
      <c r="B234" s="33" t="s">
        <v>754</v>
      </c>
      <c r="C234" s="33" t="s">
        <v>270</v>
      </c>
      <c r="D234" s="35" t="str">
        <f>Source!DW184</f>
        <v>100 м2</v>
      </c>
      <c r="E234" s="34">
        <f>Source!I184</f>
        <v>7.4999999999999997E-2</v>
      </c>
      <c r="F234" s="37"/>
      <c r="G234" s="36"/>
      <c r="H234" s="34"/>
      <c r="I234" s="37"/>
      <c r="J234" s="34"/>
      <c r="K234" s="37"/>
      <c r="Q234">
        <f>Source!X184</f>
        <v>9.0500000000000007</v>
      </c>
      <c r="R234">
        <f>Source!X185</f>
        <v>175.38</v>
      </c>
      <c r="S234">
        <f>Source!Y184</f>
        <v>4.8899999999999997</v>
      </c>
      <c r="T234">
        <f>Source!Y185</f>
        <v>80.17</v>
      </c>
      <c r="U234">
        <f>ROUND((175/100)*ROUND(Source!R184, 2), 2)</f>
        <v>0</v>
      </c>
      <c r="V234">
        <f>ROUND((160/100)*ROUND(Source!R185, 2), 2)</f>
        <v>0</v>
      </c>
      <c r="AC234">
        <v>0</v>
      </c>
    </row>
    <row r="235" spans="1:29" x14ac:dyDescent="0.2">
      <c r="C235" s="38" t="str">
        <f>"Объем: "&amp;Source!I184&amp;"=7,5/"&amp;"100"</f>
        <v>Объем: 0,075=7,5/100</v>
      </c>
    </row>
    <row r="236" spans="1:29" ht="14.25" x14ac:dyDescent="0.2">
      <c r="A236" s="33"/>
      <c r="B236" s="33"/>
      <c r="C236" s="33" t="s">
        <v>721</v>
      </c>
      <c r="D236" s="35"/>
      <c r="E236" s="34"/>
      <c r="F236" s="37">
        <f>Source!AO184</f>
        <v>58.7</v>
      </c>
      <c r="G236" s="36" t="str">
        <f>Source!DG184</f>
        <v>)*1,1</v>
      </c>
      <c r="H236" s="34">
        <f>Source!AV185</f>
        <v>1</v>
      </c>
      <c r="I236" s="37">
        <f>Source!S184</f>
        <v>4.84</v>
      </c>
      <c r="J236" s="34">
        <f>IF(Source!BA185&lt;&gt; 0, Source!BA185, 1)</f>
        <v>34.51</v>
      </c>
      <c r="K236" s="37">
        <f>Source!S185</f>
        <v>167.03</v>
      </c>
    </row>
    <row r="237" spans="1:29" ht="14.25" x14ac:dyDescent="0.2">
      <c r="A237" s="33"/>
      <c r="B237" s="33"/>
      <c r="C237" s="33" t="s">
        <v>746</v>
      </c>
      <c r="D237" s="35"/>
      <c r="E237" s="34"/>
      <c r="F237" s="37">
        <f>Source!AL184</f>
        <v>70.7</v>
      </c>
      <c r="G237" s="36" t="str">
        <f>Source!DD184</f>
        <v/>
      </c>
      <c r="H237" s="34">
        <f>Source!AW185</f>
        <v>1</v>
      </c>
      <c r="I237" s="37">
        <f>Source!P184</f>
        <v>5.3</v>
      </c>
      <c r="J237" s="34">
        <f>IF(Source!BC185&lt;&gt; 0, Source!BC185, 1)</f>
        <v>7.05</v>
      </c>
      <c r="K237" s="37">
        <f>Source!P185</f>
        <v>37.369999999999997</v>
      </c>
    </row>
    <row r="238" spans="1:29" ht="28.5" x14ac:dyDescent="0.2">
      <c r="A238" s="33" t="s">
        <v>272</v>
      </c>
      <c r="B238" s="33" t="str">
        <f>Source!F186</f>
        <v>1.4-6-6</v>
      </c>
      <c r="C238" s="33" t="s">
        <v>274</v>
      </c>
      <c r="D238" s="35" t="str">
        <f>Source!DW186</f>
        <v>кг</v>
      </c>
      <c r="E238" s="34">
        <f>Source!I186</f>
        <v>0.3</v>
      </c>
      <c r="F238" s="37">
        <f>Source!AK186</f>
        <v>57.93</v>
      </c>
      <c r="G238" s="52" t="s">
        <v>3</v>
      </c>
      <c r="H238" s="34">
        <f>Source!AW187</f>
        <v>1</v>
      </c>
      <c r="I238" s="37">
        <f>Source!O186</f>
        <v>17.38</v>
      </c>
      <c r="J238" s="34">
        <f>IF(Source!BC187&lt;&gt; 0, Source!BC187, 1)</f>
        <v>2.58</v>
      </c>
      <c r="K238" s="37">
        <f>Source!O187</f>
        <v>44.84</v>
      </c>
      <c r="Q238">
        <f>Source!X186</f>
        <v>0</v>
      </c>
      <c r="R238">
        <f>Source!X187</f>
        <v>0</v>
      </c>
      <c r="S238">
        <f>Source!Y186</f>
        <v>0</v>
      </c>
      <c r="T238">
        <f>Source!Y187</f>
        <v>0</v>
      </c>
      <c r="U238">
        <f>ROUND((175/100)*ROUND(Source!R186, 2), 2)</f>
        <v>0</v>
      </c>
      <c r="V238">
        <f>ROUND((160/100)*ROUND(Source!R187, 2), 2)</f>
        <v>0</v>
      </c>
      <c r="AC238">
        <v>3</v>
      </c>
    </row>
    <row r="239" spans="1:29" ht="14.25" x14ac:dyDescent="0.2">
      <c r="A239" s="33"/>
      <c r="B239" s="33"/>
      <c r="C239" s="33" t="s">
        <v>722</v>
      </c>
      <c r="D239" s="35" t="s">
        <v>723</v>
      </c>
      <c r="E239" s="34">
        <f>Source!DN185</f>
        <v>187</v>
      </c>
      <c r="F239" s="37"/>
      <c r="G239" s="36"/>
      <c r="H239" s="34"/>
      <c r="I239" s="37">
        <f>SUM(Q234:Q238)</f>
        <v>9.0500000000000007</v>
      </c>
      <c r="J239" s="34">
        <f>Source!BZ185</f>
        <v>105</v>
      </c>
      <c r="K239" s="37">
        <f>SUM(R234:R238)</f>
        <v>175.38</v>
      </c>
    </row>
    <row r="240" spans="1:29" ht="14.25" x14ac:dyDescent="0.2">
      <c r="A240" s="33"/>
      <c r="B240" s="33"/>
      <c r="C240" s="33" t="s">
        <v>724</v>
      </c>
      <c r="D240" s="35" t="s">
        <v>723</v>
      </c>
      <c r="E240" s="34">
        <f>Source!DO185</f>
        <v>101</v>
      </c>
      <c r="F240" s="37"/>
      <c r="G240" s="36"/>
      <c r="H240" s="34"/>
      <c r="I240" s="37">
        <f>SUM(S234:S239)</f>
        <v>4.8899999999999997</v>
      </c>
      <c r="J240" s="34">
        <f>Source!CA185</f>
        <v>48</v>
      </c>
      <c r="K240" s="37">
        <f>SUM(T234:T239)</f>
        <v>80.17</v>
      </c>
    </row>
    <row r="241" spans="1:29" ht="14.25" x14ac:dyDescent="0.2">
      <c r="A241" s="39"/>
      <c r="B241" s="39"/>
      <c r="C241" s="39" t="s">
        <v>725</v>
      </c>
      <c r="D241" s="40" t="s">
        <v>726</v>
      </c>
      <c r="E241" s="41">
        <f>Source!AQ184</f>
        <v>5.25</v>
      </c>
      <c r="F241" s="42"/>
      <c r="G241" s="43" t="str">
        <f>Source!DI184</f>
        <v>)*1,1</v>
      </c>
      <c r="H241" s="41">
        <f>Source!AV185</f>
        <v>1</v>
      </c>
      <c r="I241" s="42">
        <f>Source!U184</f>
        <v>0.43312500000000004</v>
      </c>
      <c r="J241" s="41"/>
      <c r="K241" s="42"/>
    </row>
    <row r="242" spans="1:29" ht="15" x14ac:dyDescent="0.25">
      <c r="C242" s="23" t="s">
        <v>727</v>
      </c>
      <c r="H242" s="44">
        <f>I236+I237+I239+I240+SUM(I238:I238)</f>
        <v>41.46</v>
      </c>
      <c r="I242" s="44"/>
      <c r="J242" s="44">
        <f>K236+K237+K239+K240+SUM(K238:K238)</f>
        <v>504.78999999999996</v>
      </c>
      <c r="K242" s="44"/>
      <c r="O242" s="45">
        <f>I236+I237+I239+I240+SUM(I238:I238)</f>
        <v>41.46</v>
      </c>
      <c r="P242" s="45">
        <f>K236+K237+K239+K240+SUM(K238:K238)</f>
        <v>504.78999999999996</v>
      </c>
    </row>
    <row r="245" spans="1:29" ht="15" x14ac:dyDescent="0.25">
      <c r="A245" s="49" t="str">
        <f>CONCATENATE("Итого по подразделу: ",IF(Source!G189&lt;&gt;"Новый подраздел", Source!G189, ""))</f>
        <v>Итого по подразделу: Газон</v>
      </c>
      <c r="B245" s="49"/>
      <c r="C245" s="49"/>
      <c r="D245" s="49"/>
      <c r="E245" s="49"/>
      <c r="F245" s="49"/>
      <c r="G245" s="49"/>
      <c r="H245" s="48">
        <f>SUM(O203:O244)</f>
        <v>233.98999999999998</v>
      </c>
      <c r="I245" s="47"/>
      <c r="J245" s="48">
        <f>SUM(P203:P244)</f>
        <v>3154.17</v>
      </c>
      <c r="K245" s="47"/>
    </row>
    <row r="246" spans="1:29" hidden="1" x14ac:dyDescent="0.2">
      <c r="A246" t="s">
        <v>743</v>
      </c>
      <c r="I246">
        <f>SUM(W203:W245)</f>
        <v>0</v>
      </c>
      <c r="J246">
        <f>SUM(X203:X245)</f>
        <v>0</v>
      </c>
    </row>
    <row r="247" spans="1:29" hidden="1" x14ac:dyDescent="0.2">
      <c r="A247" t="s">
        <v>744</v>
      </c>
      <c r="I247">
        <f>SUM(Y203:Y246)</f>
        <v>0</v>
      </c>
      <c r="J247">
        <f>SUM(Z203:Z246)</f>
        <v>0</v>
      </c>
    </row>
    <row r="249" spans="1:29" ht="16.5" x14ac:dyDescent="0.25">
      <c r="A249" s="32" t="str">
        <f>CONCATENATE("Подраздел: ",IF(Source!G219&lt;&gt;"Новый подраздел", Source!G219, ""))</f>
        <v>Подраздел: Дорога</v>
      </c>
      <c r="B249" s="32"/>
      <c r="C249" s="32"/>
      <c r="D249" s="32"/>
      <c r="E249" s="32"/>
      <c r="F249" s="32"/>
      <c r="G249" s="32"/>
      <c r="H249" s="32"/>
      <c r="I249" s="32"/>
      <c r="J249" s="32"/>
      <c r="K249" s="32"/>
    </row>
    <row r="250" spans="1:29" ht="52.5" x14ac:dyDescent="0.2">
      <c r="A250" s="33">
        <v>37</v>
      </c>
      <c r="B250" s="33" t="s">
        <v>755</v>
      </c>
      <c r="C250" s="33" t="s">
        <v>279</v>
      </c>
      <c r="D250" s="35" t="str">
        <f>Source!DW223</f>
        <v>100 м3 конструкций</v>
      </c>
      <c r="E250" s="34">
        <f>Source!I223</f>
        <v>3.0899999999999999E-3</v>
      </c>
      <c r="F250" s="37"/>
      <c r="G250" s="36"/>
      <c r="H250" s="34"/>
      <c r="I250" s="37"/>
      <c r="J250" s="34"/>
      <c r="K250" s="37"/>
      <c r="Q250">
        <f>Source!X223</f>
        <v>4.8099999999999996</v>
      </c>
      <c r="R250">
        <f>Source!X224</f>
        <v>145.19</v>
      </c>
      <c r="S250">
        <f>Source!Y223</f>
        <v>3.31</v>
      </c>
      <c r="T250">
        <f>Source!Y224</f>
        <v>85.04</v>
      </c>
      <c r="U250">
        <f>ROUND((175/100)*ROUND(Source!R223, 2), 2)</f>
        <v>3.13</v>
      </c>
      <c r="V250">
        <f>ROUND((160/100)*ROUND(Source!R224, 2), 2)</f>
        <v>98.83</v>
      </c>
      <c r="AC250">
        <v>0</v>
      </c>
    </row>
    <row r="251" spans="1:29" x14ac:dyDescent="0.2">
      <c r="C251" s="38" t="str">
        <f>"Объем: "&amp;Source!I223&amp;"=((3,5*"&amp;"0,04)+"&amp;"(1,3*"&amp;"0,13))/"&amp;"100"</f>
        <v>Объем: 0,00309=((3,5*0,04)+(1,3*0,13))/100</v>
      </c>
    </row>
    <row r="252" spans="1:29" ht="14.25" x14ac:dyDescent="0.2">
      <c r="A252" s="33"/>
      <c r="B252" s="33"/>
      <c r="C252" s="33" t="s">
        <v>721</v>
      </c>
      <c r="D252" s="35"/>
      <c r="E252" s="34"/>
      <c r="F252" s="37">
        <f>Source!AO223</f>
        <v>1687.95</v>
      </c>
      <c r="G252" s="36" t="str">
        <f>Source!DG223</f>
        <v>)*1,1</v>
      </c>
      <c r="H252" s="34">
        <f>Source!AV224</f>
        <v>1.0469999999999999</v>
      </c>
      <c r="I252" s="37">
        <f>Source!S223</f>
        <v>6.01</v>
      </c>
      <c r="J252" s="34">
        <f>IF(Source!BA224&lt;&gt; 0, Source!BA224, 1)</f>
        <v>34.51</v>
      </c>
      <c r="K252" s="37">
        <f>Source!S224</f>
        <v>207.41</v>
      </c>
    </row>
    <row r="253" spans="1:29" ht="14.25" x14ac:dyDescent="0.2">
      <c r="A253" s="33"/>
      <c r="B253" s="33"/>
      <c r="C253" s="33" t="s">
        <v>729</v>
      </c>
      <c r="D253" s="35"/>
      <c r="E253" s="34"/>
      <c r="F253" s="37">
        <f>Source!AM223</f>
        <v>1935.93</v>
      </c>
      <c r="G253" s="36" t="str">
        <f>Source!DE223</f>
        <v>)*1,1</v>
      </c>
      <c r="H253" s="34">
        <f>Source!AV224</f>
        <v>1.0469999999999999</v>
      </c>
      <c r="I253" s="37">
        <f>Source!Q223</f>
        <v>6.89</v>
      </c>
      <c r="J253" s="34">
        <f>IF(Source!BB224&lt;&gt; 0, Source!BB224, 1)</f>
        <v>16.46</v>
      </c>
      <c r="K253" s="37">
        <f>Source!Q224</f>
        <v>113.41</v>
      </c>
    </row>
    <row r="254" spans="1:29" ht="14.25" x14ac:dyDescent="0.2">
      <c r="A254" s="33"/>
      <c r="B254" s="33"/>
      <c r="C254" s="33" t="s">
        <v>730</v>
      </c>
      <c r="D254" s="35"/>
      <c r="E254" s="34"/>
      <c r="F254" s="37">
        <f>Source!AN223</f>
        <v>502.99</v>
      </c>
      <c r="G254" s="36" t="str">
        <f>Source!DF223</f>
        <v>)*1,1</v>
      </c>
      <c r="H254" s="34">
        <f>Source!AV224</f>
        <v>1.0469999999999999</v>
      </c>
      <c r="I254" s="46">
        <f>Source!R223</f>
        <v>1.79</v>
      </c>
      <c r="J254" s="34">
        <f>IF(Source!BS224&lt;&gt; 0, Source!BS224, 1)</f>
        <v>34.51</v>
      </c>
      <c r="K254" s="46">
        <f>Source!R224</f>
        <v>61.77</v>
      </c>
    </row>
    <row r="255" spans="1:29" ht="14.25" x14ac:dyDescent="0.2">
      <c r="A255" s="33"/>
      <c r="B255" s="33"/>
      <c r="C255" s="33" t="s">
        <v>722</v>
      </c>
      <c r="D255" s="35" t="s">
        <v>723</v>
      </c>
      <c r="E255" s="34">
        <f>Source!DN224</f>
        <v>80</v>
      </c>
      <c r="F255" s="37"/>
      <c r="G255" s="36"/>
      <c r="H255" s="34"/>
      <c r="I255" s="37">
        <f>SUM(Q250:Q254)</f>
        <v>4.8099999999999996</v>
      </c>
      <c r="J255" s="34">
        <f>Source!BZ224</f>
        <v>70</v>
      </c>
      <c r="K255" s="37">
        <f>SUM(R250:R254)</f>
        <v>145.19</v>
      </c>
    </row>
    <row r="256" spans="1:29" ht="14.25" x14ac:dyDescent="0.2">
      <c r="A256" s="33"/>
      <c r="B256" s="33"/>
      <c r="C256" s="33" t="s">
        <v>724</v>
      </c>
      <c r="D256" s="35" t="s">
        <v>723</v>
      </c>
      <c r="E256" s="34">
        <f>Source!DO224</f>
        <v>55</v>
      </c>
      <c r="F256" s="37"/>
      <c r="G256" s="36"/>
      <c r="H256" s="34"/>
      <c r="I256" s="37">
        <f>SUM(S250:S255)</f>
        <v>3.31</v>
      </c>
      <c r="J256" s="34">
        <f>Source!CA224</f>
        <v>41</v>
      </c>
      <c r="K256" s="37">
        <f>SUM(T250:T255)</f>
        <v>85.04</v>
      </c>
    </row>
    <row r="257" spans="1:29" ht="14.25" x14ac:dyDescent="0.2">
      <c r="A257" s="33"/>
      <c r="B257" s="33"/>
      <c r="C257" s="33" t="s">
        <v>731</v>
      </c>
      <c r="D257" s="35" t="s">
        <v>723</v>
      </c>
      <c r="E257" s="34">
        <f>175</f>
        <v>175</v>
      </c>
      <c r="F257" s="37"/>
      <c r="G257" s="36"/>
      <c r="H257" s="34"/>
      <c r="I257" s="37">
        <f>SUM(U250:U256)</f>
        <v>3.13</v>
      </c>
      <c r="J257" s="34">
        <f>160</f>
        <v>160</v>
      </c>
      <c r="K257" s="37">
        <f>SUM(V250:V256)</f>
        <v>98.83</v>
      </c>
    </row>
    <row r="258" spans="1:29" ht="14.25" x14ac:dyDescent="0.2">
      <c r="A258" s="39"/>
      <c r="B258" s="39"/>
      <c r="C258" s="39" t="s">
        <v>725</v>
      </c>
      <c r="D258" s="40" t="s">
        <v>726</v>
      </c>
      <c r="E258" s="41">
        <f>Source!AQ223</f>
        <v>155</v>
      </c>
      <c r="F258" s="42"/>
      <c r="G258" s="43" t="str">
        <f>Source!DI223</f>
        <v>)*1,1</v>
      </c>
      <c r="H258" s="41">
        <f>Source!AV224</f>
        <v>1.0469999999999999</v>
      </c>
      <c r="I258" s="42">
        <f>Source!U223</f>
        <v>0.55160671499999991</v>
      </c>
      <c r="J258" s="41"/>
      <c r="K258" s="42"/>
    </row>
    <row r="259" spans="1:29" ht="15" x14ac:dyDescent="0.25">
      <c r="C259" s="23" t="s">
        <v>727</v>
      </c>
      <c r="H259" s="44">
        <f>I252+I253+I255+I256+I257+0</f>
        <v>24.149999999999995</v>
      </c>
      <c r="I259" s="44"/>
      <c r="J259" s="44">
        <f>K252+K253+K255+K256+K257+0</f>
        <v>649.88</v>
      </c>
      <c r="K259" s="44"/>
      <c r="O259" s="45">
        <f>I252+I253+I255+I256+I257+0</f>
        <v>24.149999999999995</v>
      </c>
      <c r="P259" s="45">
        <f>K252+K253+K255+K256+K257+0</f>
        <v>649.88</v>
      </c>
    </row>
    <row r="261" spans="1:29" ht="52.5" x14ac:dyDescent="0.2">
      <c r="A261" s="33">
        <v>38</v>
      </c>
      <c r="B261" s="33" t="s">
        <v>756</v>
      </c>
      <c r="C261" s="33" t="s">
        <v>287</v>
      </c>
      <c r="D261" s="35" t="str">
        <f>Source!DW225</f>
        <v>100 м3 конструкций</v>
      </c>
      <c r="E261" s="34">
        <f>Source!I225</f>
        <v>2.2100000000000002E-3</v>
      </c>
      <c r="F261" s="37"/>
      <c r="G261" s="36"/>
      <c r="H261" s="34"/>
      <c r="I261" s="37"/>
      <c r="J261" s="34"/>
      <c r="K261" s="37"/>
      <c r="Q261">
        <f>Source!X225</f>
        <v>1.27</v>
      </c>
      <c r="R261">
        <f>Source!X226</f>
        <v>38.409999999999997</v>
      </c>
      <c r="S261">
        <f>Source!Y225</f>
        <v>0.87</v>
      </c>
      <c r="T261">
        <f>Source!Y226</f>
        <v>22.5</v>
      </c>
      <c r="U261">
        <f>ROUND((175/100)*ROUND(Source!R225, 2), 2)</f>
        <v>0.79</v>
      </c>
      <c r="V261">
        <f>ROUND((160/100)*ROUND(Source!R226, 2), 2)</f>
        <v>24.85</v>
      </c>
      <c r="AC261">
        <v>0</v>
      </c>
    </row>
    <row r="262" spans="1:29" x14ac:dyDescent="0.2">
      <c r="C262" s="38" t="str">
        <f>"Объем: "&amp;Source!I225&amp;"=((1,3*"&amp;"0,17))/"&amp;"100"</f>
        <v>Объем: 0,00221=((1,3*0,17))/100</v>
      </c>
    </row>
    <row r="263" spans="1:29" ht="14.25" x14ac:dyDescent="0.2">
      <c r="A263" s="33"/>
      <c r="B263" s="33"/>
      <c r="C263" s="33" t="s">
        <v>721</v>
      </c>
      <c r="D263" s="35"/>
      <c r="E263" s="34"/>
      <c r="F263" s="37">
        <f>Source!AO225</f>
        <v>624.69000000000005</v>
      </c>
      <c r="G263" s="36" t="str">
        <f>Source!DG225</f>
        <v>)*1,1</v>
      </c>
      <c r="H263" s="34">
        <f>Source!AV226</f>
        <v>1.0469999999999999</v>
      </c>
      <c r="I263" s="37">
        <f>Source!S225</f>
        <v>1.59</v>
      </c>
      <c r="J263" s="34">
        <f>IF(Source!BA226&lt;&gt; 0, Source!BA226, 1)</f>
        <v>34.51</v>
      </c>
      <c r="K263" s="37">
        <f>Source!S226</f>
        <v>54.87</v>
      </c>
    </row>
    <row r="264" spans="1:29" ht="14.25" x14ac:dyDescent="0.2">
      <c r="A264" s="33"/>
      <c r="B264" s="33"/>
      <c r="C264" s="33" t="s">
        <v>729</v>
      </c>
      <c r="D264" s="35"/>
      <c r="E264" s="34"/>
      <c r="F264" s="37">
        <f>Source!AM225</f>
        <v>2355.04</v>
      </c>
      <c r="G264" s="36" t="str">
        <f>Source!DE225</f>
        <v>)*1,1</v>
      </c>
      <c r="H264" s="34">
        <f>Source!AV226</f>
        <v>1.0469999999999999</v>
      </c>
      <c r="I264" s="37">
        <f>Source!Q225</f>
        <v>5.99</v>
      </c>
      <c r="J264" s="34">
        <f>IF(Source!BB226&lt;&gt; 0, Source!BB226, 1)</f>
        <v>11.35</v>
      </c>
      <c r="K264" s="37">
        <f>Source!Q226</f>
        <v>67.989999999999995</v>
      </c>
    </row>
    <row r="265" spans="1:29" ht="14.25" x14ac:dyDescent="0.2">
      <c r="A265" s="33"/>
      <c r="B265" s="33"/>
      <c r="C265" s="33" t="s">
        <v>730</v>
      </c>
      <c r="D265" s="35"/>
      <c r="E265" s="34"/>
      <c r="F265" s="37">
        <f>Source!AN225</f>
        <v>176.03</v>
      </c>
      <c r="G265" s="36" t="str">
        <f>Source!DF225</f>
        <v>)*1,1</v>
      </c>
      <c r="H265" s="34">
        <f>Source!AV226</f>
        <v>1.0469999999999999</v>
      </c>
      <c r="I265" s="46">
        <f>Source!R225</f>
        <v>0.45</v>
      </c>
      <c r="J265" s="34">
        <f>IF(Source!BS226&lt;&gt; 0, Source!BS226, 1)</f>
        <v>34.51</v>
      </c>
      <c r="K265" s="46">
        <f>Source!R226</f>
        <v>15.53</v>
      </c>
    </row>
    <row r="266" spans="1:29" ht="14.25" x14ac:dyDescent="0.2">
      <c r="A266" s="33"/>
      <c r="B266" s="33"/>
      <c r="C266" s="33" t="s">
        <v>722</v>
      </c>
      <c r="D266" s="35" t="s">
        <v>723</v>
      </c>
      <c r="E266" s="34">
        <f>Source!DN226</f>
        <v>80</v>
      </c>
      <c r="F266" s="37"/>
      <c r="G266" s="36"/>
      <c r="H266" s="34"/>
      <c r="I266" s="37">
        <f>SUM(Q261:Q265)</f>
        <v>1.27</v>
      </c>
      <c r="J266" s="34">
        <f>Source!BZ226</f>
        <v>70</v>
      </c>
      <c r="K266" s="37">
        <f>SUM(R261:R265)</f>
        <v>38.409999999999997</v>
      </c>
    </row>
    <row r="267" spans="1:29" ht="14.25" x14ac:dyDescent="0.2">
      <c r="A267" s="33"/>
      <c r="B267" s="33"/>
      <c r="C267" s="33" t="s">
        <v>724</v>
      </c>
      <c r="D267" s="35" t="s">
        <v>723</v>
      </c>
      <c r="E267" s="34">
        <f>Source!DO226</f>
        <v>55</v>
      </c>
      <c r="F267" s="37"/>
      <c r="G267" s="36"/>
      <c r="H267" s="34"/>
      <c r="I267" s="37">
        <f>SUM(S261:S266)</f>
        <v>0.87</v>
      </c>
      <c r="J267" s="34">
        <f>Source!CA226</f>
        <v>41</v>
      </c>
      <c r="K267" s="37">
        <f>SUM(T261:T266)</f>
        <v>22.5</v>
      </c>
    </row>
    <row r="268" spans="1:29" ht="14.25" x14ac:dyDescent="0.2">
      <c r="A268" s="33"/>
      <c r="B268" s="33"/>
      <c r="C268" s="33" t="s">
        <v>731</v>
      </c>
      <c r="D268" s="35" t="s">
        <v>723</v>
      </c>
      <c r="E268" s="34">
        <f>175</f>
        <v>175</v>
      </c>
      <c r="F268" s="37"/>
      <c r="G268" s="36"/>
      <c r="H268" s="34"/>
      <c r="I268" s="37">
        <f>SUM(U261:U267)</f>
        <v>0.79</v>
      </c>
      <c r="J268" s="34">
        <f>160</f>
        <v>160</v>
      </c>
      <c r="K268" s="37">
        <f>SUM(V261:V267)</f>
        <v>24.85</v>
      </c>
    </row>
    <row r="269" spans="1:29" ht="14.25" x14ac:dyDescent="0.2">
      <c r="A269" s="39"/>
      <c r="B269" s="39"/>
      <c r="C269" s="39" t="s">
        <v>725</v>
      </c>
      <c r="D269" s="40" t="s">
        <v>726</v>
      </c>
      <c r="E269" s="41">
        <f>Source!AQ225</f>
        <v>49.5</v>
      </c>
      <c r="F269" s="42"/>
      <c r="G269" s="43" t="str">
        <f>Source!DI225</f>
        <v>)*1,1</v>
      </c>
      <c r="H269" s="41">
        <f>Source!AV226</f>
        <v>1.0469999999999999</v>
      </c>
      <c r="I269" s="42">
        <f>Source!U225</f>
        <v>0.1259902215</v>
      </c>
      <c r="J269" s="41"/>
      <c r="K269" s="42"/>
    </row>
    <row r="270" spans="1:29" ht="15" x14ac:dyDescent="0.25">
      <c r="C270" s="23" t="s">
        <v>727</v>
      </c>
      <c r="H270" s="44">
        <f>I263+I264+I266+I267+I268+0</f>
        <v>10.509999999999998</v>
      </c>
      <c r="I270" s="44"/>
      <c r="J270" s="44">
        <f>K263+K264+K266+K267+K268+0</f>
        <v>208.61999999999998</v>
      </c>
      <c r="K270" s="44"/>
      <c r="O270" s="45">
        <f>I263+I264+I266+I267+I268+0</f>
        <v>10.509999999999998</v>
      </c>
      <c r="P270" s="45">
        <f>K263+K264+K266+K267+K268+0</f>
        <v>208.61999999999998</v>
      </c>
    </row>
    <row r="272" spans="1:29" ht="52.5" x14ac:dyDescent="0.2">
      <c r="A272" s="33">
        <v>39</v>
      </c>
      <c r="B272" s="33" t="s">
        <v>757</v>
      </c>
      <c r="C272" s="33" t="s">
        <v>291</v>
      </c>
      <c r="D272" s="35" t="str">
        <f>Source!DW227</f>
        <v>1 Т</v>
      </c>
      <c r="E272" s="34">
        <f>Source!I227</f>
        <v>1.2278</v>
      </c>
      <c r="F272" s="37"/>
      <c r="G272" s="36"/>
      <c r="H272" s="34"/>
      <c r="I272" s="37"/>
      <c r="J272" s="34"/>
      <c r="K272" s="37"/>
      <c r="Q272">
        <f>Source!X227</f>
        <v>0</v>
      </c>
      <c r="R272">
        <f>Source!X228</f>
        <v>0</v>
      </c>
      <c r="S272">
        <f>Source!Y227</f>
        <v>0</v>
      </c>
      <c r="T272">
        <f>Source!Y228</f>
        <v>0</v>
      </c>
      <c r="U272">
        <f>ROUND((175/100)*ROUND(Source!R227, 2), 2)</f>
        <v>3.66</v>
      </c>
      <c r="V272">
        <f>ROUND((160/100)*ROUND(Source!R228, 2), 2)</f>
        <v>115.41</v>
      </c>
      <c r="AC272">
        <v>0</v>
      </c>
    </row>
    <row r="273" spans="1:29" ht="25.5" x14ac:dyDescent="0.2">
      <c r="C273" s="38" t="str">
        <f>"Объем: "&amp;Source!I227&amp;"=(("&amp;Source!I223&amp;"*"&amp;"2,4)+"&amp;"("&amp;Source!I225&amp;"*"&amp;"2,2))*"&amp;"100"</f>
        <v>Объем: 1,2278=((0,00309*2,4)+(0,00221*2,2))*100</v>
      </c>
    </row>
    <row r="274" spans="1:29" ht="14.25" x14ac:dyDescent="0.2">
      <c r="A274" s="33"/>
      <c r="B274" s="33"/>
      <c r="C274" s="33" t="s">
        <v>729</v>
      </c>
      <c r="D274" s="35"/>
      <c r="E274" s="34"/>
      <c r="F274" s="37">
        <f>Source!AM227</f>
        <v>8.86</v>
      </c>
      <c r="G274" s="36" t="str">
        <f>Source!DE227</f>
        <v>)*1,1</v>
      </c>
      <c r="H274" s="34">
        <f>Source!AV228</f>
        <v>1.0469999999999999</v>
      </c>
      <c r="I274" s="37">
        <f>Source!Q227</f>
        <v>12.53</v>
      </c>
      <c r="J274" s="34">
        <f>IF(Source!BB228&lt;&gt; 0, Source!BB228, 1)</f>
        <v>13.53</v>
      </c>
      <c r="K274" s="37">
        <f>Source!Q228</f>
        <v>169.53</v>
      </c>
    </row>
    <row r="275" spans="1:29" ht="14.25" x14ac:dyDescent="0.2">
      <c r="A275" s="33"/>
      <c r="B275" s="33"/>
      <c r="C275" s="33" t="s">
        <v>730</v>
      </c>
      <c r="D275" s="35"/>
      <c r="E275" s="34"/>
      <c r="F275" s="37">
        <f>Source!AN227</f>
        <v>1.48</v>
      </c>
      <c r="G275" s="36" t="str">
        <f>Source!DF227</f>
        <v>)*1,1</v>
      </c>
      <c r="H275" s="34">
        <f>Source!AV228</f>
        <v>1.0469999999999999</v>
      </c>
      <c r="I275" s="46">
        <f>Source!R227</f>
        <v>2.09</v>
      </c>
      <c r="J275" s="34">
        <f>IF(Source!BS228&lt;&gt; 0, Source!BS228, 1)</f>
        <v>34.51</v>
      </c>
      <c r="K275" s="46">
        <f>Source!R228</f>
        <v>72.13</v>
      </c>
    </row>
    <row r="276" spans="1:29" ht="14.25" x14ac:dyDescent="0.2">
      <c r="A276" s="39"/>
      <c r="B276" s="39"/>
      <c r="C276" s="39" t="s">
        <v>731</v>
      </c>
      <c r="D276" s="40" t="s">
        <v>723</v>
      </c>
      <c r="E276" s="41">
        <f>175</f>
        <v>175</v>
      </c>
      <c r="F276" s="42"/>
      <c r="G276" s="43"/>
      <c r="H276" s="41"/>
      <c r="I276" s="42">
        <f>SUM(U272:U275)</f>
        <v>3.66</v>
      </c>
      <c r="J276" s="41">
        <f>160</f>
        <v>160</v>
      </c>
      <c r="K276" s="42">
        <f>SUM(V272:V275)</f>
        <v>115.41</v>
      </c>
    </row>
    <row r="277" spans="1:29" ht="15" x14ac:dyDescent="0.25">
      <c r="C277" s="23" t="s">
        <v>727</v>
      </c>
      <c r="H277" s="44">
        <f>I274+I276+0</f>
        <v>16.189999999999998</v>
      </c>
      <c r="I277" s="44"/>
      <c r="J277" s="44">
        <f>K274+K276+0</f>
        <v>284.94</v>
      </c>
      <c r="K277" s="44"/>
      <c r="O277" s="45">
        <f>I274+I276+0</f>
        <v>16.189999999999998</v>
      </c>
      <c r="P277" s="45">
        <f>K274+K276+0</f>
        <v>284.94</v>
      </c>
    </row>
    <row r="279" spans="1:29" ht="99.75" x14ac:dyDescent="0.2">
      <c r="A279" s="33">
        <v>40</v>
      </c>
      <c r="B279" s="33" t="s">
        <v>758</v>
      </c>
      <c r="C279" s="33" t="s">
        <v>298</v>
      </c>
      <c r="D279" s="35" t="str">
        <f>Source!DW229</f>
        <v>100 м3 материала основания (в плотном теле)</v>
      </c>
      <c r="E279" s="34">
        <f>Source!I229</f>
        <v>4.5500000000000002E-3</v>
      </c>
      <c r="F279" s="37"/>
      <c r="G279" s="36"/>
      <c r="H279" s="34"/>
      <c r="I279" s="37"/>
      <c r="J279" s="34"/>
      <c r="K279" s="37"/>
      <c r="Q279">
        <f>Source!X229</f>
        <v>1.27</v>
      </c>
      <c r="R279">
        <f>Source!X230</f>
        <v>36.53</v>
      </c>
      <c r="S279">
        <f>Source!Y229</f>
        <v>0.85</v>
      </c>
      <c r="T279">
        <f>Source!Y230</f>
        <v>14.99</v>
      </c>
      <c r="U279">
        <f>ROUND((175/100)*ROUND(Source!R229, 2), 2)</f>
        <v>0.88</v>
      </c>
      <c r="V279">
        <f>ROUND((160/100)*ROUND(Source!R230, 2), 2)</f>
        <v>27.62</v>
      </c>
      <c r="AC279">
        <v>0</v>
      </c>
    </row>
    <row r="280" spans="1:29" x14ac:dyDescent="0.2">
      <c r="C280" s="38" t="str">
        <f>"Объем: "&amp;Source!I229&amp;"=1,3*"&amp;"0,35/"&amp;"100"</f>
        <v>Объем: 0,00455=1,3*0,35/100</v>
      </c>
    </row>
    <row r="281" spans="1:29" ht="14.25" x14ac:dyDescent="0.2">
      <c r="A281" s="33"/>
      <c r="B281" s="33"/>
      <c r="C281" s="33" t="s">
        <v>721</v>
      </c>
      <c r="D281" s="35"/>
      <c r="E281" s="34"/>
      <c r="F281" s="37">
        <f>Source!AO229</f>
        <v>151.49</v>
      </c>
      <c r="G281" s="36" t="str">
        <f>Source!DG229</f>
        <v>)*1,1</v>
      </c>
      <c r="H281" s="34">
        <f>Source!AV230</f>
        <v>1.0469999999999999</v>
      </c>
      <c r="I281" s="37">
        <f>Source!S229</f>
        <v>0.79</v>
      </c>
      <c r="J281" s="34">
        <f>IF(Source!BA230&lt;&gt; 0, Source!BA230, 1)</f>
        <v>34.51</v>
      </c>
      <c r="K281" s="37">
        <f>Source!S230</f>
        <v>27.26</v>
      </c>
    </row>
    <row r="282" spans="1:29" ht="14.25" x14ac:dyDescent="0.2">
      <c r="A282" s="33"/>
      <c r="B282" s="33"/>
      <c r="C282" s="33" t="s">
        <v>729</v>
      </c>
      <c r="D282" s="35"/>
      <c r="E282" s="34"/>
      <c r="F282" s="37">
        <f>Source!AM229</f>
        <v>1192.07</v>
      </c>
      <c r="G282" s="36" t="str">
        <f>Source!DE229</f>
        <v>)*1,1</v>
      </c>
      <c r="H282" s="34">
        <f>Source!AV230</f>
        <v>1.0469999999999999</v>
      </c>
      <c r="I282" s="37">
        <f>Source!Q229</f>
        <v>6.25</v>
      </c>
      <c r="J282" s="34">
        <f>IF(Source!BB230&lt;&gt; 0, Source!BB230, 1)</f>
        <v>11.7</v>
      </c>
      <c r="K282" s="37">
        <f>Source!Q230</f>
        <v>73.13</v>
      </c>
    </row>
    <row r="283" spans="1:29" ht="14.25" x14ac:dyDescent="0.2">
      <c r="A283" s="33"/>
      <c r="B283" s="33"/>
      <c r="C283" s="33" t="s">
        <v>730</v>
      </c>
      <c r="D283" s="35"/>
      <c r="E283" s="34"/>
      <c r="F283" s="37">
        <f>Source!AN229</f>
        <v>94.92</v>
      </c>
      <c r="G283" s="36" t="str">
        <f>Source!DF229</f>
        <v>)*1,1</v>
      </c>
      <c r="H283" s="34">
        <f>Source!AV230</f>
        <v>1.0469999999999999</v>
      </c>
      <c r="I283" s="46">
        <f>Source!R229</f>
        <v>0.5</v>
      </c>
      <c r="J283" s="34">
        <f>IF(Source!BS230&lt;&gt; 0, Source!BS230, 1)</f>
        <v>34.51</v>
      </c>
      <c r="K283" s="46">
        <f>Source!R230</f>
        <v>17.260000000000002</v>
      </c>
    </row>
    <row r="284" spans="1:29" ht="14.25" x14ac:dyDescent="0.2">
      <c r="A284" s="33"/>
      <c r="B284" s="33"/>
      <c r="C284" s="33" t="s">
        <v>746</v>
      </c>
      <c r="D284" s="35"/>
      <c r="E284" s="34"/>
      <c r="F284" s="37">
        <f>Source!AL229</f>
        <v>35.35</v>
      </c>
      <c r="G284" s="36" t="str">
        <f>Source!DD229</f>
        <v/>
      </c>
      <c r="H284" s="34">
        <f>Source!AW230</f>
        <v>1.002</v>
      </c>
      <c r="I284" s="37">
        <f>Source!P229</f>
        <v>0.16</v>
      </c>
      <c r="J284" s="34">
        <f>IF(Source!BC230&lt;&gt; 0, Source!BC230, 1)</f>
        <v>7.05</v>
      </c>
      <c r="K284" s="37">
        <f>Source!P230</f>
        <v>1.1299999999999999</v>
      </c>
    </row>
    <row r="285" spans="1:29" ht="28.5" x14ac:dyDescent="0.2">
      <c r="A285" s="33" t="s">
        <v>303</v>
      </c>
      <c r="B285" s="33" t="str">
        <f>Source!F231</f>
        <v>1.1-1-766</v>
      </c>
      <c r="C285" s="33" t="s">
        <v>304</v>
      </c>
      <c r="D285" s="35" t="str">
        <f>Source!DW231</f>
        <v>м3</v>
      </c>
      <c r="E285" s="34">
        <f>Source!I231</f>
        <v>0.50050000000000006</v>
      </c>
      <c r="F285" s="37">
        <f>Source!AK231</f>
        <v>104.99</v>
      </c>
      <c r="G285" s="52" t="s">
        <v>3</v>
      </c>
      <c r="H285" s="34">
        <f>Source!AW232</f>
        <v>1.002</v>
      </c>
      <c r="I285" s="37">
        <f>Source!O231</f>
        <v>52.65</v>
      </c>
      <c r="J285" s="34">
        <f>IF(Source!BC232&lt;&gt; 0, Source!BC232, 1)</f>
        <v>7.69</v>
      </c>
      <c r="K285" s="37">
        <f>Source!O232</f>
        <v>404.88</v>
      </c>
      <c r="Q285">
        <f>Source!X231</f>
        <v>0</v>
      </c>
      <c r="R285">
        <f>Source!X232</f>
        <v>0</v>
      </c>
      <c r="S285">
        <f>Source!Y231</f>
        <v>0</v>
      </c>
      <c r="T285">
        <f>Source!Y232</f>
        <v>0</v>
      </c>
      <c r="U285">
        <f>ROUND((175/100)*ROUND(Source!R231, 2), 2)</f>
        <v>0</v>
      </c>
      <c r="V285">
        <f>ROUND((160/100)*ROUND(Source!R232, 2), 2)</f>
        <v>0</v>
      </c>
      <c r="AC285">
        <v>3</v>
      </c>
    </row>
    <row r="286" spans="1:29" ht="14.25" x14ac:dyDescent="0.2">
      <c r="A286" s="33"/>
      <c r="B286" s="33"/>
      <c r="C286" s="33" t="s">
        <v>722</v>
      </c>
      <c r="D286" s="35" t="s">
        <v>723</v>
      </c>
      <c r="E286" s="34">
        <f>Source!DN230</f>
        <v>161</v>
      </c>
      <c r="F286" s="37"/>
      <c r="G286" s="36"/>
      <c r="H286" s="34"/>
      <c r="I286" s="37">
        <f>SUM(Q279:Q285)</f>
        <v>1.27</v>
      </c>
      <c r="J286" s="34">
        <f>Source!BZ230</f>
        <v>134</v>
      </c>
      <c r="K286" s="37">
        <f>SUM(R279:R285)</f>
        <v>36.53</v>
      </c>
    </row>
    <row r="287" spans="1:29" ht="14.25" x14ac:dyDescent="0.2">
      <c r="A287" s="33"/>
      <c r="B287" s="33"/>
      <c r="C287" s="33" t="s">
        <v>724</v>
      </c>
      <c r="D287" s="35" t="s">
        <v>723</v>
      </c>
      <c r="E287" s="34">
        <f>Source!DO230</f>
        <v>107</v>
      </c>
      <c r="F287" s="37"/>
      <c r="G287" s="36"/>
      <c r="H287" s="34"/>
      <c r="I287" s="37">
        <f>SUM(S279:S286)</f>
        <v>0.85</v>
      </c>
      <c r="J287" s="34">
        <f>Source!CA230</f>
        <v>55</v>
      </c>
      <c r="K287" s="37">
        <f>SUM(T279:T286)</f>
        <v>14.99</v>
      </c>
    </row>
    <row r="288" spans="1:29" ht="14.25" x14ac:dyDescent="0.2">
      <c r="A288" s="33"/>
      <c r="B288" s="33"/>
      <c r="C288" s="33" t="s">
        <v>731</v>
      </c>
      <c r="D288" s="35" t="s">
        <v>723</v>
      </c>
      <c r="E288" s="34">
        <f>175</f>
        <v>175</v>
      </c>
      <c r="F288" s="37"/>
      <c r="G288" s="36"/>
      <c r="H288" s="34"/>
      <c r="I288" s="37">
        <f>SUM(U279:U287)</f>
        <v>0.88</v>
      </c>
      <c r="J288" s="34">
        <f>160</f>
        <v>160</v>
      </c>
      <c r="K288" s="37">
        <f>SUM(V279:V287)</f>
        <v>27.62</v>
      </c>
    </row>
    <row r="289" spans="1:29" ht="14.25" x14ac:dyDescent="0.2">
      <c r="A289" s="39"/>
      <c r="B289" s="39"/>
      <c r="C289" s="39" t="s">
        <v>725</v>
      </c>
      <c r="D289" s="40" t="s">
        <v>726</v>
      </c>
      <c r="E289" s="41">
        <f>Source!AQ229</f>
        <v>14.4</v>
      </c>
      <c r="F289" s="42"/>
      <c r="G289" s="43" t="str">
        <f>Source!DI229</f>
        <v>)*1,1</v>
      </c>
      <c r="H289" s="41">
        <f>Source!AV230</f>
        <v>1.0469999999999999</v>
      </c>
      <c r="I289" s="42">
        <f>Source!U229</f>
        <v>7.5459384000000004E-2</v>
      </c>
      <c r="J289" s="41"/>
      <c r="K289" s="42"/>
    </row>
    <row r="290" spans="1:29" ht="15" x14ac:dyDescent="0.25">
      <c r="C290" s="23" t="s">
        <v>727</v>
      </c>
      <c r="H290" s="44">
        <f>I281+I282+I284+I286+I287+I288+SUM(I285:I285)</f>
        <v>62.85</v>
      </c>
      <c r="I290" s="44"/>
      <c r="J290" s="44">
        <f>K281+K282+K284+K286+K287+K288+SUM(K285:K285)</f>
        <v>585.54</v>
      </c>
      <c r="K290" s="44"/>
      <c r="O290" s="45">
        <f>I281+I282+I284+I286+I287+I288+SUM(I285:I285)</f>
        <v>62.85</v>
      </c>
      <c r="P290" s="45">
        <f>K281+K282+K284+K286+K287+K288+SUM(K285:K285)</f>
        <v>585.54</v>
      </c>
    </row>
    <row r="292" spans="1:29" ht="52.5" x14ac:dyDescent="0.2">
      <c r="A292" s="33">
        <v>41</v>
      </c>
      <c r="B292" s="33" t="s">
        <v>759</v>
      </c>
      <c r="C292" s="33" t="s">
        <v>307</v>
      </c>
      <c r="D292" s="35" t="str">
        <f>Source!DW233</f>
        <v>1000 м2 основания</v>
      </c>
      <c r="E292" s="34">
        <f>Source!I233</f>
        <v>1.2999999999999999E-3</v>
      </c>
      <c r="F292" s="37"/>
      <c r="G292" s="36"/>
      <c r="H292" s="34"/>
      <c r="I292" s="37"/>
      <c r="J292" s="34"/>
      <c r="K292" s="37"/>
      <c r="Q292">
        <f>Source!X233</f>
        <v>7.39</v>
      </c>
      <c r="R292">
        <f>Source!X234</f>
        <v>212.26</v>
      </c>
      <c r="S292">
        <f>Source!Y233</f>
        <v>4.91</v>
      </c>
      <c r="T292">
        <f>Source!Y234</f>
        <v>87.12</v>
      </c>
      <c r="U292">
        <f>ROUND((175/100)*ROUND(Source!R233, 2), 2)</f>
        <v>0.42</v>
      </c>
      <c r="V292">
        <f>ROUND((160/100)*ROUND(Source!R234, 2), 2)</f>
        <v>13.25</v>
      </c>
      <c r="AC292">
        <v>0</v>
      </c>
    </row>
    <row r="293" spans="1:29" x14ac:dyDescent="0.2">
      <c r="C293" s="38" t="str">
        <f>"Объем: "&amp;Source!I233&amp;"=1,3/"&amp;"1000"</f>
        <v>Объем: 0,0013=1,3/1000</v>
      </c>
    </row>
    <row r="294" spans="1:29" ht="14.25" x14ac:dyDescent="0.2">
      <c r="A294" s="33"/>
      <c r="B294" s="33"/>
      <c r="C294" s="33" t="s">
        <v>721</v>
      </c>
      <c r="D294" s="35"/>
      <c r="E294" s="34"/>
      <c r="F294" s="37">
        <f>Source!AO233</f>
        <v>3062.49</v>
      </c>
      <c r="G294" s="36" t="str">
        <f>Source!DG233</f>
        <v>)*1,1</v>
      </c>
      <c r="H294" s="34">
        <f>Source!AV234</f>
        <v>1.0469999999999999</v>
      </c>
      <c r="I294" s="37">
        <f>Source!S233</f>
        <v>4.59</v>
      </c>
      <c r="J294" s="34">
        <f>IF(Source!BA234&lt;&gt; 0, Source!BA234, 1)</f>
        <v>34.51</v>
      </c>
      <c r="K294" s="37">
        <f>Source!S234</f>
        <v>158.4</v>
      </c>
    </row>
    <row r="295" spans="1:29" ht="14.25" x14ac:dyDescent="0.2">
      <c r="A295" s="33"/>
      <c r="B295" s="33"/>
      <c r="C295" s="33" t="s">
        <v>729</v>
      </c>
      <c r="D295" s="35"/>
      <c r="E295" s="34"/>
      <c r="F295" s="37">
        <f>Source!AM233</f>
        <v>2006.03</v>
      </c>
      <c r="G295" s="36" t="str">
        <f>Source!DE233</f>
        <v>)*1,1</v>
      </c>
      <c r="H295" s="34">
        <f>Source!AV234</f>
        <v>1.0469999999999999</v>
      </c>
      <c r="I295" s="37">
        <f>Source!Q233</f>
        <v>3</v>
      </c>
      <c r="J295" s="34">
        <f>IF(Source!BB234&lt;&gt; 0, Source!BB234, 1)</f>
        <v>11.5</v>
      </c>
      <c r="K295" s="37">
        <f>Source!Q234</f>
        <v>34.5</v>
      </c>
    </row>
    <row r="296" spans="1:29" ht="14.25" x14ac:dyDescent="0.2">
      <c r="A296" s="33"/>
      <c r="B296" s="33"/>
      <c r="C296" s="33" t="s">
        <v>730</v>
      </c>
      <c r="D296" s="35"/>
      <c r="E296" s="34"/>
      <c r="F296" s="37">
        <f>Source!AN233</f>
        <v>163.47999999999999</v>
      </c>
      <c r="G296" s="36" t="str">
        <f>Source!DF233</f>
        <v>)*1,1</v>
      </c>
      <c r="H296" s="34">
        <f>Source!AV234</f>
        <v>1.0469999999999999</v>
      </c>
      <c r="I296" s="46">
        <f>Source!R233</f>
        <v>0.24</v>
      </c>
      <c r="J296" s="34">
        <f>IF(Source!BS234&lt;&gt; 0, Source!BS234, 1)</f>
        <v>34.51</v>
      </c>
      <c r="K296" s="46">
        <f>Source!R234</f>
        <v>8.2799999999999994</v>
      </c>
    </row>
    <row r="297" spans="1:29" ht="14.25" x14ac:dyDescent="0.2">
      <c r="A297" s="33"/>
      <c r="B297" s="33"/>
      <c r="C297" s="33" t="s">
        <v>746</v>
      </c>
      <c r="D297" s="35"/>
      <c r="E297" s="34"/>
      <c r="F297" s="37">
        <f>Source!AL233</f>
        <v>6742.82</v>
      </c>
      <c r="G297" s="36" t="str">
        <f>Source!DD233</f>
        <v/>
      </c>
      <c r="H297" s="34">
        <f>Source!AW234</f>
        <v>1.002</v>
      </c>
      <c r="I297" s="37">
        <f>Source!P233</f>
        <v>8.7799999999999994</v>
      </c>
      <c r="J297" s="34">
        <f>IF(Source!BC234&lt;&gt; 0, Source!BC234, 1)</f>
        <v>7.13</v>
      </c>
      <c r="K297" s="37">
        <f>Source!P234</f>
        <v>62.6</v>
      </c>
    </row>
    <row r="298" spans="1:29" ht="57" x14ac:dyDescent="0.2">
      <c r="A298" s="33" t="s">
        <v>312</v>
      </c>
      <c r="B298" s="33" t="str">
        <f>Source!F235</f>
        <v>1.3-1-36</v>
      </c>
      <c r="C298" s="33" t="s">
        <v>314</v>
      </c>
      <c r="D298" s="35" t="str">
        <f>Source!DW235</f>
        <v>м3</v>
      </c>
      <c r="E298" s="34">
        <f>Source!I235</f>
        <v>0.21060000000000004</v>
      </c>
      <c r="F298" s="37">
        <f>Source!AK235</f>
        <v>517.14</v>
      </c>
      <c r="G298" s="52" t="s">
        <v>3</v>
      </c>
      <c r="H298" s="34">
        <f>Source!AW236</f>
        <v>1.002</v>
      </c>
      <c r="I298" s="37">
        <f>Source!O235</f>
        <v>109.13</v>
      </c>
      <c r="J298" s="34">
        <f>IF(Source!BC236&lt;&gt; 0, Source!BC236, 1)</f>
        <v>11.03</v>
      </c>
      <c r="K298" s="37">
        <f>Source!O236</f>
        <v>1203.7</v>
      </c>
      <c r="Q298">
        <f>Source!X235</f>
        <v>0</v>
      </c>
      <c r="R298">
        <f>Source!X236</f>
        <v>0</v>
      </c>
      <c r="S298">
        <f>Source!Y235</f>
        <v>0</v>
      </c>
      <c r="T298">
        <f>Source!Y236</f>
        <v>0</v>
      </c>
      <c r="U298">
        <f>ROUND((175/100)*ROUND(Source!R235, 2), 2)</f>
        <v>0</v>
      </c>
      <c r="V298">
        <f>ROUND((160/100)*ROUND(Source!R236, 2), 2)</f>
        <v>0</v>
      </c>
      <c r="AC298">
        <v>3</v>
      </c>
    </row>
    <row r="299" spans="1:29" ht="14.25" x14ac:dyDescent="0.2">
      <c r="A299" s="33"/>
      <c r="B299" s="33"/>
      <c r="C299" s="33" t="s">
        <v>722</v>
      </c>
      <c r="D299" s="35" t="s">
        <v>723</v>
      </c>
      <c r="E299" s="34">
        <f>Source!DN234</f>
        <v>161</v>
      </c>
      <c r="F299" s="37"/>
      <c r="G299" s="36"/>
      <c r="H299" s="34"/>
      <c r="I299" s="37">
        <f>SUM(Q292:Q298)</f>
        <v>7.39</v>
      </c>
      <c r="J299" s="34">
        <f>Source!BZ234</f>
        <v>134</v>
      </c>
      <c r="K299" s="37">
        <f>SUM(R292:R298)</f>
        <v>212.26</v>
      </c>
    </row>
    <row r="300" spans="1:29" ht="14.25" x14ac:dyDescent="0.2">
      <c r="A300" s="33"/>
      <c r="B300" s="33"/>
      <c r="C300" s="33" t="s">
        <v>724</v>
      </c>
      <c r="D300" s="35" t="s">
        <v>723</v>
      </c>
      <c r="E300" s="34">
        <f>Source!DO234</f>
        <v>107</v>
      </c>
      <c r="F300" s="37"/>
      <c r="G300" s="36"/>
      <c r="H300" s="34"/>
      <c r="I300" s="37">
        <f>SUM(S292:S299)</f>
        <v>4.91</v>
      </c>
      <c r="J300" s="34">
        <f>Source!CA234</f>
        <v>55</v>
      </c>
      <c r="K300" s="37">
        <f>SUM(T292:T299)</f>
        <v>87.12</v>
      </c>
    </row>
    <row r="301" spans="1:29" ht="14.25" x14ac:dyDescent="0.2">
      <c r="A301" s="33"/>
      <c r="B301" s="33"/>
      <c r="C301" s="33" t="s">
        <v>731</v>
      </c>
      <c r="D301" s="35" t="s">
        <v>723</v>
      </c>
      <c r="E301" s="34">
        <f>175</f>
        <v>175</v>
      </c>
      <c r="F301" s="37"/>
      <c r="G301" s="36"/>
      <c r="H301" s="34"/>
      <c r="I301" s="37">
        <f>SUM(U292:U300)</f>
        <v>0.42</v>
      </c>
      <c r="J301" s="34">
        <f>160</f>
        <v>160</v>
      </c>
      <c r="K301" s="37">
        <f>SUM(V292:V300)</f>
        <v>13.25</v>
      </c>
    </row>
    <row r="302" spans="1:29" ht="14.25" x14ac:dyDescent="0.2">
      <c r="A302" s="39"/>
      <c r="B302" s="39"/>
      <c r="C302" s="39" t="s">
        <v>725</v>
      </c>
      <c r="D302" s="40" t="s">
        <v>726</v>
      </c>
      <c r="E302" s="41">
        <f>Source!AQ233</f>
        <v>267</v>
      </c>
      <c r="F302" s="42"/>
      <c r="G302" s="43" t="str">
        <f>Source!DI233</f>
        <v>)*1,1</v>
      </c>
      <c r="H302" s="41">
        <f>Source!AV234</f>
        <v>1.0469999999999999</v>
      </c>
      <c r="I302" s="42">
        <f>Source!U233</f>
        <v>0.39975507000000005</v>
      </c>
      <c r="J302" s="41"/>
      <c r="K302" s="42"/>
    </row>
    <row r="303" spans="1:29" ht="15" x14ac:dyDescent="0.25">
      <c r="C303" s="23" t="s">
        <v>727</v>
      </c>
      <c r="H303" s="44">
        <f>I294+I295+I297+I299+I300+I301+SUM(I298:I298)</f>
        <v>138.22</v>
      </c>
      <c r="I303" s="44"/>
      <c r="J303" s="44">
        <f>K294+K295+K297+K299+K300+K301+SUM(K298:K298)</f>
        <v>1771.83</v>
      </c>
      <c r="K303" s="44"/>
      <c r="O303" s="45">
        <f>I294+I295+I297+I299+I300+I301+SUM(I298:I298)</f>
        <v>138.22</v>
      </c>
      <c r="P303" s="45">
        <f>K294+K295+K297+K299+K300+K301+SUM(K298:K298)</f>
        <v>1771.83</v>
      </c>
    </row>
    <row r="305" spans="1:29" ht="57" x14ac:dyDescent="0.2">
      <c r="A305" s="33">
        <v>42</v>
      </c>
      <c r="B305" s="33" t="s">
        <v>760</v>
      </c>
      <c r="C305" s="33" t="s">
        <v>318</v>
      </c>
      <c r="D305" s="35" t="str">
        <f>Source!DW237</f>
        <v>1000 м2 основания</v>
      </c>
      <c r="E305" s="34">
        <f>Source!I237</f>
        <v>1.2999999999999999E-3</v>
      </c>
      <c r="F305" s="37"/>
      <c r="G305" s="36"/>
      <c r="H305" s="34"/>
      <c r="I305" s="37"/>
      <c r="J305" s="34"/>
      <c r="K305" s="37"/>
      <c r="Q305">
        <f>Source!X237</f>
        <v>0.14000000000000001</v>
      </c>
      <c r="R305">
        <f>Source!X238</f>
        <v>4.17</v>
      </c>
      <c r="S305">
        <f>Source!Y237</f>
        <v>0.1</v>
      </c>
      <c r="T305">
        <f>Source!Y238</f>
        <v>1.71</v>
      </c>
      <c r="U305">
        <f>ROUND((175/100)*ROUND(Source!R237, 2), 2)</f>
        <v>0</v>
      </c>
      <c r="V305">
        <f>ROUND((160/100)*ROUND(Source!R238, 2), 2)</f>
        <v>0</v>
      </c>
      <c r="AC305">
        <v>0</v>
      </c>
    </row>
    <row r="306" spans="1:29" x14ac:dyDescent="0.2">
      <c r="C306" s="38" t="str">
        <f>"Объем: "&amp;Source!I237&amp;"=1,3/"&amp;"1000"</f>
        <v>Объем: 0,0013=1,3/1000</v>
      </c>
    </row>
    <row r="307" spans="1:29" ht="14.25" x14ac:dyDescent="0.2">
      <c r="A307" s="33"/>
      <c r="B307" s="33"/>
      <c r="C307" s="33" t="s">
        <v>721</v>
      </c>
      <c r="D307" s="35"/>
      <c r="E307" s="34"/>
      <c r="F307" s="37">
        <f>Source!AO237</f>
        <v>59.3</v>
      </c>
      <c r="G307" s="36" t="str">
        <f>Source!DG237</f>
        <v>)*1,1</v>
      </c>
      <c r="H307" s="34">
        <f>Source!AV238</f>
        <v>1.0469999999999999</v>
      </c>
      <c r="I307" s="37">
        <f>Source!S237</f>
        <v>0.09</v>
      </c>
      <c r="J307" s="34">
        <f>IF(Source!BA238&lt;&gt; 0, Source!BA238, 1)</f>
        <v>34.51</v>
      </c>
      <c r="K307" s="37">
        <f>Source!S238</f>
        <v>3.11</v>
      </c>
    </row>
    <row r="308" spans="1:29" ht="14.25" x14ac:dyDescent="0.2">
      <c r="A308" s="33"/>
      <c r="B308" s="33"/>
      <c r="C308" s="33" t="s">
        <v>746</v>
      </c>
      <c r="D308" s="35"/>
      <c r="E308" s="34"/>
      <c r="F308" s="37">
        <f>Source!AL237</f>
        <v>58.6</v>
      </c>
      <c r="G308" s="36" t="str">
        <f>Source!DD237</f>
        <v/>
      </c>
      <c r="H308" s="34">
        <f>Source!AW238</f>
        <v>1.002</v>
      </c>
      <c r="I308" s="37">
        <f>Source!P237</f>
        <v>0.08</v>
      </c>
      <c r="J308" s="34">
        <f>IF(Source!BC238&lt;&gt; 0, Source!BC238, 1)</f>
        <v>3.59</v>
      </c>
      <c r="K308" s="37">
        <f>Source!P238</f>
        <v>0.28999999999999998</v>
      </c>
    </row>
    <row r="309" spans="1:29" ht="57" x14ac:dyDescent="0.2">
      <c r="A309" s="33" t="s">
        <v>320</v>
      </c>
      <c r="B309" s="33" t="str">
        <f>Source!F239</f>
        <v>1.3-1-36</v>
      </c>
      <c r="C309" s="33" t="s">
        <v>314</v>
      </c>
      <c r="D309" s="35" t="str">
        <f>Source!DW239</f>
        <v>м3</v>
      </c>
      <c r="E309" s="34">
        <f>Source!I239</f>
        <v>1.3259999999999999E-2</v>
      </c>
      <c r="F309" s="37">
        <f>Source!AK239</f>
        <v>517.14</v>
      </c>
      <c r="G309" s="52" t="s">
        <v>3</v>
      </c>
      <c r="H309" s="34">
        <f>Source!AW240</f>
        <v>1.002</v>
      </c>
      <c r="I309" s="37">
        <f>Source!O239</f>
        <v>6.87</v>
      </c>
      <c r="J309" s="34">
        <f>IF(Source!BC240&lt;&gt; 0, Source!BC240, 1)</f>
        <v>11.03</v>
      </c>
      <c r="K309" s="37">
        <f>Source!O240</f>
        <v>75.78</v>
      </c>
      <c r="Q309">
        <f>Source!X239</f>
        <v>0</v>
      </c>
      <c r="R309">
        <f>Source!X240</f>
        <v>0</v>
      </c>
      <c r="S309">
        <f>Source!Y239</f>
        <v>0</v>
      </c>
      <c r="T309">
        <f>Source!Y240</f>
        <v>0</v>
      </c>
      <c r="U309">
        <f>ROUND((175/100)*ROUND(Source!R239, 2), 2)</f>
        <v>0</v>
      </c>
      <c r="V309">
        <f>ROUND((160/100)*ROUND(Source!R240, 2), 2)</f>
        <v>0</v>
      </c>
      <c r="AC309">
        <v>3</v>
      </c>
    </row>
    <row r="310" spans="1:29" ht="14.25" x14ac:dyDescent="0.2">
      <c r="A310" s="33"/>
      <c r="B310" s="33"/>
      <c r="C310" s="33" t="s">
        <v>722</v>
      </c>
      <c r="D310" s="35" t="s">
        <v>723</v>
      </c>
      <c r="E310" s="34">
        <f>Source!DN238</f>
        <v>161</v>
      </c>
      <c r="F310" s="37"/>
      <c r="G310" s="36"/>
      <c r="H310" s="34"/>
      <c r="I310" s="37">
        <f>SUM(Q305:Q309)</f>
        <v>0.14000000000000001</v>
      </c>
      <c r="J310" s="34">
        <f>Source!BZ238</f>
        <v>134</v>
      </c>
      <c r="K310" s="37">
        <f>SUM(R305:R309)</f>
        <v>4.17</v>
      </c>
    </row>
    <row r="311" spans="1:29" ht="14.25" x14ac:dyDescent="0.2">
      <c r="A311" s="33"/>
      <c r="B311" s="33"/>
      <c r="C311" s="33" t="s">
        <v>724</v>
      </c>
      <c r="D311" s="35" t="s">
        <v>723</v>
      </c>
      <c r="E311" s="34">
        <f>Source!DO238</f>
        <v>107</v>
      </c>
      <c r="F311" s="37"/>
      <c r="G311" s="36"/>
      <c r="H311" s="34"/>
      <c r="I311" s="37">
        <f>SUM(S305:S310)</f>
        <v>0.1</v>
      </c>
      <c r="J311" s="34">
        <f>Source!CA238</f>
        <v>55</v>
      </c>
      <c r="K311" s="37">
        <f>SUM(T305:T310)</f>
        <v>1.71</v>
      </c>
    </row>
    <row r="312" spans="1:29" ht="14.25" x14ac:dyDescent="0.2">
      <c r="A312" s="39"/>
      <c r="B312" s="39"/>
      <c r="C312" s="39" t="s">
        <v>725</v>
      </c>
      <c r="D312" s="40" t="s">
        <v>726</v>
      </c>
      <c r="E312" s="41">
        <f>Source!AQ237</f>
        <v>5.17</v>
      </c>
      <c r="F312" s="42"/>
      <c r="G312" s="43" t="str">
        <f>Source!DI237</f>
        <v>)*1,1</v>
      </c>
      <c r="H312" s="41">
        <f>Source!AV238</f>
        <v>1.0469999999999999</v>
      </c>
      <c r="I312" s="42">
        <f>Source!U237</f>
        <v>7.7405757000000002E-3</v>
      </c>
      <c r="J312" s="41"/>
      <c r="K312" s="42"/>
    </row>
    <row r="313" spans="1:29" ht="15" x14ac:dyDescent="0.25">
      <c r="C313" s="23" t="s">
        <v>727</v>
      </c>
      <c r="H313" s="44">
        <f>I307+I308+I310+I311+SUM(I309:I309)</f>
        <v>7.28</v>
      </c>
      <c r="I313" s="44"/>
      <c r="J313" s="44">
        <f>K307+K308+K310+K311+SUM(K309:K309)</f>
        <v>85.06</v>
      </c>
      <c r="K313" s="44"/>
      <c r="O313" s="45">
        <f>I307+I308+I310+I311+SUM(I309:I309)</f>
        <v>7.28</v>
      </c>
      <c r="P313" s="45">
        <f>K307+K308+K310+K311+SUM(K309:K309)</f>
        <v>85.06</v>
      </c>
    </row>
    <row r="315" spans="1:29" ht="52.5" x14ac:dyDescent="0.2">
      <c r="A315" s="33">
        <v>43</v>
      </c>
      <c r="B315" s="33" t="s">
        <v>761</v>
      </c>
      <c r="C315" s="33" t="s">
        <v>323</v>
      </c>
      <c r="D315" s="35" t="str">
        <f>Source!DW241</f>
        <v>100 м2 покрытия</v>
      </c>
      <c r="E315" s="34">
        <f>Source!I241</f>
        <v>1.2999999999999999E-2</v>
      </c>
      <c r="F315" s="37"/>
      <c r="G315" s="36"/>
      <c r="H315" s="34"/>
      <c r="I315" s="37"/>
      <c r="J315" s="34"/>
      <c r="K315" s="37"/>
      <c r="Q315">
        <f>Source!X241</f>
        <v>1.26</v>
      </c>
      <c r="R315">
        <f>Source!X242</f>
        <v>36.07</v>
      </c>
      <c r="S315">
        <f>Source!Y241</f>
        <v>0.83</v>
      </c>
      <c r="T315">
        <f>Source!Y242</f>
        <v>14.81</v>
      </c>
      <c r="U315">
        <f>ROUND((175/100)*ROUND(Source!R241, 2), 2)</f>
        <v>1.23</v>
      </c>
      <c r="V315">
        <f>ROUND((160/100)*ROUND(Source!R242, 2), 2)</f>
        <v>38.659999999999997</v>
      </c>
      <c r="AC315">
        <v>0</v>
      </c>
    </row>
    <row r="316" spans="1:29" x14ac:dyDescent="0.2">
      <c r="C316" s="38" t="str">
        <f>"Объем: "&amp;Source!I241&amp;"=1,3/"&amp;"100"</f>
        <v>Объем: 0,013=1,3/100</v>
      </c>
    </row>
    <row r="317" spans="1:29" ht="14.25" x14ac:dyDescent="0.2">
      <c r="A317" s="33"/>
      <c r="B317" s="33"/>
      <c r="C317" s="33" t="s">
        <v>721</v>
      </c>
      <c r="D317" s="35"/>
      <c r="E317" s="34"/>
      <c r="F317" s="37">
        <f>Source!AO241</f>
        <v>52.17</v>
      </c>
      <c r="G317" s="36" t="str">
        <f>Source!DG241</f>
        <v>)*1,1</v>
      </c>
      <c r="H317" s="34">
        <f>Source!AV242</f>
        <v>1.0469999999999999</v>
      </c>
      <c r="I317" s="37">
        <f>Source!S241</f>
        <v>0.78</v>
      </c>
      <c r="J317" s="34">
        <f>IF(Source!BA242&lt;&gt; 0, Source!BA242, 1)</f>
        <v>34.51</v>
      </c>
      <c r="K317" s="37">
        <f>Source!S242</f>
        <v>26.92</v>
      </c>
    </row>
    <row r="318" spans="1:29" ht="14.25" x14ac:dyDescent="0.2">
      <c r="A318" s="33"/>
      <c r="B318" s="33"/>
      <c r="C318" s="33" t="s">
        <v>729</v>
      </c>
      <c r="D318" s="35"/>
      <c r="E318" s="34"/>
      <c r="F318" s="37">
        <f>Source!AM241</f>
        <v>532.35</v>
      </c>
      <c r="G318" s="36" t="str">
        <f>Source!DE241</f>
        <v>)*1,1</v>
      </c>
      <c r="H318" s="34">
        <f>Source!AV242</f>
        <v>1.0469999999999999</v>
      </c>
      <c r="I318" s="37">
        <f>Source!Q241</f>
        <v>7.97</v>
      </c>
      <c r="J318" s="34">
        <f>IF(Source!BB242&lt;&gt; 0, Source!BB242, 1)</f>
        <v>11.94</v>
      </c>
      <c r="K318" s="37">
        <f>Source!Q242</f>
        <v>95.16</v>
      </c>
    </row>
    <row r="319" spans="1:29" ht="14.25" x14ac:dyDescent="0.2">
      <c r="A319" s="33"/>
      <c r="B319" s="33"/>
      <c r="C319" s="33" t="s">
        <v>730</v>
      </c>
      <c r="D319" s="35"/>
      <c r="E319" s="34"/>
      <c r="F319" s="37">
        <f>Source!AN241</f>
        <v>46.58</v>
      </c>
      <c r="G319" s="36" t="str">
        <f>Source!DF241</f>
        <v>)*1,1</v>
      </c>
      <c r="H319" s="34">
        <f>Source!AV242</f>
        <v>1.0469999999999999</v>
      </c>
      <c r="I319" s="46">
        <f>Source!R241</f>
        <v>0.7</v>
      </c>
      <c r="J319" s="34">
        <f>IF(Source!BS242&lt;&gt; 0, Source!BS242, 1)</f>
        <v>34.51</v>
      </c>
      <c r="K319" s="46">
        <f>Source!R242</f>
        <v>24.16</v>
      </c>
    </row>
    <row r="320" spans="1:29" ht="14.25" x14ac:dyDescent="0.2">
      <c r="A320" s="33"/>
      <c r="B320" s="33"/>
      <c r="C320" s="33" t="s">
        <v>746</v>
      </c>
      <c r="D320" s="35"/>
      <c r="E320" s="34"/>
      <c r="F320" s="37">
        <f>Source!AL241</f>
        <v>57.83</v>
      </c>
      <c r="G320" s="36" t="str">
        <f>Source!DD241</f>
        <v/>
      </c>
      <c r="H320" s="34">
        <f>Source!AW242</f>
        <v>1</v>
      </c>
      <c r="I320" s="37">
        <f>Source!P241</f>
        <v>0.75</v>
      </c>
      <c r="J320" s="34">
        <f>IF(Source!BC242&lt;&gt; 0, Source!BC242, 1)</f>
        <v>16.47</v>
      </c>
      <c r="K320" s="37">
        <f>Source!P242</f>
        <v>12.35</v>
      </c>
    </row>
    <row r="321" spans="1:29" ht="28.5" x14ac:dyDescent="0.2">
      <c r="A321" s="33" t="s">
        <v>327</v>
      </c>
      <c r="B321" s="33" t="str">
        <f>Source!F243</f>
        <v>1.3-3-3</v>
      </c>
      <c r="C321" s="33" t="s">
        <v>329</v>
      </c>
      <c r="D321" s="35" t="str">
        <f>Source!DW243</f>
        <v>т</v>
      </c>
      <c r="E321" s="34">
        <f>Source!I243</f>
        <v>0.12453999999999997</v>
      </c>
      <c r="F321" s="37">
        <f>Source!AK243</f>
        <v>296.7</v>
      </c>
      <c r="G321" s="52" t="s">
        <v>3</v>
      </c>
      <c r="H321" s="34">
        <f>Source!AW244</f>
        <v>1</v>
      </c>
      <c r="I321" s="37">
        <f>Source!O243</f>
        <v>36.950000000000003</v>
      </c>
      <c r="J321" s="34">
        <f>IF(Source!BC244&lt;&gt; 0, Source!BC244, 1)</f>
        <v>15.39</v>
      </c>
      <c r="K321" s="37">
        <f>Source!O244</f>
        <v>568.66</v>
      </c>
      <c r="Q321">
        <f>Source!X243</f>
        <v>0</v>
      </c>
      <c r="R321">
        <f>Source!X244</f>
        <v>0</v>
      </c>
      <c r="S321">
        <f>Source!Y243</f>
        <v>0</v>
      </c>
      <c r="T321">
        <f>Source!Y244</f>
        <v>0</v>
      </c>
      <c r="U321">
        <f>ROUND((175/100)*ROUND(Source!R243, 2), 2)</f>
        <v>0</v>
      </c>
      <c r="V321">
        <f>ROUND((160/100)*ROUND(Source!R244, 2), 2)</f>
        <v>0</v>
      </c>
      <c r="AC321">
        <v>3</v>
      </c>
    </row>
    <row r="322" spans="1:29" ht="14.25" x14ac:dyDescent="0.2">
      <c r="A322" s="33"/>
      <c r="B322" s="33"/>
      <c r="C322" s="33" t="s">
        <v>722</v>
      </c>
      <c r="D322" s="35" t="s">
        <v>723</v>
      </c>
      <c r="E322" s="34">
        <f>Source!DN242</f>
        <v>161</v>
      </c>
      <c r="F322" s="37"/>
      <c r="G322" s="36"/>
      <c r="H322" s="34"/>
      <c r="I322" s="37">
        <f>SUM(Q315:Q321)</f>
        <v>1.26</v>
      </c>
      <c r="J322" s="34">
        <f>Source!BZ242</f>
        <v>134</v>
      </c>
      <c r="K322" s="37">
        <f>SUM(R315:R321)</f>
        <v>36.07</v>
      </c>
    </row>
    <row r="323" spans="1:29" ht="14.25" x14ac:dyDescent="0.2">
      <c r="A323" s="33"/>
      <c r="B323" s="33"/>
      <c r="C323" s="33" t="s">
        <v>724</v>
      </c>
      <c r="D323" s="35" t="s">
        <v>723</v>
      </c>
      <c r="E323" s="34">
        <f>Source!DO242</f>
        <v>107</v>
      </c>
      <c r="F323" s="37"/>
      <c r="G323" s="36"/>
      <c r="H323" s="34"/>
      <c r="I323" s="37">
        <f>SUM(S315:S322)</f>
        <v>0.83</v>
      </c>
      <c r="J323" s="34">
        <f>Source!CA242</f>
        <v>55</v>
      </c>
      <c r="K323" s="37">
        <f>SUM(T315:T322)</f>
        <v>14.81</v>
      </c>
    </row>
    <row r="324" spans="1:29" ht="14.25" x14ac:dyDescent="0.2">
      <c r="A324" s="33"/>
      <c r="B324" s="33"/>
      <c r="C324" s="33" t="s">
        <v>731</v>
      </c>
      <c r="D324" s="35" t="s">
        <v>723</v>
      </c>
      <c r="E324" s="34">
        <f>175</f>
        <v>175</v>
      </c>
      <c r="F324" s="37"/>
      <c r="G324" s="36"/>
      <c r="H324" s="34"/>
      <c r="I324" s="37">
        <f>SUM(U315:U323)</f>
        <v>1.23</v>
      </c>
      <c r="J324" s="34">
        <f>160</f>
        <v>160</v>
      </c>
      <c r="K324" s="37">
        <f>SUM(V315:V323)</f>
        <v>38.659999999999997</v>
      </c>
    </row>
    <row r="325" spans="1:29" ht="14.25" x14ac:dyDescent="0.2">
      <c r="A325" s="39"/>
      <c r="B325" s="39"/>
      <c r="C325" s="39" t="s">
        <v>725</v>
      </c>
      <c r="D325" s="40" t="s">
        <v>726</v>
      </c>
      <c r="E325" s="41">
        <f>Source!AQ241</f>
        <v>4.29</v>
      </c>
      <c r="F325" s="42"/>
      <c r="G325" s="43" t="str">
        <f>Source!DI241</f>
        <v>)*1,1</v>
      </c>
      <c r="H325" s="41">
        <f>Source!AV242</f>
        <v>1.0469999999999999</v>
      </c>
      <c r="I325" s="42">
        <f>Source!U241</f>
        <v>6.4230308999999999E-2</v>
      </c>
      <c r="J325" s="41"/>
      <c r="K325" s="42"/>
    </row>
    <row r="326" spans="1:29" ht="15" x14ac:dyDescent="0.25">
      <c r="C326" s="23" t="s">
        <v>727</v>
      </c>
      <c r="H326" s="44">
        <f>I317+I318+I320+I322+I323+I324+SUM(I321:I321)</f>
        <v>49.77</v>
      </c>
      <c r="I326" s="44"/>
      <c r="J326" s="44">
        <f>K317+K318+K320+K322+K323+K324+SUM(K321:K321)</f>
        <v>792.63</v>
      </c>
      <c r="K326" s="44"/>
      <c r="O326" s="45">
        <f>I317+I318+I320+I322+I323+I324+SUM(I321:I321)</f>
        <v>49.77</v>
      </c>
      <c r="P326" s="45">
        <f>K317+K318+K320+K322+K323+K324+SUM(K321:K321)</f>
        <v>792.63</v>
      </c>
    </row>
    <row r="328" spans="1:29" ht="52.5" x14ac:dyDescent="0.2">
      <c r="A328" s="33">
        <v>44</v>
      </c>
      <c r="B328" s="33" t="s">
        <v>761</v>
      </c>
      <c r="C328" s="33" t="s">
        <v>323</v>
      </c>
      <c r="D328" s="35" t="str">
        <f>Source!DW245</f>
        <v>100 м2 покрытия</v>
      </c>
      <c r="E328" s="34">
        <f>Source!I245</f>
        <v>1.2999999999999999E-2</v>
      </c>
      <c r="F328" s="37"/>
      <c r="G328" s="36"/>
      <c r="H328" s="34"/>
      <c r="I328" s="37"/>
      <c r="J328" s="34"/>
      <c r="K328" s="37"/>
      <c r="Q328">
        <f>Source!X245</f>
        <v>1.26</v>
      </c>
      <c r="R328">
        <f>Source!X246</f>
        <v>36.07</v>
      </c>
      <c r="S328">
        <f>Source!Y245</f>
        <v>0.83</v>
      </c>
      <c r="T328">
        <f>Source!Y246</f>
        <v>14.81</v>
      </c>
      <c r="U328">
        <f>ROUND((175/100)*ROUND(Source!R245, 2), 2)</f>
        <v>1.23</v>
      </c>
      <c r="V328">
        <f>ROUND((160/100)*ROUND(Source!R246, 2), 2)</f>
        <v>38.659999999999997</v>
      </c>
      <c r="AC328">
        <v>0</v>
      </c>
    </row>
    <row r="329" spans="1:29" x14ac:dyDescent="0.2">
      <c r="C329" s="38" t="str">
        <f>"Объем: "&amp;Source!I245&amp;"=1,3/"&amp;"100"</f>
        <v>Объем: 0,013=1,3/100</v>
      </c>
    </row>
    <row r="330" spans="1:29" ht="14.25" x14ac:dyDescent="0.2">
      <c r="A330" s="33"/>
      <c r="B330" s="33"/>
      <c r="C330" s="33" t="s">
        <v>721</v>
      </c>
      <c r="D330" s="35"/>
      <c r="E330" s="34"/>
      <c r="F330" s="37">
        <f>Source!AO245</f>
        <v>52.17</v>
      </c>
      <c r="G330" s="36" t="str">
        <f>Source!DG245</f>
        <v>)*1,1</v>
      </c>
      <c r="H330" s="34">
        <f>Source!AV246</f>
        <v>1.0469999999999999</v>
      </c>
      <c r="I330" s="37">
        <f>Source!S245</f>
        <v>0.78</v>
      </c>
      <c r="J330" s="34">
        <f>IF(Source!BA246&lt;&gt; 0, Source!BA246, 1)</f>
        <v>34.51</v>
      </c>
      <c r="K330" s="37">
        <f>Source!S246</f>
        <v>26.92</v>
      </c>
    </row>
    <row r="331" spans="1:29" ht="14.25" x14ac:dyDescent="0.2">
      <c r="A331" s="33"/>
      <c r="B331" s="33"/>
      <c r="C331" s="33" t="s">
        <v>729</v>
      </c>
      <c r="D331" s="35"/>
      <c r="E331" s="34"/>
      <c r="F331" s="37">
        <f>Source!AM245</f>
        <v>532.35</v>
      </c>
      <c r="G331" s="36" t="str">
        <f>Source!DE245</f>
        <v>)*1,1</v>
      </c>
      <c r="H331" s="34">
        <f>Source!AV246</f>
        <v>1.0469999999999999</v>
      </c>
      <c r="I331" s="37">
        <f>Source!Q245</f>
        <v>7.97</v>
      </c>
      <c r="J331" s="34">
        <f>IF(Source!BB246&lt;&gt; 0, Source!BB246, 1)</f>
        <v>11.94</v>
      </c>
      <c r="K331" s="37">
        <f>Source!Q246</f>
        <v>95.16</v>
      </c>
    </row>
    <row r="332" spans="1:29" ht="14.25" x14ac:dyDescent="0.2">
      <c r="A332" s="33"/>
      <c r="B332" s="33"/>
      <c r="C332" s="33" t="s">
        <v>730</v>
      </c>
      <c r="D332" s="35"/>
      <c r="E332" s="34"/>
      <c r="F332" s="37">
        <f>Source!AN245</f>
        <v>46.58</v>
      </c>
      <c r="G332" s="36" t="str">
        <f>Source!DF245</f>
        <v>)*1,1</v>
      </c>
      <c r="H332" s="34">
        <f>Source!AV246</f>
        <v>1.0469999999999999</v>
      </c>
      <c r="I332" s="46">
        <f>Source!R245</f>
        <v>0.7</v>
      </c>
      <c r="J332" s="34">
        <f>IF(Source!BS246&lt;&gt; 0, Source!BS246, 1)</f>
        <v>34.51</v>
      </c>
      <c r="K332" s="46">
        <f>Source!R246</f>
        <v>24.16</v>
      </c>
    </row>
    <row r="333" spans="1:29" ht="14.25" x14ac:dyDescent="0.2">
      <c r="A333" s="33"/>
      <c r="B333" s="33"/>
      <c r="C333" s="33" t="s">
        <v>746</v>
      </c>
      <c r="D333" s="35"/>
      <c r="E333" s="34"/>
      <c r="F333" s="37">
        <f>Source!AL245</f>
        <v>57.83</v>
      </c>
      <c r="G333" s="36" t="str">
        <f>Source!DD245</f>
        <v/>
      </c>
      <c r="H333" s="34">
        <f>Source!AW246</f>
        <v>1</v>
      </c>
      <c r="I333" s="37">
        <f>Source!P245</f>
        <v>0.75</v>
      </c>
      <c r="J333" s="34">
        <f>IF(Source!BC246&lt;&gt; 0, Source!BC246, 1)</f>
        <v>16.47</v>
      </c>
      <c r="K333" s="37">
        <f>Source!P246</f>
        <v>12.35</v>
      </c>
    </row>
    <row r="334" spans="1:29" ht="28.5" x14ac:dyDescent="0.2">
      <c r="A334" s="33" t="s">
        <v>333</v>
      </c>
      <c r="B334" s="33" t="str">
        <f>Source!F247</f>
        <v>1.3-3-3</v>
      </c>
      <c r="C334" s="33" t="s">
        <v>329</v>
      </c>
      <c r="D334" s="35" t="str">
        <f>Source!DW247</f>
        <v>т</v>
      </c>
      <c r="E334" s="34">
        <f>Source!I247</f>
        <v>0.12453999999999997</v>
      </c>
      <c r="F334" s="37">
        <f>Source!AK247</f>
        <v>296.7</v>
      </c>
      <c r="G334" s="52" t="s">
        <v>3</v>
      </c>
      <c r="H334" s="34">
        <f>Source!AW248</f>
        <v>1</v>
      </c>
      <c r="I334" s="37">
        <f>Source!O247</f>
        <v>36.950000000000003</v>
      </c>
      <c r="J334" s="34">
        <f>IF(Source!BC248&lt;&gt; 0, Source!BC248, 1)</f>
        <v>15.39</v>
      </c>
      <c r="K334" s="37">
        <f>Source!O248</f>
        <v>568.66</v>
      </c>
      <c r="Q334">
        <f>Source!X247</f>
        <v>0</v>
      </c>
      <c r="R334">
        <f>Source!X248</f>
        <v>0</v>
      </c>
      <c r="S334">
        <f>Source!Y247</f>
        <v>0</v>
      </c>
      <c r="T334">
        <f>Source!Y248</f>
        <v>0</v>
      </c>
      <c r="U334">
        <f>ROUND((175/100)*ROUND(Source!R247, 2), 2)</f>
        <v>0</v>
      </c>
      <c r="V334">
        <f>ROUND((160/100)*ROUND(Source!R248, 2), 2)</f>
        <v>0</v>
      </c>
      <c r="AC334">
        <v>3</v>
      </c>
    </row>
    <row r="335" spans="1:29" ht="14.25" x14ac:dyDescent="0.2">
      <c r="A335" s="33"/>
      <c r="B335" s="33"/>
      <c r="C335" s="33" t="s">
        <v>722</v>
      </c>
      <c r="D335" s="35" t="s">
        <v>723</v>
      </c>
      <c r="E335" s="34">
        <f>Source!DN246</f>
        <v>161</v>
      </c>
      <c r="F335" s="37"/>
      <c r="G335" s="36"/>
      <c r="H335" s="34"/>
      <c r="I335" s="37">
        <f>SUM(Q328:Q334)</f>
        <v>1.26</v>
      </c>
      <c r="J335" s="34">
        <f>Source!BZ246</f>
        <v>134</v>
      </c>
      <c r="K335" s="37">
        <f>SUM(R328:R334)</f>
        <v>36.07</v>
      </c>
    </row>
    <row r="336" spans="1:29" ht="14.25" x14ac:dyDescent="0.2">
      <c r="A336" s="33"/>
      <c r="B336" s="33"/>
      <c r="C336" s="33" t="s">
        <v>724</v>
      </c>
      <c r="D336" s="35" t="s">
        <v>723</v>
      </c>
      <c r="E336" s="34">
        <f>Source!DO246</f>
        <v>107</v>
      </c>
      <c r="F336" s="37"/>
      <c r="G336" s="36"/>
      <c r="H336" s="34"/>
      <c r="I336" s="37">
        <f>SUM(S328:S335)</f>
        <v>0.83</v>
      </c>
      <c r="J336" s="34">
        <f>Source!CA246</f>
        <v>55</v>
      </c>
      <c r="K336" s="37">
        <f>SUM(T328:T335)</f>
        <v>14.81</v>
      </c>
    </row>
    <row r="337" spans="1:29" ht="14.25" x14ac:dyDescent="0.2">
      <c r="A337" s="33"/>
      <c r="B337" s="33"/>
      <c r="C337" s="33" t="s">
        <v>731</v>
      </c>
      <c r="D337" s="35" t="s">
        <v>723</v>
      </c>
      <c r="E337" s="34">
        <f>175</f>
        <v>175</v>
      </c>
      <c r="F337" s="37"/>
      <c r="G337" s="36"/>
      <c r="H337" s="34"/>
      <c r="I337" s="37">
        <f>SUM(U328:U336)</f>
        <v>1.23</v>
      </c>
      <c r="J337" s="34">
        <f>160</f>
        <v>160</v>
      </c>
      <c r="K337" s="37">
        <f>SUM(V328:V336)</f>
        <v>38.659999999999997</v>
      </c>
    </row>
    <row r="338" spans="1:29" ht="14.25" x14ac:dyDescent="0.2">
      <c r="A338" s="39"/>
      <c r="B338" s="39"/>
      <c r="C338" s="39" t="s">
        <v>725</v>
      </c>
      <c r="D338" s="40" t="s">
        <v>726</v>
      </c>
      <c r="E338" s="41">
        <f>Source!AQ245</f>
        <v>4.29</v>
      </c>
      <c r="F338" s="42"/>
      <c r="G338" s="43" t="str">
        <f>Source!DI245</f>
        <v>)*1,1</v>
      </c>
      <c r="H338" s="41">
        <f>Source!AV246</f>
        <v>1.0469999999999999</v>
      </c>
      <c r="I338" s="42">
        <f>Source!U245</f>
        <v>6.4230308999999999E-2</v>
      </c>
      <c r="J338" s="41"/>
      <c r="K338" s="42"/>
    </row>
    <row r="339" spans="1:29" ht="15" x14ac:dyDescent="0.25">
      <c r="C339" s="23" t="s">
        <v>727</v>
      </c>
      <c r="H339" s="44">
        <f>I330+I331+I333+I335+I336+I337+SUM(I334:I334)</f>
        <v>49.77</v>
      </c>
      <c r="I339" s="44"/>
      <c r="J339" s="44">
        <f>K330+K331+K333+K335+K336+K337+SUM(K334:K334)</f>
        <v>792.63</v>
      </c>
      <c r="K339" s="44"/>
      <c r="O339" s="45">
        <f>I330+I331+I333+I335+I336+I337+SUM(I334:I334)</f>
        <v>49.77</v>
      </c>
      <c r="P339" s="45">
        <f>K330+K331+K333+K335+K336+K337+SUM(K334:K334)</f>
        <v>792.63</v>
      </c>
    </row>
    <row r="341" spans="1:29" ht="52.5" x14ac:dyDescent="0.2">
      <c r="A341" s="33">
        <v>45</v>
      </c>
      <c r="B341" s="33" t="s">
        <v>762</v>
      </c>
      <c r="C341" s="33" t="s">
        <v>336</v>
      </c>
      <c r="D341" s="35" t="str">
        <f>Source!DW249</f>
        <v>100 м2 покрытия</v>
      </c>
      <c r="E341" s="34">
        <f>Source!I249</f>
        <v>1.2999999999999999E-2</v>
      </c>
      <c r="F341" s="37"/>
      <c r="G341" s="36"/>
      <c r="H341" s="34"/>
      <c r="I341" s="37"/>
      <c r="J341" s="34"/>
      <c r="K341" s="37"/>
      <c r="Q341">
        <f>Source!X249</f>
        <v>0.84</v>
      </c>
      <c r="R341">
        <f>Source!X250</f>
        <v>24.05</v>
      </c>
      <c r="S341">
        <f>Source!Y249</f>
        <v>0.56000000000000005</v>
      </c>
      <c r="T341">
        <f>Source!Y250</f>
        <v>9.8699999999999992</v>
      </c>
      <c r="U341">
        <f>ROUND((175/100)*ROUND(Source!R249, 2), 2)</f>
        <v>0.28000000000000003</v>
      </c>
      <c r="V341">
        <f>ROUND((160/100)*ROUND(Source!R250, 2), 2)</f>
        <v>8.83</v>
      </c>
      <c r="AC341">
        <v>0</v>
      </c>
    </row>
    <row r="342" spans="1:29" x14ac:dyDescent="0.2">
      <c r="C342" s="38" t="str">
        <f>"Объем: "&amp;Source!I249&amp;"=1,3/"&amp;"100"</f>
        <v>Объем: 0,013=1,3/100</v>
      </c>
    </row>
    <row r="343" spans="1:29" ht="14.25" x14ac:dyDescent="0.2">
      <c r="A343" s="33"/>
      <c r="B343" s="33"/>
      <c r="C343" s="33" t="s">
        <v>721</v>
      </c>
      <c r="D343" s="35"/>
      <c r="E343" s="34"/>
      <c r="F343" s="37">
        <f>Source!AO249</f>
        <v>6.93</v>
      </c>
      <c r="G343" s="36" t="str">
        <f>Source!DG249</f>
        <v>)*1,1*5</v>
      </c>
      <c r="H343" s="34">
        <f>Source!AV250</f>
        <v>1.0469999999999999</v>
      </c>
      <c r="I343" s="37">
        <f>Source!S249</f>
        <v>0.52</v>
      </c>
      <c r="J343" s="34">
        <f>IF(Source!BA250&lt;&gt; 0, Source!BA250, 1)</f>
        <v>34.51</v>
      </c>
      <c r="K343" s="37">
        <f>Source!S250</f>
        <v>17.95</v>
      </c>
    </row>
    <row r="344" spans="1:29" ht="14.25" x14ac:dyDescent="0.2">
      <c r="A344" s="33"/>
      <c r="B344" s="33"/>
      <c r="C344" s="33" t="s">
        <v>729</v>
      </c>
      <c r="D344" s="35"/>
      <c r="E344" s="34"/>
      <c r="F344" s="37">
        <f>Source!AM249</f>
        <v>32.840000000000003</v>
      </c>
      <c r="G344" s="36" t="str">
        <f>Source!DE249</f>
        <v>)*1,1*5</v>
      </c>
      <c r="H344" s="34">
        <f>Source!AV250</f>
        <v>1.0469999999999999</v>
      </c>
      <c r="I344" s="37">
        <f>Source!Q249</f>
        <v>2.46</v>
      </c>
      <c r="J344" s="34">
        <f>IF(Source!BB250&lt;&gt; 0, Source!BB250, 1)</f>
        <v>11.78</v>
      </c>
      <c r="K344" s="37">
        <f>Source!Q250</f>
        <v>28.98</v>
      </c>
    </row>
    <row r="345" spans="1:29" ht="14.25" x14ac:dyDescent="0.2">
      <c r="A345" s="33"/>
      <c r="B345" s="33"/>
      <c r="C345" s="33" t="s">
        <v>730</v>
      </c>
      <c r="D345" s="35"/>
      <c r="E345" s="34"/>
      <c r="F345" s="37">
        <f>Source!AN249</f>
        <v>2.1800000000000002</v>
      </c>
      <c r="G345" s="36" t="str">
        <f>Source!DF249</f>
        <v>)*1,1*5</v>
      </c>
      <c r="H345" s="34">
        <f>Source!AV250</f>
        <v>1.0469999999999999</v>
      </c>
      <c r="I345" s="46">
        <f>Source!R249</f>
        <v>0.16</v>
      </c>
      <c r="J345" s="34">
        <f>IF(Source!BS250&lt;&gt; 0, Source!BS250, 1)</f>
        <v>34.51</v>
      </c>
      <c r="K345" s="46">
        <f>Source!R250</f>
        <v>5.52</v>
      </c>
    </row>
    <row r="346" spans="1:29" ht="52.5" x14ac:dyDescent="0.2">
      <c r="A346" s="33" t="s">
        <v>339</v>
      </c>
      <c r="B346" s="33" t="s">
        <v>763</v>
      </c>
      <c r="C346" s="33" t="s">
        <v>329</v>
      </c>
      <c r="D346" s="35" t="str">
        <f>Source!DW251</f>
        <v>т</v>
      </c>
      <c r="E346" s="34">
        <f>Source!I251</f>
        <v>0.15599999999999997</v>
      </c>
      <c r="F346" s="37">
        <f>Source!AK251</f>
        <v>296.7</v>
      </c>
      <c r="G346" s="52" t="s">
        <v>764</v>
      </c>
      <c r="H346" s="34">
        <f>Source!AW252</f>
        <v>1</v>
      </c>
      <c r="I346" s="37">
        <f>Source!O251</f>
        <v>46.29</v>
      </c>
      <c r="J346" s="34">
        <f>IF(Source!BC252&lt;&gt; 0, Source!BC252, 1)</f>
        <v>15.39</v>
      </c>
      <c r="K346" s="37">
        <f>Source!O252</f>
        <v>712.4</v>
      </c>
      <c r="Q346">
        <f>Source!X251</f>
        <v>0</v>
      </c>
      <c r="R346">
        <f>Source!X252</f>
        <v>0</v>
      </c>
      <c r="S346">
        <f>Source!Y251</f>
        <v>0</v>
      </c>
      <c r="T346">
        <f>Source!Y252</f>
        <v>0</v>
      </c>
      <c r="U346">
        <f>ROUND((175/100)*ROUND(Source!R251, 2), 2)</f>
        <v>0</v>
      </c>
      <c r="V346">
        <f>ROUND((160/100)*ROUND(Source!R252, 2), 2)</f>
        <v>0</v>
      </c>
      <c r="AC346">
        <v>3</v>
      </c>
    </row>
    <row r="347" spans="1:29" ht="14.25" x14ac:dyDescent="0.2">
      <c r="A347" s="33"/>
      <c r="B347" s="33"/>
      <c r="C347" s="33" t="s">
        <v>722</v>
      </c>
      <c r="D347" s="35" t="s">
        <v>723</v>
      </c>
      <c r="E347" s="34">
        <f>Source!DN250</f>
        <v>161</v>
      </c>
      <c r="F347" s="37"/>
      <c r="G347" s="36"/>
      <c r="H347" s="34"/>
      <c r="I347" s="37">
        <f>SUM(Q341:Q346)</f>
        <v>0.84</v>
      </c>
      <c r="J347" s="34">
        <f>Source!BZ250</f>
        <v>134</v>
      </c>
      <c r="K347" s="37">
        <f>SUM(R341:R346)</f>
        <v>24.05</v>
      </c>
    </row>
    <row r="348" spans="1:29" ht="14.25" x14ac:dyDescent="0.2">
      <c r="A348" s="33"/>
      <c r="B348" s="33"/>
      <c r="C348" s="33" t="s">
        <v>724</v>
      </c>
      <c r="D348" s="35" t="s">
        <v>723</v>
      </c>
      <c r="E348" s="34">
        <f>Source!DO250</f>
        <v>107</v>
      </c>
      <c r="F348" s="37"/>
      <c r="G348" s="36"/>
      <c r="H348" s="34"/>
      <c r="I348" s="37">
        <f>SUM(S341:S347)</f>
        <v>0.56000000000000005</v>
      </c>
      <c r="J348" s="34">
        <f>Source!CA250</f>
        <v>55</v>
      </c>
      <c r="K348" s="37">
        <f>SUM(T341:T347)</f>
        <v>9.8699999999999992</v>
      </c>
    </row>
    <row r="349" spans="1:29" ht="14.25" x14ac:dyDescent="0.2">
      <c r="A349" s="33"/>
      <c r="B349" s="33"/>
      <c r="C349" s="33" t="s">
        <v>731</v>
      </c>
      <c r="D349" s="35" t="s">
        <v>723</v>
      </c>
      <c r="E349" s="34">
        <f>175</f>
        <v>175</v>
      </c>
      <c r="F349" s="37"/>
      <c r="G349" s="36"/>
      <c r="H349" s="34"/>
      <c r="I349" s="37">
        <f>SUM(U341:U348)</f>
        <v>0.28000000000000003</v>
      </c>
      <c r="J349" s="34">
        <f>160</f>
        <v>160</v>
      </c>
      <c r="K349" s="37">
        <f>SUM(V341:V348)</f>
        <v>8.83</v>
      </c>
    </row>
    <row r="350" spans="1:29" ht="14.25" x14ac:dyDescent="0.2">
      <c r="A350" s="39"/>
      <c r="B350" s="39"/>
      <c r="C350" s="39" t="s">
        <v>725</v>
      </c>
      <c r="D350" s="40" t="s">
        <v>726</v>
      </c>
      <c r="E350" s="41">
        <f>Source!AQ249</f>
        <v>0.53</v>
      </c>
      <c r="F350" s="42"/>
      <c r="G350" s="43" t="str">
        <f>Source!DI249</f>
        <v>)*1,1*5</v>
      </c>
      <c r="H350" s="41">
        <f>Source!AV250</f>
        <v>1.0469999999999999</v>
      </c>
      <c r="I350" s="42">
        <f>Source!U249</f>
        <v>3.9676065000000003E-2</v>
      </c>
      <c r="J350" s="41"/>
      <c r="K350" s="42"/>
    </row>
    <row r="351" spans="1:29" ht="15" x14ac:dyDescent="0.25">
      <c r="C351" s="23" t="s">
        <v>727</v>
      </c>
      <c r="H351" s="44">
        <f>I343+I344+I347+I348+I349+SUM(I346:I346)</f>
        <v>50.95</v>
      </c>
      <c r="I351" s="44"/>
      <c r="J351" s="44">
        <f>K343+K344+K347+K348+K349+SUM(K346:K346)</f>
        <v>802.07999999999993</v>
      </c>
      <c r="K351" s="44"/>
      <c r="O351" s="45">
        <f>I343+I344+I347+I348+I349+SUM(I346:I346)</f>
        <v>50.95</v>
      </c>
      <c r="P351" s="45">
        <f>K343+K344+K347+K348+K349+SUM(K346:K346)</f>
        <v>802.07999999999993</v>
      </c>
    </row>
    <row r="353" spans="1:29" ht="52.5" x14ac:dyDescent="0.2">
      <c r="A353" s="33">
        <v>46</v>
      </c>
      <c r="B353" s="33" t="s">
        <v>761</v>
      </c>
      <c r="C353" s="33" t="s">
        <v>323</v>
      </c>
      <c r="D353" s="35" t="str">
        <f>Source!DW253</f>
        <v>100 м2 покрытия</v>
      </c>
      <c r="E353" s="34">
        <f>Source!I253</f>
        <v>3.5000000000000003E-2</v>
      </c>
      <c r="F353" s="37"/>
      <c r="G353" s="36"/>
      <c r="H353" s="34"/>
      <c r="I353" s="37"/>
      <c r="J353" s="34"/>
      <c r="K353" s="37"/>
      <c r="Q353">
        <f>Source!X253</f>
        <v>3.38</v>
      </c>
      <c r="R353">
        <f>Source!X254</f>
        <v>97.11</v>
      </c>
      <c r="S353">
        <f>Source!Y253</f>
        <v>2.25</v>
      </c>
      <c r="T353">
        <f>Source!Y254</f>
        <v>39.86</v>
      </c>
      <c r="U353">
        <f>ROUND((175/100)*ROUND(Source!R253, 2), 2)</f>
        <v>3.29</v>
      </c>
      <c r="V353">
        <f>ROUND((160/100)*ROUND(Source!R254, 2), 2)</f>
        <v>103.81</v>
      </c>
      <c r="AC353">
        <v>0</v>
      </c>
    </row>
    <row r="354" spans="1:29" x14ac:dyDescent="0.2">
      <c r="C354" s="38" t="str">
        <f>"Объем: "&amp;Source!I253&amp;"=3,5/"&amp;"100"</f>
        <v>Объем: 0,035=3,5/100</v>
      </c>
    </row>
    <row r="355" spans="1:29" ht="14.25" x14ac:dyDescent="0.2">
      <c r="A355" s="33"/>
      <c r="B355" s="33"/>
      <c r="C355" s="33" t="s">
        <v>721</v>
      </c>
      <c r="D355" s="35"/>
      <c r="E355" s="34"/>
      <c r="F355" s="37">
        <f>Source!AO253</f>
        <v>52.17</v>
      </c>
      <c r="G355" s="36" t="str">
        <f>Source!DG253</f>
        <v>)*1,1</v>
      </c>
      <c r="H355" s="34">
        <f>Source!AV254</f>
        <v>1.0469999999999999</v>
      </c>
      <c r="I355" s="37">
        <f>Source!S253</f>
        <v>2.1</v>
      </c>
      <c r="J355" s="34">
        <f>IF(Source!BA254&lt;&gt; 0, Source!BA254, 1)</f>
        <v>34.51</v>
      </c>
      <c r="K355" s="37">
        <f>Source!S254</f>
        <v>72.47</v>
      </c>
    </row>
    <row r="356" spans="1:29" ht="14.25" x14ac:dyDescent="0.2">
      <c r="A356" s="33"/>
      <c r="B356" s="33"/>
      <c r="C356" s="33" t="s">
        <v>729</v>
      </c>
      <c r="D356" s="35"/>
      <c r="E356" s="34"/>
      <c r="F356" s="37">
        <f>Source!AM253</f>
        <v>532.35</v>
      </c>
      <c r="G356" s="36" t="str">
        <f>Source!DE253</f>
        <v>)*1,1</v>
      </c>
      <c r="H356" s="34">
        <f>Source!AV254</f>
        <v>1.0469999999999999</v>
      </c>
      <c r="I356" s="37">
        <f>Source!Q253</f>
        <v>21.46</v>
      </c>
      <c r="J356" s="34">
        <f>IF(Source!BB254&lt;&gt; 0, Source!BB254, 1)</f>
        <v>11.94</v>
      </c>
      <c r="K356" s="37">
        <f>Source!Q254</f>
        <v>256.23</v>
      </c>
    </row>
    <row r="357" spans="1:29" ht="14.25" x14ac:dyDescent="0.2">
      <c r="A357" s="33"/>
      <c r="B357" s="33"/>
      <c r="C357" s="33" t="s">
        <v>730</v>
      </c>
      <c r="D357" s="35"/>
      <c r="E357" s="34"/>
      <c r="F357" s="37">
        <f>Source!AN253</f>
        <v>46.58</v>
      </c>
      <c r="G357" s="36" t="str">
        <f>Source!DF253</f>
        <v>)*1,1</v>
      </c>
      <c r="H357" s="34">
        <f>Source!AV254</f>
        <v>1.0469999999999999</v>
      </c>
      <c r="I357" s="46">
        <f>Source!R253</f>
        <v>1.88</v>
      </c>
      <c r="J357" s="34">
        <f>IF(Source!BS254&lt;&gt; 0, Source!BS254, 1)</f>
        <v>34.51</v>
      </c>
      <c r="K357" s="46">
        <f>Source!R254</f>
        <v>64.88</v>
      </c>
    </row>
    <row r="358" spans="1:29" ht="14.25" x14ac:dyDescent="0.2">
      <c r="A358" s="33"/>
      <c r="B358" s="33"/>
      <c r="C358" s="33" t="s">
        <v>746</v>
      </c>
      <c r="D358" s="35"/>
      <c r="E358" s="34"/>
      <c r="F358" s="37">
        <f>Source!AL253</f>
        <v>57.83</v>
      </c>
      <c r="G358" s="36" t="str">
        <f>Source!DD253</f>
        <v/>
      </c>
      <c r="H358" s="34">
        <f>Source!AW254</f>
        <v>1</v>
      </c>
      <c r="I358" s="37">
        <f>Source!P253</f>
        <v>2.02</v>
      </c>
      <c r="J358" s="34">
        <f>IF(Source!BC254&lt;&gt; 0, Source!BC254, 1)</f>
        <v>16.47</v>
      </c>
      <c r="K358" s="37">
        <f>Source!P254</f>
        <v>33.270000000000003</v>
      </c>
    </row>
    <row r="359" spans="1:29" ht="28.5" x14ac:dyDescent="0.2">
      <c r="A359" s="33" t="s">
        <v>342</v>
      </c>
      <c r="B359" s="33" t="str">
        <f>Source!F255</f>
        <v>1.3-3-7</v>
      </c>
      <c r="C359" s="33" t="s">
        <v>344</v>
      </c>
      <c r="D359" s="35" t="str">
        <f>Source!DW255</f>
        <v>т</v>
      </c>
      <c r="E359" s="34">
        <f>Source!I255</f>
        <v>0.33810000000000001</v>
      </c>
      <c r="F359" s="37">
        <f>Source!AK255</f>
        <v>307.58999999999997</v>
      </c>
      <c r="G359" s="52" t="s">
        <v>3</v>
      </c>
      <c r="H359" s="34">
        <f>Source!AW256</f>
        <v>1</v>
      </c>
      <c r="I359" s="37">
        <f>Source!O255</f>
        <v>104</v>
      </c>
      <c r="J359" s="34">
        <f>IF(Source!BC256&lt;&gt; 0, Source!BC256, 1)</f>
        <v>15.32</v>
      </c>
      <c r="K359" s="37">
        <f>Source!O256</f>
        <v>1593.28</v>
      </c>
      <c r="Q359">
        <f>Source!X255</f>
        <v>0</v>
      </c>
      <c r="R359">
        <f>Source!X256</f>
        <v>0</v>
      </c>
      <c r="S359">
        <f>Source!Y255</f>
        <v>0</v>
      </c>
      <c r="T359">
        <f>Source!Y256</f>
        <v>0</v>
      </c>
      <c r="U359">
        <f>ROUND((175/100)*ROUND(Source!R255, 2), 2)</f>
        <v>0</v>
      </c>
      <c r="V359">
        <f>ROUND((160/100)*ROUND(Source!R256, 2), 2)</f>
        <v>0</v>
      </c>
      <c r="AC359">
        <v>3</v>
      </c>
    </row>
    <row r="360" spans="1:29" ht="14.25" x14ac:dyDescent="0.2">
      <c r="A360" s="33"/>
      <c r="B360" s="33"/>
      <c r="C360" s="33" t="s">
        <v>722</v>
      </c>
      <c r="D360" s="35" t="s">
        <v>723</v>
      </c>
      <c r="E360" s="34">
        <f>Source!DN254</f>
        <v>161</v>
      </c>
      <c r="F360" s="37"/>
      <c r="G360" s="36"/>
      <c r="H360" s="34"/>
      <c r="I360" s="37">
        <f>SUM(Q353:Q359)</f>
        <v>3.38</v>
      </c>
      <c r="J360" s="34">
        <f>Source!BZ254</f>
        <v>134</v>
      </c>
      <c r="K360" s="37">
        <f>SUM(R353:R359)</f>
        <v>97.11</v>
      </c>
    </row>
    <row r="361" spans="1:29" ht="14.25" x14ac:dyDescent="0.2">
      <c r="A361" s="33"/>
      <c r="B361" s="33"/>
      <c r="C361" s="33" t="s">
        <v>724</v>
      </c>
      <c r="D361" s="35" t="s">
        <v>723</v>
      </c>
      <c r="E361" s="34">
        <f>Source!DO254</f>
        <v>107</v>
      </c>
      <c r="F361" s="37"/>
      <c r="G361" s="36"/>
      <c r="H361" s="34"/>
      <c r="I361" s="37">
        <f>SUM(S353:S360)</f>
        <v>2.25</v>
      </c>
      <c r="J361" s="34">
        <f>Source!CA254</f>
        <v>55</v>
      </c>
      <c r="K361" s="37">
        <f>SUM(T353:T360)</f>
        <v>39.86</v>
      </c>
    </row>
    <row r="362" spans="1:29" ht="14.25" x14ac:dyDescent="0.2">
      <c r="A362" s="33"/>
      <c r="B362" s="33"/>
      <c r="C362" s="33" t="s">
        <v>731</v>
      </c>
      <c r="D362" s="35" t="s">
        <v>723</v>
      </c>
      <c r="E362" s="34">
        <f>175</f>
        <v>175</v>
      </c>
      <c r="F362" s="37"/>
      <c r="G362" s="36"/>
      <c r="H362" s="34"/>
      <c r="I362" s="37">
        <f>SUM(U353:U361)</f>
        <v>3.29</v>
      </c>
      <c r="J362" s="34">
        <f>160</f>
        <v>160</v>
      </c>
      <c r="K362" s="37">
        <f>SUM(V353:V361)</f>
        <v>103.81</v>
      </c>
    </row>
    <row r="363" spans="1:29" ht="14.25" x14ac:dyDescent="0.2">
      <c r="A363" s="39"/>
      <c r="B363" s="39"/>
      <c r="C363" s="39" t="s">
        <v>725</v>
      </c>
      <c r="D363" s="40" t="s">
        <v>726</v>
      </c>
      <c r="E363" s="41">
        <f>Source!AQ253</f>
        <v>4.29</v>
      </c>
      <c r="F363" s="42"/>
      <c r="G363" s="43" t="str">
        <f>Source!DI253</f>
        <v>)*1,1</v>
      </c>
      <c r="H363" s="41">
        <f>Source!AV254</f>
        <v>1.0469999999999999</v>
      </c>
      <c r="I363" s="42">
        <f>Source!U253</f>
        <v>0.17292775500000002</v>
      </c>
      <c r="J363" s="41"/>
      <c r="K363" s="42"/>
    </row>
    <row r="364" spans="1:29" ht="15" x14ac:dyDescent="0.25">
      <c r="C364" s="23" t="s">
        <v>727</v>
      </c>
      <c r="H364" s="44">
        <f>I355+I356+I358+I360+I361+I362+SUM(I359:I359)</f>
        <v>138.5</v>
      </c>
      <c r="I364" s="44"/>
      <c r="J364" s="44">
        <f>K355+K356+K358+K360+K361+K362+SUM(K359:K359)</f>
        <v>2196.0299999999997</v>
      </c>
      <c r="K364" s="44"/>
      <c r="O364" s="45">
        <f>I355+I356+I358+I360+I361+I362+SUM(I359:I359)</f>
        <v>138.5</v>
      </c>
      <c r="P364" s="45">
        <f>K355+K356+K358+K360+K361+K362+SUM(K359:K359)</f>
        <v>2196.0299999999997</v>
      </c>
    </row>
    <row r="367" spans="1:29" ht="15" x14ac:dyDescent="0.25">
      <c r="A367" s="49" t="str">
        <f>CONCATENATE("Итого по подразделу: ",IF(Source!G258&lt;&gt;"Новый подраздел", Source!G258, ""))</f>
        <v>Итого по подразделу: Дорога</v>
      </c>
      <c r="B367" s="49"/>
      <c r="C367" s="49"/>
      <c r="D367" s="49"/>
      <c r="E367" s="49"/>
      <c r="F367" s="49"/>
      <c r="G367" s="49"/>
      <c r="H367" s="48">
        <f>SUM(O249:O366)</f>
        <v>548.18999999999994</v>
      </c>
      <c r="I367" s="47"/>
      <c r="J367" s="48">
        <f>SUM(P249:P366)</f>
        <v>8169.24</v>
      </c>
      <c r="K367" s="47"/>
    </row>
    <row r="368" spans="1:29" hidden="1" x14ac:dyDescent="0.2">
      <c r="A368" t="s">
        <v>743</v>
      </c>
      <c r="I368">
        <f>SUM(W249:W367)</f>
        <v>0</v>
      </c>
      <c r="J368">
        <f>SUM(X249:X367)</f>
        <v>0</v>
      </c>
    </row>
    <row r="369" spans="1:11" hidden="1" x14ac:dyDescent="0.2">
      <c r="A369" t="s">
        <v>744</v>
      </c>
      <c r="I369">
        <f>SUM(Y249:Y368)</f>
        <v>0</v>
      </c>
      <c r="J369">
        <f>SUM(Z249:Z368)</f>
        <v>0</v>
      </c>
    </row>
    <row r="371" spans="1:11" ht="16.5" x14ac:dyDescent="0.25">
      <c r="A371" s="32" t="str">
        <f>CONCATENATE("Подраздел: ",IF(Source!G349&lt;&gt;"Новый подраздел", Source!G349, ""))</f>
        <v>Подраздел: Тротуарная плитка</v>
      </c>
      <c r="B371" s="32"/>
      <c r="C371" s="32"/>
      <c r="D371" s="32"/>
      <c r="E371" s="32"/>
      <c r="F371" s="32"/>
      <c r="G371" s="32"/>
      <c r="H371" s="32"/>
      <c r="I371" s="32"/>
      <c r="J371" s="32"/>
      <c r="K371" s="32"/>
    </row>
    <row r="373" spans="1:11" ht="15" x14ac:dyDescent="0.25">
      <c r="A373" s="49" t="str">
        <f>CONCATENATE("Итого по подразделу: ",IF(Source!G380&lt;&gt;"Новый подраздел", Source!G380, ""))</f>
        <v>Итого по подразделу: Тротуарная плитка</v>
      </c>
      <c r="B373" s="49"/>
      <c r="C373" s="49"/>
      <c r="D373" s="49"/>
      <c r="E373" s="49"/>
      <c r="F373" s="49"/>
      <c r="G373" s="49"/>
      <c r="H373" s="48">
        <f>SUM(O371:O372)</f>
        <v>0</v>
      </c>
      <c r="I373" s="47"/>
      <c r="J373" s="48">
        <f>SUM(P371:P372)</f>
        <v>0</v>
      </c>
      <c r="K373" s="47"/>
    </row>
    <row r="374" spans="1:11" hidden="1" x14ac:dyDescent="0.2">
      <c r="A374" t="s">
        <v>743</v>
      </c>
      <c r="I374">
        <f>SUM(W371:W373)</f>
        <v>0</v>
      </c>
      <c r="J374">
        <f>SUM(X371:X373)</f>
        <v>0</v>
      </c>
    </row>
    <row r="375" spans="1:11" hidden="1" x14ac:dyDescent="0.2">
      <c r="A375" t="s">
        <v>744</v>
      </c>
      <c r="I375">
        <f>SUM(Y371:Y374)</f>
        <v>0</v>
      </c>
      <c r="J375">
        <f>SUM(Z371:Z374)</f>
        <v>0</v>
      </c>
    </row>
    <row r="377" spans="1:11" ht="15" x14ac:dyDescent="0.25">
      <c r="A377" s="49" t="str">
        <f>CONCATENATE("Итого по разделу: ",IF(Source!G410&lt;&gt;"Новый раздел", Source!G410, ""))</f>
        <v>Итого по разделу: Благоустройство</v>
      </c>
      <c r="B377" s="49"/>
      <c r="C377" s="49"/>
      <c r="D377" s="49"/>
      <c r="E377" s="49"/>
      <c r="F377" s="49"/>
      <c r="G377" s="49"/>
      <c r="H377" s="48">
        <f>SUM(O201:O376)</f>
        <v>782.18</v>
      </c>
      <c r="I377" s="47"/>
      <c r="J377" s="48">
        <f>SUM(P201:P376)</f>
        <v>11323.41</v>
      </c>
      <c r="K377" s="47"/>
    </row>
    <row r="378" spans="1:11" hidden="1" x14ac:dyDescent="0.2">
      <c r="A378" t="s">
        <v>743</v>
      </c>
      <c r="I378">
        <f>SUM(W201:W377)</f>
        <v>0</v>
      </c>
      <c r="J378">
        <f>SUM(X201:X377)</f>
        <v>0</v>
      </c>
    </row>
    <row r="379" spans="1:11" hidden="1" x14ac:dyDescent="0.2">
      <c r="A379" t="s">
        <v>744</v>
      </c>
      <c r="I379">
        <f>SUM(Y201:Y378)</f>
        <v>0</v>
      </c>
      <c r="J379">
        <f>SUM(Z201:Z378)</f>
        <v>0</v>
      </c>
    </row>
    <row r="381" spans="1:11" ht="15" x14ac:dyDescent="0.25">
      <c r="A381" s="49" t="str">
        <f>CONCATENATE("Итого по локальной смете: ",IF(Source!G440&lt;&gt;"Новая локальная смета", Source!G440, ""))</f>
        <v>Итого по локальной смете: Строительство КЛ 10 кВ</v>
      </c>
      <c r="B381" s="49"/>
      <c r="C381" s="49"/>
      <c r="D381" s="49"/>
      <c r="E381" s="49"/>
      <c r="F381" s="49"/>
      <c r="G381" s="49"/>
      <c r="H381" s="48">
        <f>SUM(O29:O380)</f>
        <v>7492.9800000000005</v>
      </c>
      <c r="I381" s="47"/>
      <c r="J381" s="48">
        <f>SUM(P29:P380)</f>
        <v>80649.55</v>
      </c>
      <c r="K381" s="47"/>
    </row>
    <row r="382" spans="1:11" hidden="1" x14ac:dyDescent="0.2">
      <c r="A382" t="s">
        <v>743</v>
      </c>
      <c r="I382">
        <f>SUM(W29:W381)</f>
        <v>0</v>
      </c>
      <c r="J382">
        <f>SUM(X29:X381)</f>
        <v>0</v>
      </c>
    </row>
    <row r="383" spans="1:11" hidden="1" x14ac:dyDescent="0.2">
      <c r="A383" t="s">
        <v>744</v>
      </c>
      <c r="I383">
        <f>SUM(Y29:Y382)</f>
        <v>0</v>
      </c>
      <c r="J383">
        <f>SUM(Z29:Z382)</f>
        <v>0</v>
      </c>
    </row>
    <row r="385" spans="1:11" hidden="1" x14ac:dyDescent="0.2">
      <c r="A385" t="s">
        <v>743</v>
      </c>
      <c r="I385">
        <f>SUM(W1:W384)</f>
        <v>0</v>
      </c>
      <c r="J385">
        <f>SUM(X1:X384)</f>
        <v>0</v>
      </c>
    </row>
    <row r="386" spans="1:11" hidden="1" x14ac:dyDescent="0.2">
      <c r="A386" t="s">
        <v>744</v>
      </c>
      <c r="I386">
        <f>SUM(Y1:Y385)</f>
        <v>0</v>
      </c>
      <c r="J386">
        <f>SUM(Z1:Z385)</f>
        <v>0</v>
      </c>
    </row>
    <row r="389" spans="1:11" ht="14.25" x14ac:dyDescent="0.2">
      <c r="A389" s="53" t="s">
        <v>766</v>
      </c>
      <c r="B389" s="53"/>
      <c r="C389" s="54" t="str">
        <f>IF(Source!AC12&lt;&gt;"", Source!AC12," ")</f>
        <v xml:space="preserve"> </v>
      </c>
      <c r="D389" s="54"/>
      <c r="E389" s="54"/>
      <c r="F389" s="54"/>
      <c r="G389" s="54"/>
      <c r="H389" s="24" t="str">
        <f>IF(Source!AB12&lt;&gt;"", Source!AB12," ")</f>
        <v xml:space="preserve"> </v>
      </c>
      <c r="I389" s="24"/>
      <c r="J389" s="24"/>
      <c r="K389" s="24"/>
    </row>
    <row r="390" spans="1:11" ht="14.25" x14ac:dyDescent="0.2">
      <c r="A390" s="11"/>
      <c r="B390" s="11"/>
      <c r="C390" s="13" t="s">
        <v>767</v>
      </c>
      <c r="D390" s="13"/>
      <c r="E390" s="13"/>
      <c r="F390" s="13"/>
      <c r="G390" s="13"/>
      <c r="H390" s="11"/>
      <c r="I390" s="11"/>
      <c r="J390" s="11"/>
      <c r="K390" s="11"/>
    </row>
    <row r="391" spans="1:11" ht="14.25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 spans="1:11" ht="14.25" x14ac:dyDescent="0.2">
      <c r="A392" s="53" t="s">
        <v>768</v>
      </c>
      <c r="B392" s="53"/>
      <c r="C392" s="54" t="str">
        <f>IF(Source!AE12&lt;&gt;"", Source!AE12," ")</f>
        <v xml:space="preserve"> </v>
      </c>
      <c r="D392" s="54"/>
      <c r="E392" s="54"/>
      <c r="F392" s="54"/>
      <c r="G392" s="54"/>
      <c r="H392" s="24" t="str">
        <f>IF(Source!AD12&lt;&gt;"", Source!AD12," ")</f>
        <v xml:space="preserve"> </v>
      </c>
      <c r="I392" s="24"/>
      <c r="J392" s="24"/>
      <c r="K392" s="24"/>
    </row>
    <row r="393" spans="1:11" ht="14.25" x14ac:dyDescent="0.2">
      <c r="A393" s="11"/>
      <c r="B393" s="11"/>
      <c r="C393" s="13" t="s">
        <v>767</v>
      </c>
      <c r="D393" s="13"/>
      <c r="E393" s="13"/>
      <c r="F393" s="13"/>
      <c r="G393" s="13"/>
      <c r="H393" s="11"/>
      <c r="I393" s="11"/>
      <c r="J393" s="11"/>
      <c r="K393" s="11"/>
    </row>
  </sheetData>
  <mergeCells count="115">
    <mergeCell ref="A389:B389"/>
    <mergeCell ref="H389:K389"/>
    <mergeCell ref="C390:G390"/>
    <mergeCell ref="A392:B392"/>
    <mergeCell ref="H392:K392"/>
    <mergeCell ref="C393:G393"/>
    <mergeCell ref="J381:K381"/>
    <mergeCell ref="H381:I381"/>
    <mergeCell ref="A381:G381"/>
    <mergeCell ref="J373:K373"/>
    <mergeCell ref="H373:I373"/>
    <mergeCell ref="A373:G373"/>
    <mergeCell ref="J377:K377"/>
    <mergeCell ref="H377:I377"/>
    <mergeCell ref="A377:G377"/>
    <mergeCell ref="A367:G367"/>
    <mergeCell ref="A371:K371"/>
    <mergeCell ref="H351:I351"/>
    <mergeCell ref="J351:K351"/>
    <mergeCell ref="H364:I364"/>
    <mergeCell ref="J364:K364"/>
    <mergeCell ref="J367:K367"/>
    <mergeCell ref="H367:I367"/>
    <mergeCell ref="H313:I313"/>
    <mergeCell ref="J313:K313"/>
    <mergeCell ref="H326:I326"/>
    <mergeCell ref="J326:K326"/>
    <mergeCell ref="H339:I339"/>
    <mergeCell ref="J339:K339"/>
    <mergeCell ref="H277:I277"/>
    <mergeCell ref="J277:K277"/>
    <mergeCell ref="H290:I290"/>
    <mergeCell ref="J290:K290"/>
    <mergeCell ref="H303:I303"/>
    <mergeCell ref="J303:K303"/>
    <mergeCell ref="A245:G245"/>
    <mergeCell ref="A249:K249"/>
    <mergeCell ref="H259:I259"/>
    <mergeCell ref="J259:K259"/>
    <mergeCell ref="H270:I270"/>
    <mergeCell ref="J270:K270"/>
    <mergeCell ref="H232:I232"/>
    <mergeCell ref="J232:K232"/>
    <mergeCell ref="H242:I242"/>
    <mergeCell ref="J242:K242"/>
    <mergeCell ref="J245:K245"/>
    <mergeCell ref="H245:I245"/>
    <mergeCell ref="A197:G197"/>
    <mergeCell ref="A201:K201"/>
    <mergeCell ref="A203:K203"/>
    <mergeCell ref="H214:I214"/>
    <mergeCell ref="J214:K214"/>
    <mergeCell ref="H223:I223"/>
    <mergeCell ref="J223:K223"/>
    <mergeCell ref="H190:I190"/>
    <mergeCell ref="J190:K190"/>
    <mergeCell ref="H194:I194"/>
    <mergeCell ref="J194:K194"/>
    <mergeCell ref="J197:K197"/>
    <mergeCell ref="H197:I197"/>
    <mergeCell ref="H162:I162"/>
    <mergeCell ref="J162:K162"/>
    <mergeCell ref="H166:I166"/>
    <mergeCell ref="J166:K166"/>
    <mergeCell ref="H178:I178"/>
    <mergeCell ref="J178:K178"/>
    <mergeCell ref="J135:K135"/>
    <mergeCell ref="H135:I135"/>
    <mergeCell ref="A135:G135"/>
    <mergeCell ref="A139:K139"/>
    <mergeCell ref="H150:I150"/>
    <mergeCell ref="J150:K150"/>
    <mergeCell ref="H126:I126"/>
    <mergeCell ref="J126:K126"/>
    <mergeCell ref="H129:I129"/>
    <mergeCell ref="J129:K129"/>
    <mergeCell ref="H132:I132"/>
    <mergeCell ref="J132:K132"/>
    <mergeCell ref="H101:I101"/>
    <mergeCell ref="J101:K101"/>
    <mergeCell ref="H112:I112"/>
    <mergeCell ref="J112:K112"/>
    <mergeCell ref="H123:I123"/>
    <mergeCell ref="J123:K123"/>
    <mergeCell ref="H68:I68"/>
    <mergeCell ref="J68:K68"/>
    <mergeCell ref="H79:I79"/>
    <mergeCell ref="J79:K79"/>
    <mergeCell ref="H90:I90"/>
    <mergeCell ref="J90:K90"/>
    <mergeCell ref="A31:K31"/>
    <mergeCell ref="H38:I38"/>
    <mergeCell ref="J38:K38"/>
    <mergeCell ref="H49:I49"/>
    <mergeCell ref="J49:K49"/>
    <mergeCell ref="H60:I60"/>
    <mergeCell ref="J60:K60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3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11E4-5201-4012-BCEF-42085A793AF5}">
  <dimension ref="A1:IU511"/>
  <sheetViews>
    <sheetView workbookViewId="0">
      <selection activeCell="A507" sqref="A507:AX507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33" x14ac:dyDescent="0.2">
      <c r="A12" s="1">
        <v>1</v>
      </c>
      <c r="B12" s="1">
        <v>505</v>
      </c>
      <c r="C12" s="1">
        <v>1</v>
      </c>
      <c r="D12" s="1">
        <f>ROW(A470)</f>
        <v>470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2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78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B470</f>
        <v>505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02-01-02 КЛ - 10 кВ труба</v>
      </c>
      <c r="G18" s="3" t="str">
        <f t="shared" si="0"/>
        <v>02-01-02 Строительство КЛ - 10 кВ труба</v>
      </c>
      <c r="H18" s="3"/>
      <c r="I18" s="3"/>
      <c r="J18" s="3"/>
      <c r="K18" s="3"/>
      <c r="L18" s="3"/>
      <c r="M18" s="3"/>
      <c r="N18" s="3"/>
      <c r="O18" s="3">
        <f t="shared" ref="O18:AT18" si="1">O470</f>
        <v>6716.69</v>
      </c>
      <c r="P18" s="3">
        <f t="shared" si="1"/>
        <v>6119.78</v>
      </c>
      <c r="Q18" s="3">
        <f t="shared" si="1"/>
        <v>208.78</v>
      </c>
      <c r="R18" s="3">
        <f t="shared" si="1"/>
        <v>21.52</v>
      </c>
      <c r="S18" s="3">
        <f t="shared" si="1"/>
        <v>388.13</v>
      </c>
      <c r="T18" s="3">
        <f t="shared" si="1"/>
        <v>0</v>
      </c>
      <c r="U18" s="3">
        <f t="shared" si="1"/>
        <v>30.849684533800005</v>
      </c>
      <c r="V18" s="3">
        <f t="shared" si="1"/>
        <v>0</v>
      </c>
      <c r="W18" s="3">
        <f t="shared" si="1"/>
        <v>0</v>
      </c>
      <c r="X18" s="3">
        <f t="shared" si="1"/>
        <v>454.35</v>
      </c>
      <c r="Y18" s="3">
        <f t="shared" si="1"/>
        <v>284.26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7492.98</v>
      </c>
      <c r="AS18" s="3">
        <f t="shared" si="1"/>
        <v>2201.37</v>
      </c>
      <c r="AT18" s="3">
        <f t="shared" si="1"/>
        <v>5291.61</v>
      </c>
      <c r="AU18" s="3">
        <f t="shared" ref="AU18:BZ18" si="2">AU470</f>
        <v>0</v>
      </c>
      <c r="AV18" s="3">
        <f t="shared" si="2"/>
        <v>6119.78</v>
      </c>
      <c r="AW18" s="3">
        <f t="shared" si="2"/>
        <v>6119.78</v>
      </c>
      <c r="AX18" s="3">
        <f t="shared" si="2"/>
        <v>0</v>
      </c>
      <c r="AY18" s="3">
        <f t="shared" si="2"/>
        <v>6119.78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CA470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DG470</f>
        <v>61182.12</v>
      </c>
      <c r="DH18" s="4">
        <f t="shared" si="4"/>
        <v>45580.11</v>
      </c>
      <c r="DI18" s="4">
        <f t="shared" si="4"/>
        <v>2207.63</v>
      </c>
      <c r="DJ18" s="4">
        <f t="shared" si="4"/>
        <v>742.67</v>
      </c>
      <c r="DK18" s="4">
        <f t="shared" si="4"/>
        <v>13394.38</v>
      </c>
      <c r="DL18" s="4">
        <f t="shared" si="4"/>
        <v>0</v>
      </c>
      <c r="DM18" s="4">
        <f t="shared" si="4"/>
        <v>30.849684533800005</v>
      </c>
      <c r="DN18" s="4">
        <f t="shared" si="4"/>
        <v>0</v>
      </c>
      <c r="DO18" s="4">
        <f t="shared" si="4"/>
        <v>0</v>
      </c>
      <c r="DP18" s="4">
        <f t="shared" si="4"/>
        <v>12471.38</v>
      </c>
      <c r="DQ18" s="4">
        <f t="shared" si="4"/>
        <v>5807.76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80649.55</v>
      </c>
      <c r="EK18" s="4">
        <f t="shared" si="4"/>
        <v>27809.02</v>
      </c>
      <c r="EL18" s="4">
        <f t="shared" si="4"/>
        <v>52840.53</v>
      </c>
      <c r="EM18" s="4">
        <f t="shared" ref="EM18:FR18" si="5">EM470</f>
        <v>0</v>
      </c>
      <c r="EN18" s="4">
        <f t="shared" si="5"/>
        <v>45580.11</v>
      </c>
      <c r="EO18" s="4">
        <f t="shared" si="5"/>
        <v>45580.11</v>
      </c>
      <c r="EP18" s="4">
        <f t="shared" si="5"/>
        <v>0</v>
      </c>
      <c r="EQ18" s="4">
        <f t="shared" si="5"/>
        <v>45580.11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FS470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ROW(A440)</f>
        <v>440</v>
      </c>
      <c r="E20" s="1"/>
      <c r="F20" s="1" t="s">
        <v>13</v>
      </c>
      <c r="G20" s="1" t="s">
        <v>14</v>
      </c>
      <c r="H20" s="1" t="s">
        <v>3</v>
      </c>
      <c r="I20" s="1">
        <v>0</v>
      </c>
      <c r="J20" s="1" t="s">
        <v>3</v>
      </c>
      <c r="K20" s="1">
        <v>-1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B440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Новая локальная смета</v>
      </c>
      <c r="G22" s="3" t="str">
        <f t="shared" si="7"/>
        <v>Строительство КЛ 10 кВ</v>
      </c>
      <c r="H22" s="3"/>
      <c r="I22" s="3"/>
      <c r="J22" s="3"/>
      <c r="K22" s="3"/>
      <c r="L22" s="3"/>
      <c r="M22" s="3"/>
      <c r="N22" s="3"/>
      <c r="O22" s="3">
        <f t="shared" ref="O22:AT22" si="8">O440</f>
        <v>6716.69</v>
      </c>
      <c r="P22" s="3">
        <f t="shared" si="8"/>
        <v>6119.78</v>
      </c>
      <c r="Q22" s="3">
        <f t="shared" si="8"/>
        <v>208.78</v>
      </c>
      <c r="R22" s="3">
        <f t="shared" si="8"/>
        <v>21.52</v>
      </c>
      <c r="S22" s="3">
        <f t="shared" si="8"/>
        <v>388.13</v>
      </c>
      <c r="T22" s="3">
        <f t="shared" si="8"/>
        <v>0</v>
      </c>
      <c r="U22" s="3">
        <f t="shared" si="8"/>
        <v>30.849684533800005</v>
      </c>
      <c r="V22" s="3">
        <f t="shared" si="8"/>
        <v>0</v>
      </c>
      <c r="W22" s="3">
        <f t="shared" si="8"/>
        <v>0</v>
      </c>
      <c r="X22" s="3">
        <f t="shared" si="8"/>
        <v>454.35</v>
      </c>
      <c r="Y22" s="3">
        <f t="shared" si="8"/>
        <v>284.26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7492.98</v>
      </c>
      <c r="AS22" s="3">
        <f t="shared" si="8"/>
        <v>2201.37</v>
      </c>
      <c r="AT22" s="3">
        <f t="shared" si="8"/>
        <v>5291.61</v>
      </c>
      <c r="AU22" s="3">
        <f t="shared" ref="AU22:BZ22" si="9">AU440</f>
        <v>0</v>
      </c>
      <c r="AV22" s="3">
        <f t="shared" si="9"/>
        <v>6119.78</v>
      </c>
      <c r="AW22" s="3">
        <f t="shared" si="9"/>
        <v>6119.78</v>
      </c>
      <c r="AX22" s="3">
        <f t="shared" si="9"/>
        <v>0</v>
      </c>
      <c r="AY22" s="3">
        <f t="shared" si="9"/>
        <v>6119.78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CA440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DG440</f>
        <v>61182.12</v>
      </c>
      <c r="DH22" s="4">
        <f t="shared" si="11"/>
        <v>45580.11</v>
      </c>
      <c r="DI22" s="4">
        <f t="shared" si="11"/>
        <v>2207.63</v>
      </c>
      <c r="DJ22" s="4">
        <f t="shared" si="11"/>
        <v>742.67</v>
      </c>
      <c r="DK22" s="4">
        <f t="shared" si="11"/>
        <v>13394.38</v>
      </c>
      <c r="DL22" s="4">
        <f t="shared" si="11"/>
        <v>0</v>
      </c>
      <c r="DM22" s="4">
        <f t="shared" si="11"/>
        <v>30.849684533800005</v>
      </c>
      <c r="DN22" s="4">
        <f t="shared" si="11"/>
        <v>0</v>
      </c>
      <c r="DO22" s="4">
        <f t="shared" si="11"/>
        <v>0</v>
      </c>
      <c r="DP22" s="4">
        <f t="shared" si="11"/>
        <v>12471.38</v>
      </c>
      <c r="DQ22" s="4">
        <f t="shared" si="11"/>
        <v>5807.76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80649.55</v>
      </c>
      <c r="EK22" s="4">
        <f t="shared" si="11"/>
        <v>27809.02</v>
      </c>
      <c r="EL22" s="4">
        <f t="shared" si="11"/>
        <v>52840.53</v>
      </c>
      <c r="EM22" s="4">
        <f t="shared" ref="EM22:FR22" si="12">EM440</f>
        <v>0</v>
      </c>
      <c r="EN22" s="4">
        <f t="shared" si="12"/>
        <v>45580.11</v>
      </c>
      <c r="EO22" s="4">
        <f t="shared" si="12"/>
        <v>45580.11</v>
      </c>
      <c r="EP22" s="4">
        <f t="shared" si="12"/>
        <v>0</v>
      </c>
      <c r="EQ22" s="4">
        <f t="shared" si="12"/>
        <v>45580.11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FS440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ROW(A63)</f>
        <v>63</v>
      </c>
      <c r="E24" s="1"/>
      <c r="F24" s="1" t="s">
        <v>15</v>
      </c>
      <c r="G24" s="1" t="s">
        <v>16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B63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Земляные работы</v>
      </c>
      <c r="H26" s="3"/>
      <c r="I26" s="3"/>
      <c r="J26" s="3"/>
      <c r="K26" s="3"/>
      <c r="L26" s="3"/>
      <c r="M26" s="3"/>
      <c r="N26" s="3"/>
      <c r="O26" s="3">
        <f t="shared" ref="O26:AT26" si="15">O63</f>
        <v>1324.18</v>
      </c>
      <c r="P26" s="3">
        <f t="shared" si="15"/>
        <v>1235.24</v>
      </c>
      <c r="Q26" s="3">
        <f t="shared" si="15"/>
        <v>40.6</v>
      </c>
      <c r="R26" s="3">
        <f t="shared" si="15"/>
        <v>4.05</v>
      </c>
      <c r="S26" s="3">
        <f t="shared" si="15"/>
        <v>48.34</v>
      </c>
      <c r="T26" s="3">
        <f t="shared" si="15"/>
        <v>0</v>
      </c>
      <c r="U26" s="3">
        <f t="shared" si="15"/>
        <v>4.5858407108800012</v>
      </c>
      <c r="V26" s="3">
        <f t="shared" si="15"/>
        <v>0</v>
      </c>
      <c r="W26" s="3">
        <f t="shared" si="15"/>
        <v>0</v>
      </c>
      <c r="X26" s="3">
        <f t="shared" si="15"/>
        <v>52</v>
      </c>
      <c r="Y26" s="3">
        <f t="shared" si="15"/>
        <v>35.92</v>
      </c>
      <c r="Z26" s="3">
        <f t="shared" si="15"/>
        <v>0</v>
      </c>
      <c r="AA26" s="3">
        <f t="shared" si="15"/>
        <v>0</v>
      </c>
      <c r="AB26" s="3">
        <f t="shared" si="15"/>
        <v>1324.18</v>
      </c>
      <c r="AC26" s="3">
        <f t="shared" si="15"/>
        <v>1235.24</v>
      </c>
      <c r="AD26" s="3">
        <f t="shared" si="15"/>
        <v>40.6</v>
      </c>
      <c r="AE26" s="3">
        <f t="shared" si="15"/>
        <v>4.05</v>
      </c>
      <c r="AF26" s="3">
        <f t="shared" si="15"/>
        <v>48.34</v>
      </c>
      <c r="AG26" s="3">
        <f t="shared" si="15"/>
        <v>0</v>
      </c>
      <c r="AH26" s="3">
        <f t="shared" si="15"/>
        <v>4.5858407108800012</v>
      </c>
      <c r="AI26" s="3">
        <f t="shared" si="15"/>
        <v>0</v>
      </c>
      <c r="AJ26" s="3">
        <f t="shared" si="15"/>
        <v>0</v>
      </c>
      <c r="AK26" s="3">
        <f t="shared" si="15"/>
        <v>52</v>
      </c>
      <c r="AL26" s="3">
        <f t="shared" si="15"/>
        <v>35.92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1419.19</v>
      </c>
      <c r="AS26" s="3">
        <f t="shared" si="15"/>
        <v>1419.19</v>
      </c>
      <c r="AT26" s="3">
        <f t="shared" si="15"/>
        <v>0</v>
      </c>
      <c r="AU26" s="3">
        <f t="shared" ref="AU26:BZ26" si="16">AU63</f>
        <v>0</v>
      </c>
      <c r="AV26" s="3">
        <f t="shared" si="16"/>
        <v>1235.24</v>
      </c>
      <c r="AW26" s="3">
        <f t="shared" si="16"/>
        <v>1235.24</v>
      </c>
      <c r="AX26" s="3">
        <f t="shared" si="16"/>
        <v>0</v>
      </c>
      <c r="AY26" s="3">
        <f t="shared" si="16"/>
        <v>1235.24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CA63</f>
        <v>1419.19</v>
      </c>
      <c r="CB26" s="3">
        <f t="shared" si="17"/>
        <v>1419.19</v>
      </c>
      <c r="CC26" s="3">
        <f t="shared" si="17"/>
        <v>0</v>
      </c>
      <c r="CD26" s="3">
        <f t="shared" si="17"/>
        <v>0</v>
      </c>
      <c r="CE26" s="3">
        <f t="shared" si="17"/>
        <v>1235.24</v>
      </c>
      <c r="CF26" s="3">
        <f t="shared" si="17"/>
        <v>1235.24</v>
      </c>
      <c r="CG26" s="3">
        <f t="shared" si="17"/>
        <v>0</v>
      </c>
      <c r="CH26" s="3">
        <f t="shared" si="17"/>
        <v>1235.24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DG63</f>
        <v>14091.45</v>
      </c>
      <c r="DH26" s="4">
        <f t="shared" si="18"/>
        <v>11930.88</v>
      </c>
      <c r="DI26" s="4">
        <f t="shared" si="18"/>
        <v>492.35</v>
      </c>
      <c r="DJ26" s="4">
        <f t="shared" si="18"/>
        <v>139.77000000000001</v>
      </c>
      <c r="DK26" s="4">
        <f t="shared" si="18"/>
        <v>1668.22</v>
      </c>
      <c r="DL26" s="4">
        <f t="shared" si="18"/>
        <v>0</v>
      </c>
      <c r="DM26" s="4">
        <f t="shared" si="18"/>
        <v>4.5858407108800012</v>
      </c>
      <c r="DN26" s="4">
        <f t="shared" si="18"/>
        <v>0</v>
      </c>
      <c r="DO26" s="4">
        <f t="shared" si="18"/>
        <v>0</v>
      </c>
      <c r="DP26" s="4">
        <f t="shared" si="18"/>
        <v>1484.58</v>
      </c>
      <c r="DQ26" s="4">
        <f t="shared" si="18"/>
        <v>685.96</v>
      </c>
      <c r="DR26" s="4">
        <f t="shared" si="18"/>
        <v>0</v>
      </c>
      <c r="DS26" s="4">
        <f t="shared" si="18"/>
        <v>0</v>
      </c>
      <c r="DT26" s="4">
        <f t="shared" si="18"/>
        <v>14091.45</v>
      </c>
      <c r="DU26" s="4">
        <f t="shared" si="18"/>
        <v>11930.88</v>
      </c>
      <c r="DV26" s="4">
        <f t="shared" si="18"/>
        <v>492.35</v>
      </c>
      <c r="DW26" s="4">
        <f t="shared" si="18"/>
        <v>139.77000000000001</v>
      </c>
      <c r="DX26" s="4">
        <f t="shared" si="18"/>
        <v>1668.22</v>
      </c>
      <c r="DY26" s="4">
        <f t="shared" si="18"/>
        <v>0</v>
      </c>
      <c r="DZ26" s="4">
        <f t="shared" si="18"/>
        <v>4.5858407108800012</v>
      </c>
      <c r="EA26" s="4">
        <f t="shared" si="18"/>
        <v>0</v>
      </c>
      <c r="EB26" s="4">
        <f t="shared" si="18"/>
        <v>0</v>
      </c>
      <c r="EC26" s="4">
        <f t="shared" si="18"/>
        <v>1484.58</v>
      </c>
      <c r="ED26" s="4">
        <f t="shared" si="18"/>
        <v>685.96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16485.61</v>
      </c>
      <c r="EK26" s="4">
        <f t="shared" si="18"/>
        <v>16485.61</v>
      </c>
      <c r="EL26" s="4">
        <f t="shared" si="18"/>
        <v>0</v>
      </c>
      <c r="EM26" s="4">
        <f t="shared" ref="EM26:FR26" si="19">EM63</f>
        <v>0</v>
      </c>
      <c r="EN26" s="4">
        <f t="shared" si="19"/>
        <v>11930.88</v>
      </c>
      <c r="EO26" s="4">
        <f t="shared" si="19"/>
        <v>11930.88</v>
      </c>
      <c r="EP26" s="4">
        <f t="shared" si="19"/>
        <v>0</v>
      </c>
      <c r="EQ26" s="4">
        <f t="shared" si="19"/>
        <v>11930.88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FS63</f>
        <v>16485.61</v>
      </c>
      <c r="FT26" s="4">
        <f t="shared" si="20"/>
        <v>16485.61</v>
      </c>
      <c r="FU26" s="4">
        <f t="shared" si="20"/>
        <v>0</v>
      </c>
      <c r="FV26" s="4">
        <f t="shared" si="20"/>
        <v>0</v>
      </c>
      <c r="FW26" s="4">
        <f t="shared" si="20"/>
        <v>11930.88</v>
      </c>
      <c r="FX26" s="4">
        <f t="shared" si="20"/>
        <v>11930.88</v>
      </c>
      <c r="FY26" s="4">
        <f t="shared" si="20"/>
        <v>0</v>
      </c>
      <c r="FZ26" s="4">
        <f t="shared" si="20"/>
        <v>11930.88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17</v>
      </c>
      <c r="F28" s="2" t="s">
        <v>18</v>
      </c>
      <c r="G28" s="2" t="s">
        <v>19</v>
      </c>
      <c r="H28" s="2" t="s">
        <v>20</v>
      </c>
      <c r="I28" s="2">
        <f>ROUND(0.786/100,9)</f>
        <v>7.8600000000000007E-3</v>
      </c>
      <c r="J28" s="2">
        <v>0</v>
      </c>
      <c r="K28" s="2">
        <f>ROUND(0.786/100,9)</f>
        <v>7.8600000000000007E-3</v>
      </c>
      <c r="L28" s="2"/>
      <c r="M28" s="2"/>
      <c r="N28" s="2"/>
      <c r="O28" s="2">
        <f t="shared" ref="O28:O61" si="21">ROUND(CP28,2)</f>
        <v>22.04</v>
      </c>
      <c r="P28" s="2">
        <f t="shared" ref="P28:P61" si="22">ROUND((ROUND((AC28*AW28*I28),2)*BC28),2)</f>
        <v>0</v>
      </c>
      <c r="Q28" s="2">
        <f t="shared" ref="Q28:Q35" si="23">(ROUND((ROUND((((ET28*1.1))*AV28*I28),2)*BB28),2)+ROUND((ROUND(((AE28-((EU28*1.1)))*AV28*I28),2)*BS28),2))</f>
        <v>0</v>
      </c>
      <c r="R28" s="2">
        <f t="shared" ref="R28:R61" si="24">ROUND((ROUND((AE28*AV28*I28),2)*BS28),2)</f>
        <v>0</v>
      </c>
      <c r="S28" s="2">
        <f t="shared" ref="S28:S61" si="25">ROUND((ROUND((AF28*AV28*I28),2)*BA28),2)</f>
        <v>22.04</v>
      </c>
      <c r="T28" s="2">
        <f t="shared" ref="T28:T61" si="26">ROUND(CU28*I28,2)</f>
        <v>0</v>
      </c>
      <c r="U28" s="2">
        <f t="shared" ref="U28:U61" si="27">CV28*I28</f>
        <v>2.0792730816000002</v>
      </c>
      <c r="V28" s="2">
        <f t="shared" ref="V28:V61" si="28">CW28*I28</f>
        <v>0</v>
      </c>
      <c r="W28" s="2">
        <f t="shared" ref="W28:W61" si="29">ROUND(CX28*I28,2)</f>
        <v>0</v>
      </c>
      <c r="X28" s="2">
        <f t="shared" ref="X28:X61" si="30">ROUND(CY28,2)</f>
        <v>23.14</v>
      </c>
      <c r="Y28" s="2">
        <f t="shared" ref="Y28:Y61" si="31">ROUND(CZ28,2)</f>
        <v>16.97</v>
      </c>
      <c r="Z28" s="2"/>
      <c r="AA28" s="2">
        <v>56622523</v>
      </c>
      <c r="AB28" s="2">
        <f t="shared" ref="AB28:AB61" si="32">ROUND((AC28+AD28+AF28),6)</f>
        <v>2246.8820000000001</v>
      </c>
      <c r="AC28" s="2">
        <f t="shared" ref="AC28:AC35" si="33">ROUND((ES28),6)</f>
        <v>0</v>
      </c>
      <c r="AD28" s="2">
        <f t="shared" ref="AD28:AD35" si="34">ROUND(((((ET28*1.1))-((EU28*1.1)))+AE28),6)</f>
        <v>0</v>
      </c>
      <c r="AE28" s="2">
        <f t="shared" ref="AE28:AF35" si="35">ROUND(((EU28*1.1)),6)</f>
        <v>0</v>
      </c>
      <c r="AF28" s="2">
        <f t="shared" si="35"/>
        <v>2246.8820000000001</v>
      </c>
      <c r="AG28" s="2">
        <f t="shared" ref="AG28:AG61" si="36">ROUND((AP28),6)</f>
        <v>0</v>
      </c>
      <c r="AH28" s="2">
        <f t="shared" ref="AH28:AI35" si="37">((EW28*1.1))</f>
        <v>211.97</v>
      </c>
      <c r="AI28" s="2">
        <f t="shared" si="37"/>
        <v>0</v>
      </c>
      <c r="AJ28" s="2">
        <f t="shared" ref="AJ28:AJ61" si="38">(AS28)</f>
        <v>0</v>
      </c>
      <c r="AK28" s="2">
        <v>2042.62</v>
      </c>
      <c r="AL28" s="2">
        <v>0</v>
      </c>
      <c r="AM28" s="2">
        <v>0</v>
      </c>
      <c r="AN28" s="2">
        <v>0</v>
      </c>
      <c r="AO28" s="2">
        <v>2042.62</v>
      </c>
      <c r="AP28" s="2">
        <v>0</v>
      </c>
      <c r="AQ28" s="2">
        <v>192.7</v>
      </c>
      <c r="AR28" s="2">
        <v>0</v>
      </c>
      <c r="AS28" s="2">
        <v>0</v>
      </c>
      <c r="AT28" s="2">
        <v>105</v>
      </c>
      <c r="AU28" s="2">
        <v>77</v>
      </c>
      <c r="AV28" s="2">
        <v>1.248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21</v>
      </c>
      <c r="BK28" s="2"/>
      <c r="BL28" s="2"/>
      <c r="BM28" s="2">
        <v>16</v>
      </c>
      <c r="BN28" s="2">
        <v>0</v>
      </c>
      <c r="BO28" s="2" t="s">
        <v>3</v>
      </c>
      <c r="BP28" s="2">
        <v>0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105</v>
      </c>
      <c r="CA28" s="2">
        <v>77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689</v>
      </c>
      <c r="CO28" s="2">
        <v>0</v>
      </c>
      <c r="CP28" s="2">
        <f t="shared" ref="CP28:CP61" si="39">(P28+Q28+S28)</f>
        <v>22.04</v>
      </c>
      <c r="CQ28" s="2">
        <f t="shared" ref="CQ28:CQ61" si="40">ROUND((ROUND((AC28*AW28*1),2)*BC28),2)</f>
        <v>0</v>
      </c>
      <c r="CR28" s="2">
        <f t="shared" ref="CR28:CR35" si="41">(ROUND((ROUND((((ET28*1.1))*AV28*1),2)*BB28),2)+ROUND((ROUND(((AE28-((EU28*1.1)))*AV28*1),2)*BS28),2))</f>
        <v>0</v>
      </c>
      <c r="CS28" s="2">
        <f t="shared" ref="CS28:CS61" si="42">ROUND((ROUND((AE28*AV28*1),2)*BS28),2)</f>
        <v>0</v>
      </c>
      <c r="CT28" s="2">
        <f t="shared" ref="CT28:CT61" si="43">ROUND((ROUND((AF28*AV28*1),2)*BA28),2)</f>
        <v>2804.11</v>
      </c>
      <c r="CU28" s="2">
        <f t="shared" ref="CU28:CU61" si="44">AG28</f>
        <v>0</v>
      </c>
      <c r="CV28" s="2">
        <f t="shared" ref="CV28:CV61" si="45">(AH28*AV28)</f>
        <v>264.53856000000002</v>
      </c>
      <c r="CW28" s="2">
        <f t="shared" ref="CW28:CW61" si="46">AI28</f>
        <v>0</v>
      </c>
      <c r="CX28" s="2">
        <f t="shared" ref="CX28:CX61" si="47">AJ28</f>
        <v>0</v>
      </c>
      <c r="CY28" s="2">
        <f>((S28*BZ28)/100)</f>
        <v>23.141999999999999</v>
      </c>
      <c r="CZ28" s="2">
        <f>((S28*CA28)/100)</f>
        <v>16.970800000000001</v>
      </c>
      <c r="DA28" s="2"/>
      <c r="DB28" s="2"/>
      <c r="DC28" s="2" t="s">
        <v>3</v>
      </c>
      <c r="DD28" s="2" t="s">
        <v>3</v>
      </c>
      <c r="DE28" s="2" t="s">
        <v>22</v>
      </c>
      <c r="DF28" s="2" t="s">
        <v>22</v>
      </c>
      <c r="DG28" s="2" t="s">
        <v>22</v>
      </c>
      <c r="DH28" s="2" t="s">
        <v>3</v>
      </c>
      <c r="DI28" s="2" t="s">
        <v>22</v>
      </c>
      <c r="DJ28" s="2" t="s">
        <v>22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20</v>
      </c>
      <c r="DW28" s="2" t="s">
        <v>20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51696099</v>
      </c>
      <c r="EF28" s="2">
        <v>30</v>
      </c>
      <c r="EG28" s="2" t="s">
        <v>23</v>
      </c>
      <c r="EH28" s="2">
        <v>0</v>
      </c>
      <c r="EI28" s="2" t="s">
        <v>3</v>
      </c>
      <c r="EJ28" s="2">
        <v>1</v>
      </c>
      <c r="EK28" s="2">
        <v>16</v>
      </c>
      <c r="EL28" s="2" t="s">
        <v>24</v>
      </c>
      <c r="EM28" s="2" t="s">
        <v>25</v>
      </c>
      <c r="EN28" s="2"/>
      <c r="EO28" s="2" t="s">
        <v>26</v>
      </c>
      <c r="EP28" s="2"/>
      <c r="EQ28" s="2">
        <v>131072</v>
      </c>
      <c r="ER28" s="2">
        <v>2042.62</v>
      </c>
      <c r="ES28" s="2">
        <v>0</v>
      </c>
      <c r="ET28" s="2">
        <v>0</v>
      </c>
      <c r="EU28" s="2">
        <v>0</v>
      </c>
      <c r="EV28" s="2">
        <v>2042.62</v>
      </c>
      <c r="EW28" s="2">
        <v>192.7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105</v>
      </c>
      <c r="FY28" s="2">
        <v>77</v>
      </c>
      <c r="FZ28" s="2"/>
      <c r="GA28" s="2" t="s">
        <v>3</v>
      </c>
      <c r="GB28" s="2"/>
      <c r="GC28" s="2"/>
      <c r="GD28" s="2">
        <v>0</v>
      </c>
      <c r="GE28" s="2"/>
      <c r="GF28" s="2">
        <v>-2104602307</v>
      </c>
      <c r="GG28" s="2">
        <v>2</v>
      </c>
      <c r="GH28" s="2">
        <v>1</v>
      </c>
      <c r="GI28" s="2">
        <v>-2</v>
      </c>
      <c r="GJ28" s="2">
        <v>0</v>
      </c>
      <c r="GK28" s="2">
        <f>ROUND(R28*(R12)/100,2)</f>
        <v>0</v>
      </c>
      <c r="GL28" s="2">
        <f t="shared" ref="GL28:GL61" si="48">ROUND(IF(AND(BH28=3,BI28=3,FS28&lt;&gt;0),P28,0),2)</f>
        <v>0</v>
      </c>
      <c r="GM28" s="2">
        <f t="shared" ref="GM28:GM61" si="49">ROUND(O28+X28+Y28+GK28,2)+GX28</f>
        <v>62.15</v>
      </c>
      <c r="GN28" s="2">
        <f t="shared" ref="GN28:GN61" si="50">IF(OR(BI28=0,BI28=1),GM28-GX28,0)</f>
        <v>62.15</v>
      </c>
      <c r="GO28" s="2">
        <f t="shared" ref="GO28:GO61" si="51">IF(BI28=2,GM28-GX28,0)</f>
        <v>0</v>
      </c>
      <c r="GP28" s="2">
        <f t="shared" ref="GP28:GP61" si="52">IF(BI28=4,GM28-GX28,0)</f>
        <v>0</v>
      </c>
      <c r="GQ28" s="2"/>
      <c r="GR28" s="2">
        <v>0</v>
      </c>
      <c r="GS28" s="2">
        <v>0</v>
      </c>
      <c r="GT28" s="2">
        <v>0</v>
      </c>
      <c r="GU28" s="2" t="s">
        <v>3</v>
      </c>
      <c r="GV28" s="2">
        <f t="shared" ref="GV28:GV61" si="53">ROUND((GT28),6)</f>
        <v>0</v>
      </c>
      <c r="GW28" s="2">
        <v>1</v>
      </c>
      <c r="GX28" s="2">
        <f t="shared" ref="GX28:GX61" si="54">ROUND(HC28*I28,2)</f>
        <v>0</v>
      </c>
      <c r="GY28" s="2"/>
      <c r="GZ28" s="2"/>
      <c r="HA28" s="2">
        <v>0</v>
      </c>
      <c r="HB28" s="2">
        <v>0</v>
      </c>
      <c r="HC28" s="2">
        <f t="shared" ref="HC28:HC61" si="5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ROW(SmtRes!A2)</f>
        <v>2</v>
      </c>
      <c r="D29">
        <f>ROW(EtalonRes!A2)</f>
        <v>2</v>
      </c>
      <c r="E29" t="s">
        <v>17</v>
      </c>
      <c r="F29" t="s">
        <v>18</v>
      </c>
      <c r="G29" t="s">
        <v>19</v>
      </c>
      <c r="H29" t="s">
        <v>20</v>
      </c>
      <c r="I29">
        <f>ROUND(0.786/100,9)</f>
        <v>7.8600000000000007E-3</v>
      </c>
      <c r="J29">
        <v>0</v>
      </c>
      <c r="K29">
        <f>ROUND(0.786/100,9)</f>
        <v>7.8600000000000007E-3</v>
      </c>
      <c r="O29">
        <f t="shared" si="21"/>
        <v>760.6</v>
      </c>
      <c r="P29">
        <f t="shared" si="22"/>
        <v>0</v>
      </c>
      <c r="Q29">
        <f t="shared" si="23"/>
        <v>0</v>
      </c>
      <c r="R29">
        <f t="shared" si="24"/>
        <v>0</v>
      </c>
      <c r="S29">
        <f t="shared" si="25"/>
        <v>760.6</v>
      </c>
      <c r="T29">
        <f t="shared" si="26"/>
        <v>0</v>
      </c>
      <c r="U29">
        <f t="shared" si="27"/>
        <v>2.0792730816000002</v>
      </c>
      <c r="V29">
        <f t="shared" si="28"/>
        <v>0</v>
      </c>
      <c r="W29">
        <f t="shared" si="29"/>
        <v>0</v>
      </c>
      <c r="X29">
        <f t="shared" si="30"/>
        <v>661.72</v>
      </c>
      <c r="Y29">
        <f t="shared" si="31"/>
        <v>311.85000000000002</v>
      </c>
      <c r="AA29">
        <v>56611490</v>
      </c>
      <c r="AB29">
        <f t="shared" si="32"/>
        <v>2246.8820000000001</v>
      </c>
      <c r="AC29">
        <f t="shared" si="33"/>
        <v>0</v>
      </c>
      <c r="AD29">
        <f t="shared" si="34"/>
        <v>0</v>
      </c>
      <c r="AE29">
        <f t="shared" si="35"/>
        <v>0</v>
      </c>
      <c r="AF29">
        <f t="shared" si="35"/>
        <v>2246.8820000000001</v>
      </c>
      <c r="AG29">
        <f t="shared" si="36"/>
        <v>0</v>
      </c>
      <c r="AH29">
        <f t="shared" si="37"/>
        <v>211.97</v>
      </c>
      <c r="AI29">
        <f t="shared" si="37"/>
        <v>0</v>
      </c>
      <c r="AJ29">
        <f t="shared" si="38"/>
        <v>0</v>
      </c>
      <c r="AK29">
        <v>2042.62</v>
      </c>
      <c r="AL29">
        <v>0</v>
      </c>
      <c r="AM29">
        <v>0</v>
      </c>
      <c r="AN29">
        <v>0</v>
      </c>
      <c r="AO29">
        <v>2042.62</v>
      </c>
      <c r="AP29">
        <v>0</v>
      </c>
      <c r="AQ29">
        <v>192.7</v>
      </c>
      <c r="AR29">
        <v>0</v>
      </c>
      <c r="AS29">
        <v>0</v>
      </c>
      <c r="AT29">
        <v>87</v>
      </c>
      <c r="AU29">
        <v>41</v>
      </c>
      <c r="AV29">
        <v>1.248</v>
      </c>
      <c r="AW29">
        <v>1</v>
      </c>
      <c r="AZ29">
        <v>1</v>
      </c>
      <c r="BA29">
        <v>34.51</v>
      </c>
      <c r="BB29">
        <v>1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1</v>
      </c>
      <c r="BJ29" t="s">
        <v>21</v>
      </c>
      <c r="BM29">
        <v>16</v>
      </c>
      <c r="BN29">
        <v>0</v>
      </c>
      <c r="BO29" t="s">
        <v>18</v>
      </c>
      <c r="BP29">
        <v>1</v>
      </c>
      <c r="BQ29">
        <v>30</v>
      </c>
      <c r="BR29">
        <v>0</v>
      </c>
      <c r="BS29">
        <v>34.51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87</v>
      </c>
      <c r="CA29">
        <v>41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689</v>
      </c>
      <c r="CO29">
        <v>0</v>
      </c>
      <c r="CP29">
        <f t="shared" si="39"/>
        <v>760.6</v>
      </c>
      <c r="CQ29">
        <f t="shared" si="40"/>
        <v>0</v>
      </c>
      <c r="CR29">
        <f t="shared" si="41"/>
        <v>0</v>
      </c>
      <c r="CS29">
        <f t="shared" si="42"/>
        <v>0</v>
      </c>
      <c r="CT29">
        <f t="shared" si="43"/>
        <v>96769.84</v>
      </c>
      <c r="CU29">
        <f t="shared" si="44"/>
        <v>0</v>
      </c>
      <c r="CV29">
        <f t="shared" si="45"/>
        <v>264.53856000000002</v>
      </c>
      <c r="CW29">
        <f t="shared" si="46"/>
        <v>0</v>
      </c>
      <c r="CX29">
        <f t="shared" si="47"/>
        <v>0</v>
      </c>
      <c r="CY29">
        <f>S29*(BZ29/100)</f>
        <v>661.72199999999998</v>
      </c>
      <c r="CZ29">
        <f>S29*(CA29/100)</f>
        <v>311.846</v>
      </c>
      <c r="DC29" t="s">
        <v>3</v>
      </c>
      <c r="DD29" t="s">
        <v>3</v>
      </c>
      <c r="DE29" t="s">
        <v>22</v>
      </c>
      <c r="DF29" t="s">
        <v>22</v>
      </c>
      <c r="DG29" t="s">
        <v>22</v>
      </c>
      <c r="DH29" t="s">
        <v>3</v>
      </c>
      <c r="DI29" t="s">
        <v>22</v>
      </c>
      <c r="DJ29" t="s">
        <v>22</v>
      </c>
      <c r="DK29" t="s">
        <v>3</v>
      </c>
      <c r="DL29" t="s">
        <v>3</v>
      </c>
      <c r="DM29" t="s">
        <v>3</v>
      </c>
      <c r="DN29">
        <v>105</v>
      </c>
      <c r="DO29">
        <v>77</v>
      </c>
      <c r="DP29">
        <v>1.248</v>
      </c>
      <c r="DQ29">
        <v>1</v>
      </c>
      <c r="DU29">
        <v>1013</v>
      </c>
      <c r="DV29" t="s">
        <v>20</v>
      </c>
      <c r="DW29" t="s">
        <v>20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51696099</v>
      </c>
      <c r="EF29">
        <v>30</v>
      </c>
      <c r="EG29" t="s">
        <v>23</v>
      </c>
      <c r="EH29">
        <v>0</v>
      </c>
      <c r="EI29" t="s">
        <v>3</v>
      </c>
      <c r="EJ29">
        <v>1</v>
      </c>
      <c r="EK29">
        <v>16</v>
      </c>
      <c r="EL29" t="s">
        <v>24</v>
      </c>
      <c r="EM29" t="s">
        <v>25</v>
      </c>
      <c r="EO29" t="s">
        <v>26</v>
      </c>
      <c r="EQ29">
        <v>131072</v>
      </c>
      <c r="ER29">
        <v>2042.62</v>
      </c>
      <c r="ES29">
        <v>0</v>
      </c>
      <c r="ET29">
        <v>0</v>
      </c>
      <c r="EU29">
        <v>0</v>
      </c>
      <c r="EV29">
        <v>2042.62</v>
      </c>
      <c r="EW29">
        <v>192.7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105</v>
      </c>
      <c r="FY29">
        <v>77</v>
      </c>
      <c r="GA29" t="s">
        <v>3</v>
      </c>
      <c r="GD29">
        <v>0</v>
      </c>
      <c r="GF29">
        <v>-2104602307</v>
      </c>
      <c r="GG29">
        <v>2</v>
      </c>
      <c r="GH29">
        <v>1</v>
      </c>
      <c r="GI29">
        <v>2</v>
      </c>
      <c r="GJ29">
        <v>0</v>
      </c>
      <c r="GK29">
        <f>ROUND(R29*(S12)/100,2)</f>
        <v>0</v>
      </c>
      <c r="GL29">
        <f t="shared" si="48"/>
        <v>0</v>
      </c>
      <c r="GM29">
        <f t="shared" si="49"/>
        <v>1734.17</v>
      </c>
      <c r="GN29">
        <f t="shared" si="50"/>
        <v>1734.17</v>
      </c>
      <c r="GO29">
        <f t="shared" si="51"/>
        <v>0</v>
      </c>
      <c r="GP29">
        <f t="shared" si="52"/>
        <v>0</v>
      </c>
      <c r="GR29">
        <v>0</v>
      </c>
      <c r="GS29">
        <v>3</v>
      </c>
      <c r="GT29">
        <v>0</v>
      </c>
      <c r="GU29" t="s">
        <v>3</v>
      </c>
      <c r="GV29">
        <f t="shared" si="53"/>
        <v>0</v>
      </c>
      <c r="GW29">
        <v>1</v>
      </c>
      <c r="GX29">
        <f t="shared" si="54"/>
        <v>0</v>
      </c>
      <c r="HA29">
        <v>0</v>
      </c>
      <c r="HB29">
        <v>0</v>
      </c>
      <c r="HC29">
        <f t="shared" si="55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>
        <f>ROW(SmtRes!A6)</f>
        <v>6</v>
      </c>
      <c r="D30" s="2">
        <f>ROW(EtalonRes!A5)</f>
        <v>5</v>
      </c>
      <c r="E30" s="2" t="s">
        <v>27</v>
      </c>
      <c r="F30" s="2" t="s">
        <v>28</v>
      </c>
      <c r="G30" s="2" t="s">
        <v>29</v>
      </c>
      <c r="H30" s="2" t="s">
        <v>20</v>
      </c>
      <c r="I30" s="2">
        <f>ROUND(0.94/100,9)</f>
        <v>9.4000000000000004E-3</v>
      </c>
      <c r="J30" s="2">
        <v>0</v>
      </c>
      <c r="K30" s="2">
        <f>ROUND(0.94/100,9)</f>
        <v>9.4000000000000004E-3</v>
      </c>
      <c r="L30" s="2"/>
      <c r="M30" s="2"/>
      <c r="N30" s="2"/>
      <c r="O30" s="2">
        <f t="shared" si="21"/>
        <v>16.89</v>
      </c>
      <c r="P30" s="2">
        <f t="shared" si="22"/>
        <v>0</v>
      </c>
      <c r="Q30" s="2">
        <f t="shared" si="23"/>
        <v>16.52</v>
      </c>
      <c r="R30" s="2">
        <f t="shared" si="24"/>
        <v>1.63</v>
      </c>
      <c r="S30" s="2">
        <f t="shared" si="25"/>
        <v>0.37</v>
      </c>
      <c r="T30" s="2">
        <f t="shared" si="26"/>
        <v>0</v>
      </c>
      <c r="U30" s="2">
        <f t="shared" si="27"/>
        <v>3.6359576000000005E-2</v>
      </c>
      <c r="V30" s="2">
        <f t="shared" si="28"/>
        <v>0</v>
      </c>
      <c r="W30" s="2">
        <f t="shared" si="29"/>
        <v>0</v>
      </c>
      <c r="X30" s="2">
        <f t="shared" si="30"/>
        <v>0.36</v>
      </c>
      <c r="Y30" s="2">
        <f t="shared" si="31"/>
        <v>0.28000000000000003</v>
      </c>
      <c r="Z30" s="2"/>
      <c r="AA30" s="2">
        <v>56622523</v>
      </c>
      <c r="AB30" s="2">
        <f t="shared" si="32"/>
        <v>1507.8579999999999</v>
      </c>
      <c r="AC30" s="2">
        <f t="shared" si="33"/>
        <v>0</v>
      </c>
      <c r="AD30" s="2">
        <f t="shared" si="34"/>
        <v>1474.693</v>
      </c>
      <c r="AE30" s="2">
        <f t="shared" si="35"/>
        <v>145.72800000000001</v>
      </c>
      <c r="AF30" s="2">
        <f t="shared" si="35"/>
        <v>33.164999999999999</v>
      </c>
      <c r="AG30" s="2">
        <f t="shared" si="36"/>
        <v>0</v>
      </c>
      <c r="AH30" s="2">
        <f t="shared" si="37"/>
        <v>3.2450000000000006</v>
      </c>
      <c r="AI30" s="2">
        <f t="shared" si="37"/>
        <v>0</v>
      </c>
      <c r="AJ30" s="2">
        <f t="shared" si="38"/>
        <v>0</v>
      </c>
      <c r="AK30" s="2">
        <v>1370.78</v>
      </c>
      <c r="AL30" s="2">
        <v>0</v>
      </c>
      <c r="AM30" s="2">
        <v>1340.63</v>
      </c>
      <c r="AN30" s="2">
        <v>132.47999999999999</v>
      </c>
      <c r="AO30" s="2">
        <v>30.15</v>
      </c>
      <c r="AP30" s="2">
        <v>0</v>
      </c>
      <c r="AQ30" s="2">
        <v>2.95</v>
      </c>
      <c r="AR30" s="2">
        <v>0</v>
      </c>
      <c r="AS30" s="2">
        <v>0</v>
      </c>
      <c r="AT30" s="2">
        <v>98</v>
      </c>
      <c r="AU30" s="2">
        <v>77</v>
      </c>
      <c r="AV30" s="2">
        <v>1.1919999999999999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30</v>
      </c>
      <c r="BK30" s="2"/>
      <c r="BL30" s="2"/>
      <c r="BM30" s="2">
        <v>2</v>
      </c>
      <c r="BN30" s="2">
        <v>0</v>
      </c>
      <c r="BO30" s="2" t="s">
        <v>3</v>
      </c>
      <c r="BP30" s="2">
        <v>0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98</v>
      </c>
      <c r="CA30" s="2">
        <v>77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689</v>
      </c>
      <c r="CO30" s="2">
        <v>0</v>
      </c>
      <c r="CP30" s="2">
        <f t="shared" si="39"/>
        <v>16.89</v>
      </c>
      <c r="CQ30" s="2">
        <f t="shared" si="40"/>
        <v>0</v>
      </c>
      <c r="CR30" s="2">
        <f t="shared" si="41"/>
        <v>1757.83</v>
      </c>
      <c r="CS30" s="2">
        <f t="shared" si="42"/>
        <v>173.71</v>
      </c>
      <c r="CT30" s="2">
        <f t="shared" si="43"/>
        <v>39.53</v>
      </c>
      <c r="CU30" s="2">
        <f t="shared" si="44"/>
        <v>0</v>
      </c>
      <c r="CV30" s="2">
        <f t="shared" si="45"/>
        <v>3.8680400000000006</v>
      </c>
      <c r="CW30" s="2">
        <f t="shared" si="46"/>
        <v>0</v>
      </c>
      <c r="CX30" s="2">
        <f t="shared" si="47"/>
        <v>0</v>
      </c>
      <c r="CY30" s="2">
        <f>((S30*BZ30)/100)</f>
        <v>0.36259999999999998</v>
      </c>
      <c r="CZ30" s="2">
        <f>((S30*CA30)/100)</f>
        <v>0.28489999999999999</v>
      </c>
      <c r="DA30" s="2"/>
      <c r="DB30" s="2"/>
      <c r="DC30" s="2" t="s">
        <v>3</v>
      </c>
      <c r="DD30" s="2" t="s">
        <v>3</v>
      </c>
      <c r="DE30" s="2" t="s">
        <v>22</v>
      </c>
      <c r="DF30" s="2" t="s">
        <v>22</v>
      </c>
      <c r="DG30" s="2" t="s">
        <v>22</v>
      </c>
      <c r="DH30" s="2" t="s">
        <v>3</v>
      </c>
      <c r="DI30" s="2" t="s">
        <v>22</v>
      </c>
      <c r="DJ30" s="2" t="s">
        <v>22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20</v>
      </c>
      <c r="DW30" s="2" t="s">
        <v>20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51696085</v>
      </c>
      <c r="EF30" s="2">
        <v>30</v>
      </c>
      <c r="EG30" s="2" t="s">
        <v>23</v>
      </c>
      <c r="EH30" s="2">
        <v>0</v>
      </c>
      <c r="EI30" s="2" t="s">
        <v>3</v>
      </c>
      <c r="EJ30" s="2">
        <v>1</v>
      </c>
      <c r="EK30" s="2">
        <v>2</v>
      </c>
      <c r="EL30" s="2" t="s">
        <v>31</v>
      </c>
      <c r="EM30" s="2" t="s">
        <v>32</v>
      </c>
      <c r="EN30" s="2"/>
      <c r="EO30" s="2" t="s">
        <v>26</v>
      </c>
      <c r="EP30" s="2"/>
      <c r="EQ30" s="2">
        <v>131072</v>
      </c>
      <c r="ER30" s="2">
        <v>1370.78</v>
      </c>
      <c r="ES30" s="2">
        <v>0</v>
      </c>
      <c r="ET30" s="2">
        <v>1340.63</v>
      </c>
      <c r="EU30" s="2">
        <v>132.47999999999999</v>
      </c>
      <c r="EV30" s="2">
        <v>30.15</v>
      </c>
      <c r="EW30" s="2">
        <v>2.95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98</v>
      </c>
      <c r="FY30" s="2">
        <v>77</v>
      </c>
      <c r="FZ30" s="2"/>
      <c r="GA30" s="2" t="s">
        <v>3</v>
      </c>
      <c r="GB30" s="2"/>
      <c r="GC30" s="2"/>
      <c r="GD30" s="2">
        <v>0</v>
      </c>
      <c r="GE30" s="2"/>
      <c r="GF30" s="2">
        <v>-1260581983</v>
      </c>
      <c r="GG30" s="2">
        <v>2</v>
      </c>
      <c r="GH30" s="2">
        <v>1</v>
      </c>
      <c r="GI30" s="2">
        <v>-2</v>
      </c>
      <c r="GJ30" s="2">
        <v>0</v>
      </c>
      <c r="GK30" s="2">
        <f>ROUND(R30*(R12)/100,2)</f>
        <v>2.85</v>
      </c>
      <c r="GL30" s="2">
        <f t="shared" si="48"/>
        <v>0</v>
      </c>
      <c r="GM30" s="2">
        <f t="shared" si="49"/>
        <v>20.38</v>
      </c>
      <c r="GN30" s="2">
        <f t="shared" si="50"/>
        <v>20.38</v>
      </c>
      <c r="GO30" s="2">
        <f t="shared" si="51"/>
        <v>0</v>
      </c>
      <c r="GP30" s="2">
        <f t="shared" si="52"/>
        <v>0</v>
      </c>
      <c r="GQ30" s="2"/>
      <c r="GR30" s="2">
        <v>0</v>
      </c>
      <c r="GS30" s="2">
        <v>0</v>
      </c>
      <c r="GT30" s="2">
        <v>0</v>
      </c>
      <c r="GU30" s="2" t="s">
        <v>3</v>
      </c>
      <c r="GV30" s="2">
        <f t="shared" si="53"/>
        <v>0</v>
      </c>
      <c r="GW30" s="2">
        <v>1</v>
      </c>
      <c r="GX30" s="2">
        <f t="shared" si="54"/>
        <v>0</v>
      </c>
      <c r="GY30" s="2"/>
      <c r="GZ30" s="2"/>
      <c r="HA30" s="2">
        <v>0</v>
      </c>
      <c r="HB30" s="2">
        <v>0</v>
      </c>
      <c r="HC30" s="2">
        <f t="shared" si="55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C31">
        <f>ROW(SmtRes!A10)</f>
        <v>10</v>
      </c>
      <c r="D31">
        <f>ROW(EtalonRes!A8)</f>
        <v>8</v>
      </c>
      <c r="E31" t="s">
        <v>27</v>
      </c>
      <c r="F31" t="s">
        <v>28</v>
      </c>
      <c r="G31" t="s">
        <v>29</v>
      </c>
      <c r="H31" t="s">
        <v>20</v>
      </c>
      <c r="I31">
        <f>ROUND(0.94/100,9)</f>
        <v>9.4000000000000004E-3</v>
      </c>
      <c r="J31">
        <v>0</v>
      </c>
      <c r="K31">
        <f>ROUND(0.94/100,9)</f>
        <v>9.4000000000000004E-3</v>
      </c>
      <c r="O31">
        <f t="shared" si="21"/>
        <v>213.49</v>
      </c>
      <c r="P31">
        <f t="shared" si="22"/>
        <v>0</v>
      </c>
      <c r="Q31">
        <f t="shared" si="23"/>
        <v>200.72</v>
      </c>
      <c r="R31">
        <f t="shared" si="24"/>
        <v>56.25</v>
      </c>
      <c r="S31">
        <f t="shared" si="25"/>
        <v>12.77</v>
      </c>
      <c r="T31">
        <f t="shared" si="26"/>
        <v>0</v>
      </c>
      <c r="U31">
        <f t="shared" si="27"/>
        <v>3.6359576000000005E-2</v>
      </c>
      <c r="V31">
        <f t="shared" si="28"/>
        <v>0</v>
      </c>
      <c r="W31">
        <f t="shared" si="29"/>
        <v>0</v>
      </c>
      <c r="X31">
        <f t="shared" si="30"/>
        <v>12</v>
      </c>
      <c r="Y31">
        <f t="shared" si="31"/>
        <v>6.51</v>
      </c>
      <c r="AA31">
        <v>56611490</v>
      </c>
      <c r="AB31">
        <f t="shared" si="32"/>
        <v>1507.8579999999999</v>
      </c>
      <c r="AC31">
        <f t="shared" si="33"/>
        <v>0</v>
      </c>
      <c r="AD31">
        <f t="shared" si="34"/>
        <v>1474.693</v>
      </c>
      <c r="AE31">
        <f t="shared" si="35"/>
        <v>145.72800000000001</v>
      </c>
      <c r="AF31">
        <f t="shared" si="35"/>
        <v>33.164999999999999</v>
      </c>
      <c r="AG31">
        <f t="shared" si="36"/>
        <v>0</v>
      </c>
      <c r="AH31">
        <f t="shared" si="37"/>
        <v>3.2450000000000006</v>
      </c>
      <c r="AI31">
        <f t="shared" si="37"/>
        <v>0</v>
      </c>
      <c r="AJ31">
        <f t="shared" si="38"/>
        <v>0</v>
      </c>
      <c r="AK31">
        <v>1370.78</v>
      </c>
      <c r="AL31">
        <v>0</v>
      </c>
      <c r="AM31">
        <v>1340.63</v>
      </c>
      <c r="AN31">
        <v>132.47999999999999</v>
      </c>
      <c r="AO31">
        <v>30.15</v>
      </c>
      <c r="AP31">
        <v>0</v>
      </c>
      <c r="AQ31">
        <v>2.95</v>
      </c>
      <c r="AR31">
        <v>0</v>
      </c>
      <c r="AS31">
        <v>0</v>
      </c>
      <c r="AT31">
        <v>94</v>
      </c>
      <c r="AU31">
        <v>51</v>
      </c>
      <c r="AV31">
        <v>1.1919999999999999</v>
      </c>
      <c r="AW31">
        <v>1</v>
      </c>
      <c r="AZ31">
        <v>1</v>
      </c>
      <c r="BA31">
        <v>34.51</v>
      </c>
      <c r="BB31">
        <v>12.15</v>
      </c>
      <c r="BC31">
        <v>1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1</v>
      </c>
      <c r="BJ31" t="s">
        <v>30</v>
      </c>
      <c r="BM31">
        <v>2</v>
      </c>
      <c r="BN31">
        <v>0</v>
      </c>
      <c r="BO31" t="s">
        <v>28</v>
      </c>
      <c r="BP31">
        <v>1</v>
      </c>
      <c r="BQ31">
        <v>30</v>
      </c>
      <c r="BR31">
        <v>0</v>
      </c>
      <c r="BS31">
        <v>34.51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94</v>
      </c>
      <c r="CA31">
        <v>51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689</v>
      </c>
      <c r="CO31">
        <v>0</v>
      </c>
      <c r="CP31">
        <f t="shared" si="39"/>
        <v>213.49</v>
      </c>
      <c r="CQ31">
        <f t="shared" si="40"/>
        <v>0</v>
      </c>
      <c r="CR31">
        <f t="shared" si="41"/>
        <v>21357.63</v>
      </c>
      <c r="CS31">
        <f t="shared" si="42"/>
        <v>5994.73</v>
      </c>
      <c r="CT31">
        <f t="shared" si="43"/>
        <v>1364.18</v>
      </c>
      <c r="CU31">
        <f t="shared" si="44"/>
        <v>0</v>
      </c>
      <c r="CV31">
        <f t="shared" si="45"/>
        <v>3.8680400000000006</v>
      </c>
      <c r="CW31">
        <f t="shared" si="46"/>
        <v>0</v>
      </c>
      <c r="CX31">
        <f t="shared" si="47"/>
        <v>0</v>
      </c>
      <c r="CY31">
        <f>S31*(BZ31/100)</f>
        <v>12.003799999999998</v>
      </c>
      <c r="CZ31">
        <f>S31*(CA31/100)</f>
        <v>6.5126999999999997</v>
      </c>
      <c r="DC31" t="s">
        <v>3</v>
      </c>
      <c r="DD31" t="s">
        <v>3</v>
      </c>
      <c r="DE31" t="s">
        <v>22</v>
      </c>
      <c r="DF31" t="s">
        <v>22</v>
      </c>
      <c r="DG31" t="s">
        <v>22</v>
      </c>
      <c r="DH31" t="s">
        <v>3</v>
      </c>
      <c r="DI31" t="s">
        <v>22</v>
      </c>
      <c r="DJ31" t="s">
        <v>22</v>
      </c>
      <c r="DK31" t="s">
        <v>3</v>
      </c>
      <c r="DL31" t="s">
        <v>3</v>
      </c>
      <c r="DM31" t="s">
        <v>3</v>
      </c>
      <c r="DN31">
        <v>98</v>
      </c>
      <c r="DO31">
        <v>77</v>
      </c>
      <c r="DP31">
        <v>1.1919999999999999</v>
      </c>
      <c r="DQ31">
        <v>1</v>
      </c>
      <c r="DU31">
        <v>1013</v>
      </c>
      <c r="DV31" t="s">
        <v>20</v>
      </c>
      <c r="DW31" t="s">
        <v>20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51696085</v>
      </c>
      <c r="EF31">
        <v>30</v>
      </c>
      <c r="EG31" t="s">
        <v>23</v>
      </c>
      <c r="EH31">
        <v>0</v>
      </c>
      <c r="EI31" t="s">
        <v>3</v>
      </c>
      <c r="EJ31">
        <v>1</v>
      </c>
      <c r="EK31">
        <v>2</v>
      </c>
      <c r="EL31" t="s">
        <v>31</v>
      </c>
      <c r="EM31" t="s">
        <v>32</v>
      </c>
      <c r="EO31" t="s">
        <v>26</v>
      </c>
      <c r="EQ31">
        <v>131072</v>
      </c>
      <c r="ER31">
        <v>1370.78</v>
      </c>
      <c r="ES31">
        <v>0</v>
      </c>
      <c r="ET31">
        <v>1340.63</v>
      </c>
      <c r="EU31">
        <v>132.47999999999999</v>
      </c>
      <c r="EV31">
        <v>30.15</v>
      </c>
      <c r="EW31">
        <v>2.95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98</v>
      </c>
      <c r="FY31">
        <v>77</v>
      </c>
      <c r="GA31" t="s">
        <v>3</v>
      </c>
      <c r="GD31">
        <v>0</v>
      </c>
      <c r="GF31">
        <v>-1260581983</v>
      </c>
      <c r="GG31">
        <v>2</v>
      </c>
      <c r="GH31">
        <v>1</v>
      </c>
      <c r="GI31">
        <v>2</v>
      </c>
      <c r="GJ31">
        <v>0</v>
      </c>
      <c r="GK31">
        <f>ROUND(R31*(S12)/100,2)</f>
        <v>90</v>
      </c>
      <c r="GL31">
        <f t="shared" si="48"/>
        <v>0</v>
      </c>
      <c r="GM31">
        <f t="shared" si="49"/>
        <v>322</v>
      </c>
      <c r="GN31">
        <f t="shared" si="50"/>
        <v>322</v>
      </c>
      <c r="GO31">
        <f t="shared" si="51"/>
        <v>0</v>
      </c>
      <c r="GP31">
        <f t="shared" si="52"/>
        <v>0</v>
      </c>
      <c r="GR31">
        <v>0</v>
      </c>
      <c r="GS31">
        <v>3</v>
      </c>
      <c r="GT31">
        <v>0</v>
      </c>
      <c r="GU31" t="s">
        <v>3</v>
      </c>
      <c r="GV31">
        <f t="shared" si="53"/>
        <v>0</v>
      </c>
      <c r="GW31">
        <v>1</v>
      </c>
      <c r="GX31">
        <f t="shared" si="54"/>
        <v>0</v>
      </c>
      <c r="HA31">
        <v>0</v>
      </c>
      <c r="HB31">
        <v>0</v>
      </c>
      <c r="HC31">
        <f t="shared" si="55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>
        <f>ROW(SmtRes!A12)</f>
        <v>12</v>
      </c>
      <c r="D32" s="2">
        <f>ROW(EtalonRes!A10)</f>
        <v>10</v>
      </c>
      <c r="E32" s="2" t="s">
        <v>33</v>
      </c>
      <c r="F32" s="2" t="s">
        <v>34</v>
      </c>
      <c r="G32" s="2" t="s">
        <v>35</v>
      </c>
      <c r="H32" s="2" t="s">
        <v>20</v>
      </c>
      <c r="I32" s="2">
        <f>ROUND(0.894/100,9)</f>
        <v>8.94E-3</v>
      </c>
      <c r="J32" s="2">
        <v>0</v>
      </c>
      <c r="K32" s="2">
        <f>ROUND(0.894/100,9)</f>
        <v>8.94E-3</v>
      </c>
      <c r="L32" s="2"/>
      <c r="M32" s="2"/>
      <c r="N32" s="2"/>
      <c r="O32" s="2">
        <f t="shared" si="21"/>
        <v>11.07</v>
      </c>
      <c r="P32" s="2">
        <f t="shared" si="22"/>
        <v>0</v>
      </c>
      <c r="Q32" s="2">
        <f t="shared" si="23"/>
        <v>10.93</v>
      </c>
      <c r="R32" s="2">
        <f t="shared" si="24"/>
        <v>1.08</v>
      </c>
      <c r="S32" s="2">
        <f t="shared" si="25"/>
        <v>0.14000000000000001</v>
      </c>
      <c r="T32" s="2">
        <f t="shared" si="26"/>
        <v>0</v>
      </c>
      <c r="U32" s="2">
        <f t="shared" si="27"/>
        <v>1.3949332319999999E-2</v>
      </c>
      <c r="V32" s="2">
        <f t="shared" si="28"/>
        <v>0</v>
      </c>
      <c r="W32" s="2">
        <f t="shared" si="29"/>
        <v>0</v>
      </c>
      <c r="X32" s="2">
        <f t="shared" si="30"/>
        <v>0.14000000000000001</v>
      </c>
      <c r="Y32" s="2">
        <f t="shared" si="31"/>
        <v>0.11</v>
      </c>
      <c r="Z32" s="2"/>
      <c r="AA32" s="2">
        <v>56622523</v>
      </c>
      <c r="AB32" s="2">
        <f t="shared" si="32"/>
        <v>1038.6420000000001</v>
      </c>
      <c r="AC32" s="2">
        <f t="shared" si="33"/>
        <v>0</v>
      </c>
      <c r="AD32" s="2">
        <f t="shared" si="34"/>
        <v>1025.2660000000001</v>
      </c>
      <c r="AE32" s="2">
        <f t="shared" si="35"/>
        <v>101.07899999999999</v>
      </c>
      <c r="AF32" s="2">
        <f t="shared" si="35"/>
        <v>13.375999999999999</v>
      </c>
      <c r="AG32" s="2">
        <f t="shared" si="36"/>
        <v>0</v>
      </c>
      <c r="AH32" s="2">
        <f t="shared" si="37"/>
        <v>1.3089999999999999</v>
      </c>
      <c r="AI32" s="2">
        <f t="shared" si="37"/>
        <v>0</v>
      </c>
      <c r="AJ32" s="2">
        <f t="shared" si="38"/>
        <v>0</v>
      </c>
      <c r="AK32" s="2">
        <v>944.22</v>
      </c>
      <c r="AL32" s="2">
        <v>0</v>
      </c>
      <c r="AM32" s="2">
        <v>932.06</v>
      </c>
      <c r="AN32" s="2">
        <v>91.89</v>
      </c>
      <c r="AO32" s="2">
        <v>12.16</v>
      </c>
      <c r="AP32" s="2">
        <v>0</v>
      </c>
      <c r="AQ32" s="2">
        <v>1.19</v>
      </c>
      <c r="AR32" s="2">
        <v>0</v>
      </c>
      <c r="AS32" s="2">
        <v>0</v>
      </c>
      <c r="AT32" s="2">
        <v>98</v>
      </c>
      <c r="AU32" s="2">
        <v>77</v>
      </c>
      <c r="AV32" s="2">
        <v>1.1919999999999999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36</v>
      </c>
      <c r="BK32" s="2"/>
      <c r="BL32" s="2"/>
      <c r="BM32" s="2">
        <v>2</v>
      </c>
      <c r="BN32" s="2">
        <v>0</v>
      </c>
      <c r="BO32" s="2" t="s">
        <v>3</v>
      </c>
      <c r="BP32" s="2">
        <v>0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98</v>
      </c>
      <c r="CA32" s="2">
        <v>77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689</v>
      </c>
      <c r="CO32" s="2">
        <v>0</v>
      </c>
      <c r="CP32" s="2">
        <f t="shared" si="39"/>
        <v>11.07</v>
      </c>
      <c r="CQ32" s="2">
        <f t="shared" si="40"/>
        <v>0</v>
      </c>
      <c r="CR32" s="2">
        <f t="shared" si="41"/>
        <v>1222.1199999999999</v>
      </c>
      <c r="CS32" s="2">
        <f t="shared" si="42"/>
        <v>120.49</v>
      </c>
      <c r="CT32" s="2">
        <f t="shared" si="43"/>
        <v>15.94</v>
      </c>
      <c r="CU32" s="2">
        <f t="shared" si="44"/>
        <v>0</v>
      </c>
      <c r="CV32" s="2">
        <f t="shared" si="45"/>
        <v>1.5603279999999999</v>
      </c>
      <c r="CW32" s="2">
        <f t="shared" si="46"/>
        <v>0</v>
      </c>
      <c r="CX32" s="2">
        <f t="shared" si="47"/>
        <v>0</v>
      </c>
      <c r="CY32" s="2">
        <f>((S32*BZ32)/100)</f>
        <v>0.13720000000000002</v>
      </c>
      <c r="CZ32" s="2">
        <f>((S32*CA32)/100)</f>
        <v>0.10780000000000001</v>
      </c>
      <c r="DA32" s="2"/>
      <c r="DB32" s="2"/>
      <c r="DC32" s="2" t="s">
        <v>3</v>
      </c>
      <c r="DD32" s="2" t="s">
        <v>3</v>
      </c>
      <c r="DE32" s="2" t="s">
        <v>22</v>
      </c>
      <c r="DF32" s="2" t="s">
        <v>22</v>
      </c>
      <c r="DG32" s="2" t="s">
        <v>22</v>
      </c>
      <c r="DH32" s="2" t="s">
        <v>3</v>
      </c>
      <c r="DI32" s="2" t="s">
        <v>22</v>
      </c>
      <c r="DJ32" s="2" t="s">
        <v>22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20</v>
      </c>
      <c r="DW32" s="2" t="s">
        <v>20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51696085</v>
      </c>
      <c r="EF32" s="2">
        <v>30</v>
      </c>
      <c r="EG32" s="2" t="s">
        <v>23</v>
      </c>
      <c r="EH32" s="2">
        <v>0</v>
      </c>
      <c r="EI32" s="2" t="s">
        <v>3</v>
      </c>
      <c r="EJ32" s="2">
        <v>1</v>
      </c>
      <c r="EK32" s="2">
        <v>2</v>
      </c>
      <c r="EL32" s="2" t="s">
        <v>31</v>
      </c>
      <c r="EM32" s="2" t="s">
        <v>32</v>
      </c>
      <c r="EN32" s="2"/>
      <c r="EO32" s="2" t="s">
        <v>26</v>
      </c>
      <c r="EP32" s="2"/>
      <c r="EQ32" s="2">
        <v>131072</v>
      </c>
      <c r="ER32" s="2">
        <v>944.22</v>
      </c>
      <c r="ES32" s="2">
        <v>0</v>
      </c>
      <c r="ET32" s="2">
        <v>932.06</v>
      </c>
      <c r="EU32" s="2">
        <v>91.89</v>
      </c>
      <c r="EV32" s="2">
        <v>12.16</v>
      </c>
      <c r="EW32" s="2">
        <v>1.19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98</v>
      </c>
      <c r="FY32" s="2">
        <v>77</v>
      </c>
      <c r="FZ32" s="2"/>
      <c r="GA32" s="2" t="s">
        <v>3</v>
      </c>
      <c r="GB32" s="2"/>
      <c r="GC32" s="2"/>
      <c r="GD32" s="2">
        <v>0</v>
      </c>
      <c r="GE32" s="2"/>
      <c r="GF32" s="2">
        <v>864155608</v>
      </c>
      <c r="GG32" s="2">
        <v>2</v>
      </c>
      <c r="GH32" s="2">
        <v>1</v>
      </c>
      <c r="GI32" s="2">
        <v>-2</v>
      </c>
      <c r="GJ32" s="2">
        <v>0</v>
      </c>
      <c r="GK32" s="2">
        <f>ROUND(R32*(R12)/100,2)</f>
        <v>1.89</v>
      </c>
      <c r="GL32" s="2">
        <f t="shared" si="48"/>
        <v>0</v>
      </c>
      <c r="GM32" s="2">
        <f t="shared" si="49"/>
        <v>13.21</v>
      </c>
      <c r="GN32" s="2">
        <f t="shared" si="50"/>
        <v>13.21</v>
      </c>
      <c r="GO32" s="2">
        <f t="shared" si="51"/>
        <v>0</v>
      </c>
      <c r="GP32" s="2">
        <f t="shared" si="52"/>
        <v>0</v>
      </c>
      <c r="GQ32" s="2"/>
      <c r="GR32" s="2">
        <v>0</v>
      </c>
      <c r="GS32" s="2">
        <v>0</v>
      </c>
      <c r="GT32" s="2">
        <v>0</v>
      </c>
      <c r="GU32" s="2" t="s">
        <v>3</v>
      </c>
      <c r="GV32" s="2">
        <f t="shared" si="53"/>
        <v>0</v>
      </c>
      <c r="GW32" s="2">
        <v>1</v>
      </c>
      <c r="GX32" s="2">
        <f t="shared" si="54"/>
        <v>0</v>
      </c>
      <c r="GY32" s="2"/>
      <c r="GZ32" s="2"/>
      <c r="HA32" s="2">
        <v>0</v>
      </c>
      <c r="HB32" s="2">
        <v>0</v>
      </c>
      <c r="HC32" s="2">
        <f t="shared" si="5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C33">
        <f>ROW(SmtRes!A14)</f>
        <v>14</v>
      </c>
      <c r="D33">
        <f>ROW(EtalonRes!A12)</f>
        <v>12</v>
      </c>
      <c r="E33" t="s">
        <v>33</v>
      </c>
      <c r="F33" t="s">
        <v>34</v>
      </c>
      <c r="G33" t="s">
        <v>35</v>
      </c>
      <c r="H33" t="s">
        <v>20</v>
      </c>
      <c r="I33">
        <f>ROUND(0.894/100,9)</f>
        <v>8.94E-3</v>
      </c>
      <c r="J33">
        <v>0</v>
      </c>
      <c r="K33">
        <f>ROUND(0.894/100,9)</f>
        <v>8.94E-3</v>
      </c>
      <c r="O33">
        <f t="shared" si="21"/>
        <v>137.85</v>
      </c>
      <c r="P33">
        <f t="shared" si="22"/>
        <v>0</v>
      </c>
      <c r="Q33">
        <f t="shared" si="23"/>
        <v>133.02000000000001</v>
      </c>
      <c r="R33">
        <f t="shared" si="24"/>
        <v>37.270000000000003</v>
      </c>
      <c r="S33">
        <f t="shared" si="25"/>
        <v>4.83</v>
      </c>
      <c r="T33">
        <f t="shared" si="26"/>
        <v>0</v>
      </c>
      <c r="U33">
        <f t="shared" si="27"/>
        <v>1.3949332319999999E-2</v>
      </c>
      <c r="V33">
        <f t="shared" si="28"/>
        <v>0</v>
      </c>
      <c r="W33">
        <f t="shared" si="29"/>
        <v>0</v>
      </c>
      <c r="X33">
        <f t="shared" si="30"/>
        <v>4.54</v>
      </c>
      <c r="Y33">
        <f t="shared" si="31"/>
        <v>2.46</v>
      </c>
      <c r="AA33">
        <v>56611490</v>
      </c>
      <c r="AB33">
        <f t="shared" si="32"/>
        <v>1038.6420000000001</v>
      </c>
      <c r="AC33">
        <f t="shared" si="33"/>
        <v>0</v>
      </c>
      <c r="AD33">
        <f t="shared" si="34"/>
        <v>1025.2660000000001</v>
      </c>
      <c r="AE33">
        <f t="shared" si="35"/>
        <v>101.07899999999999</v>
      </c>
      <c r="AF33">
        <f t="shared" si="35"/>
        <v>13.375999999999999</v>
      </c>
      <c r="AG33">
        <f t="shared" si="36"/>
        <v>0</v>
      </c>
      <c r="AH33">
        <f t="shared" si="37"/>
        <v>1.3089999999999999</v>
      </c>
      <c r="AI33">
        <f t="shared" si="37"/>
        <v>0</v>
      </c>
      <c r="AJ33">
        <f t="shared" si="38"/>
        <v>0</v>
      </c>
      <c r="AK33">
        <v>944.22</v>
      </c>
      <c r="AL33">
        <v>0</v>
      </c>
      <c r="AM33">
        <v>932.06</v>
      </c>
      <c r="AN33">
        <v>91.89</v>
      </c>
      <c r="AO33">
        <v>12.16</v>
      </c>
      <c r="AP33">
        <v>0</v>
      </c>
      <c r="AQ33">
        <v>1.19</v>
      </c>
      <c r="AR33">
        <v>0</v>
      </c>
      <c r="AS33">
        <v>0</v>
      </c>
      <c r="AT33">
        <v>94</v>
      </c>
      <c r="AU33">
        <v>51</v>
      </c>
      <c r="AV33">
        <v>1.1919999999999999</v>
      </c>
      <c r="AW33">
        <v>1</v>
      </c>
      <c r="AZ33">
        <v>1</v>
      </c>
      <c r="BA33">
        <v>34.51</v>
      </c>
      <c r="BB33">
        <v>12.17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1</v>
      </c>
      <c r="BJ33" t="s">
        <v>36</v>
      </c>
      <c r="BM33">
        <v>2</v>
      </c>
      <c r="BN33">
        <v>0</v>
      </c>
      <c r="BO33" t="s">
        <v>34</v>
      </c>
      <c r="BP33">
        <v>1</v>
      </c>
      <c r="BQ33">
        <v>30</v>
      </c>
      <c r="BR33">
        <v>0</v>
      </c>
      <c r="BS33">
        <v>34.51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94</v>
      </c>
      <c r="CA33">
        <v>51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689</v>
      </c>
      <c r="CO33">
        <v>0</v>
      </c>
      <c r="CP33">
        <f t="shared" si="39"/>
        <v>137.85000000000002</v>
      </c>
      <c r="CQ33">
        <f t="shared" si="40"/>
        <v>0</v>
      </c>
      <c r="CR33">
        <f t="shared" si="41"/>
        <v>14873.2</v>
      </c>
      <c r="CS33">
        <f t="shared" si="42"/>
        <v>4158.1099999999997</v>
      </c>
      <c r="CT33">
        <f t="shared" si="43"/>
        <v>550.09</v>
      </c>
      <c r="CU33">
        <f t="shared" si="44"/>
        <v>0</v>
      </c>
      <c r="CV33">
        <f t="shared" si="45"/>
        <v>1.5603279999999999</v>
      </c>
      <c r="CW33">
        <f t="shared" si="46"/>
        <v>0</v>
      </c>
      <c r="CX33">
        <f t="shared" si="47"/>
        <v>0</v>
      </c>
      <c r="CY33">
        <f>S33*(BZ33/100)</f>
        <v>4.5401999999999996</v>
      </c>
      <c r="CZ33">
        <f>S33*(CA33/100)</f>
        <v>2.4633000000000003</v>
      </c>
      <c r="DC33" t="s">
        <v>3</v>
      </c>
      <c r="DD33" t="s">
        <v>3</v>
      </c>
      <c r="DE33" t="s">
        <v>22</v>
      </c>
      <c r="DF33" t="s">
        <v>22</v>
      </c>
      <c r="DG33" t="s">
        <v>22</v>
      </c>
      <c r="DH33" t="s">
        <v>3</v>
      </c>
      <c r="DI33" t="s">
        <v>22</v>
      </c>
      <c r="DJ33" t="s">
        <v>22</v>
      </c>
      <c r="DK33" t="s">
        <v>3</v>
      </c>
      <c r="DL33" t="s">
        <v>3</v>
      </c>
      <c r="DM33" t="s">
        <v>3</v>
      </c>
      <c r="DN33">
        <v>98</v>
      </c>
      <c r="DO33">
        <v>77</v>
      </c>
      <c r="DP33">
        <v>1.1919999999999999</v>
      </c>
      <c r="DQ33">
        <v>1</v>
      </c>
      <c r="DU33">
        <v>1013</v>
      </c>
      <c r="DV33" t="s">
        <v>20</v>
      </c>
      <c r="DW33" t="s">
        <v>20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51696085</v>
      </c>
      <c r="EF33">
        <v>30</v>
      </c>
      <c r="EG33" t="s">
        <v>23</v>
      </c>
      <c r="EH33">
        <v>0</v>
      </c>
      <c r="EI33" t="s">
        <v>3</v>
      </c>
      <c r="EJ33">
        <v>1</v>
      </c>
      <c r="EK33">
        <v>2</v>
      </c>
      <c r="EL33" t="s">
        <v>31</v>
      </c>
      <c r="EM33" t="s">
        <v>32</v>
      </c>
      <c r="EO33" t="s">
        <v>26</v>
      </c>
      <c r="EQ33">
        <v>131072</v>
      </c>
      <c r="ER33">
        <v>944.22</v>
      </c>
      <c r="ES33">
        <v>0</v>
      </c>
      <c r="ET33">
        <v>932.06</v>
      </c>
      <c r="EU33">
        <v>91.89</v>
      </c>
      <c r="EV33">
        <v>12.16</v>
      </c>
      <c r="EW33">
        <v>1.19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98</v>
      </c>
      <c r="FY33">
        <v>77</v>
      </c>
      <c r="GA33" t="s">
        <v>3</v>
      </c>
      <c r="GD33">
        <v>0</v>
      </c>
      <c r="GF33">
        <v>864155608</v>
      </c>
      <c r="GG33">
        <v>2</v>
      </c>
      <c r="GH33">
        <v>1</v>
      </c>
      <c r="GI33">
        <v>2</v>
      </c>
      <c r="GJ33">
        <v>0</v>
      </c>
      <c r="GK33">
        <f>ROUND(R33*(S12)/100,2)</f>
        <v>59.63</v>
      </c>
      <c r="GL33">
        <f t="shared" si="48"/>
        <v>0</v>
      </c>
      <c r="GM33">
        <f t="shared" si="49"/>
        <v>204.48</v>
      </c>
      <c r="GN33">
        <f t="shared" si="50"/>
        <v>204.48</v>
      </c>
      <c r="GO33">
        <f t="shared" si="51"/>
        <v>0</v>
      </c>
      <c r="GP33">
        <f t="shared" si="52"/>
        <v>0</v>
      </c>
      <c r="GR33">
        <v>0</v>
      </c>
      <c r="GS33">
        <v>3</v>
      </c>
      <c r="GT33">
        <v>0</v>
      </c>
      <c r="GU33" t="s">
        <v>3</v>
      </c>
      <c r="GV33">
        <f t="shared" si="53"/>
        <v>0</v>
      </c>
      <c r="GW33">
        <v>1</v>
      </c>
      <c r="GX33">
        <f t="shared" si="54"/>
        <v>0</v>
      </c>
      <c r="HA33">
        <v>0</v>
      </c>
      <c r="HB33">
        <v>0</v>
      </c>
      <c r="HC33">
        <f t="shared" si="55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>
        <f>ROW(SmtRes!A15)</f>
        <v>15</v>
      </c>
      <c r="D34" s="2">
        <f>ROW(EtalonRes!A13)</f>
        <v>13</v>
      </c>
      <c r="E34" s="2" t="s">
        <v>37</v>
      </c>
      <c r="F34" s="2" t="s">
        <v>38</v>
      </c>
      <c r="G34" s="2" t="s">
        <v>39</v>
      </c>
      <c r="H34" s="2" t="s">
        <v>20</v>
      </c>
      <c r="I34" s="2">
        <f>ROUND(0.504/100,9)</f>
        <v>5.0400000000000002E-3</v>
      </c>
      <c r="J34" s="2">
        <v>0</v>
      </c>
      <c r="K34" s="2">
        <f>ROUND(0.504/100,9)</f>
        <v>5.0400000000000002E-3</v>
      </c>
      <c r="L34" s="2"/>
      <c r="M34" s="2"/>
      <c r="N34" s="2"/>
      <c r="O34" s="2">
        <f t="shared" si="21"/>
        <v>7.27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7.27</v>
      </c>
      <c r="T34" s="2">
        <f t="shared" si="26"/>
        <v>0</v>
      </c>
      <c r="U34" s="2">
        <f t="shared" si="27"/>
        <v>0.74060034048000001</v>
      </c>
      <c r="V34" s="2">
        <f t="shared" si="28"/>
        <v>0</v>
      </c>
      <c r="W34" s="2">
        <f t="shared" si="29"/>
        <v>0</v>
      </c>
      <c r="X34" s="2">
        <f t="shared" si="30"/>
        <v>7.63</v>
      </c>
      <c r="Y34" s="2">
        <f t="shared" si="31"/>
        <v>5.6</v>
      </c>
      <c r="Z34" s="2"/>
      <c r="AA34" s="2">
        <v>56622523</v>
      </c>
      <c r="AB34" s="2">
        <f t="shared" si="32"/>
        <v>1156.2429999999999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5"/>
        <v>1156.2429999999999</v>
      </c>
      <c r="AG34" s="2">
        <f t="shared" si="36"/>
        <v>0</v>
      </c>
      <c r="AH34" s="2">
        <f t="shared" si="37"/>
        <v>117.74400000000001</v>
      </c>
      <c r="AI34" s="2">
        <f t="shared" si="37"/>
        <v>0</v>
      </c>
      <c r="AJ34" s="2">
        <f t="shared" si="38"/>
        <v>0</v>
      </c>
      <c r="AK34" s="2">
        <v>1051.1300000000001</v>
      </c>
      <c r="AL34" s="2">
        <v>0</v>
      </c>
      <c r="AM34" s="2">
        <v>0</v>
      </c>
      <c r="AN34" s="2">
        <v>0</v>
      </c>
      <c r="AO34" s="2">
        <v>1051.1300000000001</v>
      </c>
      <c r="AP34" s="2">
        <v>0</v>
      </c>
      <c r="AQ34" s="2">
        <v>107.04</v>
      </c>
      <c r="AR34" s="2">
        <v>0</v>
      </c>
      <c r="AS34" s="2">
        <v>0</v>
      </c>
      <c r="AT34" s="2">
        <v>105</v>
      </c>
      <c r="AU34" s="2">
        <v>77</v>
      </c>
      <c r="AV34" s="2">
        <v>1.248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40</v>
      </c>
      <c r="BK34" s="2"/>
      <c r="BL34" s="2"/>
      <c r="BM34" s="2">
        <v>16</v>
      </c>
      <c r="BN34" s="2">
        <v>0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105</v>
      </c>
      <c r="CA34" s="2">
        <v>77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689</v>
      </c>
      <c r="CO34" s="2">
        <v>0</v>
      </c>
      <c r="CP34" s="2">
        <f t="shared" si="39"/>
        <v>7.27</v>
      </c>
      <c r="CQ34" s="2">
        <f t="shared" si="40"/>
        <v>0</v>
      </c>
      <c r="CR34" s="2">
        <f t="shared" si="41"/>
        <v>0</v>
      </c>
      <c r="CS34" s="2">
        <f t="shared" si="42"/>
        <v>0</v>
      </c>
      <c r="CT34" s="2">
        <f t="shared" si="43"/>
        <v>1442.99</v>
      </c>
      <c r="CU34" s="2">
        <f t="shared" si="44"/>
        <v>0</v>
      </c>
      <c r="CV34" s="2">
        <f t="shared" si="45"/>
        <v>146.944512</v>
      </c>
      <c r="CW34" s="2">
        <f t="shared" si="46"/>
        <v>0</v>
      </c>
      <c r="CX34" s="2">
        <f t="shared" si="47"/>
        <v>0</v>
      </c>
      <c r="CY34" s="2">
        <f>((S34*BZ34)/100)</f>
        <v>7.6334999999999988</v>
      </c>
      <c r="CZ34" s="2">
        <f>((S34*CA34)/100)</f>
        <v>5.5978999999999992</v>
      </c>
      <c r="DA34" s="2"/>
      <c r="DB34" s="2"/>
      <c r="DC34" s="2" t="s">
        <v>3</v>
      </c>
      <c r="DD34" s="2" t="s">
        <v>3</v>
      </c>
      <c r="DE34" s="2" t="s">
        <v>22</v>
      </c>
      <c r="DF34" s="2" t="s">
        <v>22</v>
      </c>
      <c r="DG34" s="2" t="s">
        <v>22</v>
      </c>
      <c r="DH34" s="2" t="s">
        <v>3</v>
      </c>
      <c r="DI34" s="2" t="s">
        <v>22</v>
      </c>
      <c r="DJ34" s="2" t="s">
        <v>22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20</v>
      </c>
      <c r="DW34" s="2" t="s">
        <v>20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51696099</v>
      </c>
      <c r="EF34" s="2">
        <v>30</v>
      </c>
      <c r="EG34" s="2" t="s">
        <v>23</v>
      </c>
      <c r="EH34" s="2">
        <v>0</v>
      </c>
      <c r="EI34" s="2" t="s">
        <v>3</v>
      </c>
      <c r="EJ34" s="2">
        <v>1</v>
      </c>
      <c r="EK34" s="2">
        <v>16</v>
      </c>
      <c r="EL34" s="2" t="s">
        <v>24</v>
      </c>
      <c r="EM34" s="2" t="s">
        <v>25</v>
      </c>
      <c r="EN34" s="2"/>
      <c r="EO34" s="2" t="s">
        <v>26</v>
      </c>
      <c r="EP34" s="2"/>
      <c r="EQ34" s="2">
        <v>131072</v>
      </c>
      <c r="ER34" s="2">
        <v>1051.1300000000001</v>
      </c>
      <c r="ES34" s="2">
        <v>0</v>
      </c>
      <c r="ET34" s="2">
        <v>0</v>
      </c>
      <c r="EU34" s="2">
        <v>0</v>
      </c>
      <c r="EV34" s="2">
        <v>1051.1300000000001</v>
      </c>
      <c r="EW34" s="2">
        <v>107.04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105</v>
      </c>
      <c r="FY34" s="2">
        <v>77</v>
      </c>
      <c r="FZ34" s="2"/>
      <c r="GA34" s="2" t="s">
        <v>3</v>
      </c>
      <c r="GB34" s="2"/>
      <c r="GC34" s="2"/>
      <c r="GD34" s="2">
        <v>0</v>
      </c>
      <c r="GE34" s="2"/>
      <c r="GF34" s="2">
        <v>1725378853</v>
      </c>
      <c r="GG34" s="2">
        <v>2</v>
      </c>
      <c r="GH34" s="2">
        <v>1</v>
      </c>
      <c r="GI34" s="2">
        <v>-2</v>
      </c>
      <c r="GJ34" s="2">
        <v>0</v>
      </c>
      <c r="GK34" s="2">
        <f>ROUND(R34*(R12)/100,2)</f>
        <v>0</v>
      </c>
      <c r="GL34" s="2">
        <f t="shared" si="48"/>
        <v>0</v>
      </c>
      <c r="GM34" s="2">
        <f t="shared" si="49"/>
        <v>20.5</v>
      </c>
      <c r="GN34" s="2">
        <f t="shared" si="50"/>
        <v>20.5</v>
      </c>
      <c r="GO34" s="2">
        <f t="shared" si="51"/>
        <v>0</v>
      </c>
      <c r="GP34" s="2">
        <f t="shared" si="52"/>
        <v>0</v>
      </c>
      <c r="GQ34" s="2"/>
      <c r="GR34" s="2">
        <v>0</v>
      </c>
      <c r="GS34" s="2">
        <v>0</v>
      </c>
      <c r="GT34" s="2">
        <v>0</v>
      </c>
      <c r="GU34" s="2" t="s">
        <v>3</v>
      </c>
      <c r="GV34" s="2">
        <f t="shared" si="53"/>
        <v>0</v>
      </c>
      <c r="GW34" s="2">
        <v>1</v>
      </c>
      <c r="GX34" s="2">
        <f t="shared" si="54"/>
        <v>0</v>
      </c>
      <c r="GY34" s="2"/>
      <c r="GZ34" s="2"/>
      <c r="HA34" s="2">
        <v>0</v>
      </c>
      <c r="HB34" s="2">
        <v>0</v>
      </c>
      <c r="HC34" s="2">
        <f t="shared" si="55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C35">
        <f>ROW(SmtRes!A16)</f>
        <v>16</v>
      </c>
      <c r="D35">
        <f>ROW(EtalonRes!A14)</f>
        <v>14</v>
      </c>
      <c r="E35" t="s">
        <v>37</v>
      </c>
      <c r="F35" t="s">
        <v>38</v>
      </c>
      <c r="G35" t="s">
        <v>39</v>
      </c>
      <c r="H35" t="s">
        <v>20</v>
      </c>
      <c r="I35">
        <f>ROUND(0.504/100,9)</f>
        <v>5.0400000000000002E-3</v>
      </c>
      <c r="J35">
        <v>0</v>
      </c>
      <c r="K35">
        <f>ROUND(0.504/100,9)</f>
        <v>5.0400000000000002E-3</v>
      </c>
      <c r="O35">
        <f t="shared" si="21"/>
        <v>250.89</v>
      </c>
      <c r="P35">
        <f t="shared" si="22"/>
        <v>0</v>
      </c>
      <c r="Q35">
        <f t="shared" si="23"/>
        <v>0</v>
      </c>
      <c r="R35">
        <f t="shared" si="24"/>
        <v>0</v>
      </c>
      <c r="S35">
        <f t="shared" si="25"/>
        <v>250.89</v>
      </c>
      <c r="T35">
        <f t="shared" si="26"/>
        <v>0</v>
      </c>
      <c r="U35">
        <f t="shared" si="27"/>
        <v>0.74060034048000001</v>
      </c>
      <c r="V35">
        <f t="shared" si="28"/>
        <v>0</v>
      </c>
      <c r="W35">
        <f t="shared" si="29"/>
        <v>0</v>
      </c>
      <c r="X35">
        <f t="shared" si="30"/>
        <v>218.27</v>
      </c>
      <c r="Y35">
        <f t="shared" si="31"/>
        <v>102.86</v>
      </c>
      <c r="AA35">
        <v>56611490</v>
      </c>
      <c r="AB35">
        <f t="shared" si="32"/>
        <v>1156.2429999999999</v>
      </c>
      <c r="AC35">
        <f t="shared" si="33"/>
        <v>0</v>
      </c>
      <c r="AD35">
        <f t="shared" si="34"/>
        <v>0</v>
      </c>
      <c r="AE35">
        <f t="shared" si="35"/>
        <v>0</v>
      </c>
      <c r="AF35">
        <f t="shared" si="35"/>
        <v>1156.2429999999999</v>
      </c>
      <c r="AG35">
        <f t="shared" si="36"/>
        <v>0</v>
      </c>
      <c r="AH35">
        <f t="shared" si="37"/>
        <v>117.74400000000001</v>
      </c>
      <c r="AI35">
        <f t="shared" si="37"/>
        <v>0</v>
      </c>
      <c r="AJ35">
        <f t="shared" si="38"/>
        <v>0</v>
      </c>
      <c r="AK35">
        <v>1051.1300000000001</v>
      </c>
      <c r="AL35">
        <v>0</v>
      </c>
      <c r="AM35">
        <v>0</v>
      </c>
      <c r="AN35">
        <v>0</v>
      </c>
      <c r="AO35">
        <v>1051.1300000000001</v>
      </c>
      <c r="AP35">
        <v>0</v>
      </c>
      <c r="AQ35">
        <v>107.04</v>
      </c>
      <c r="AR35">
        <v>0</v>
      </c>
      <c r="AS35">
        <v>0</v>
      </c>
      <c r="AT35">
        <v>87</v>
      </c>
      <c r="AU35">
        <v>41</v>
      </c>
      <c r="AV35">
        <v>1.248</v>
      </c>
      <c r="AW35">
        <v>1</v>
      </c>
      <c r="AZ35">
        <v>1</v>
      </c>
      <c r="BA35">
        <v>34.51</v>
      </c>
      <c r="BB35">
        <v>1</v>
      </c>
      <c r="BC35">
        <v>1</v>
      </c>
      <c r="BD35" t="s">
        <v>3</v>
      </c>
      <c r="BE35" t="s">
        <v>3</v>
      </c>
      <c r="BF35" t="s">
        <v>3</v>
      </c>
      <c r="BG35" t="s">
        <v>3</v>
      </c>
      <c r="BH35">
        <v>0</v>
      </c>
      <c r="BI35">
        <v>1</v>
      </c>
      <c r="BJ35" t="s">
        <v>40</v>
      </c>
      <c r="BM35">
        <v>16</v>
      </c>
      <c r="BN35">
        <v>0</v>
      </c>
      <c r="BO35" t="s">
        <v>38</v>
      </c>
      <c r="BP35">
        <v>1</v>
      </c>
      <c r="BQ35">
        <v>30</v>
      </c>
      <c r="BR35">
        <v>0</v>
      </c>
      <c r="BS35">
        <v>34.51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87</v>
      </c>
      <c r="CA35">
        <v>41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689</v>
      </c>
      <c r="CO35">
        <v>0</v>
      </c>
      <c r="CP35">
        <f t="shared" si="39"/>
        <v>250.89</v>
      </c>
      <c r="CQ35">
        <f t="shared" si="40"/>
        <v>0</v>
      </c>
      <c r="CR35">
        <f t="shared" si="41"/>
        <v>0</v>
      </c>
      <c r="CS35">
        <f t="shared" si="42"/>
        <v>0</v>
      </c>
      <c r="CT35">
        <f t="shared" si="43"/>
        <v>49797.58</v>
      </c>
      <c r="CU35">
        <f t="shared" si="44"/>
        <v>0</v>
      </c>
      <c r="CV35">
        <f t="shared" si="45"/>
        <v>146.944512</v>
      </c>
      <c r="CW35">
        <f t="shared" si="46"/>
        <v>0</v>
      </c>
      <c r="CX35">
        <f t="shared" si="47"/>
        <v>0</v>
      </c>
      <c r="CY35">
        <f>S35*(BZ35/100)</f>
        <v>218.27429999999998</v>
      </c>
      <c r="CZ35">
        <f>S35*(CA35/100)</f>
        <v>102.86489999999999</v>
      </c>
      <c r="DC35" t="s">
        <v>3</v>
      </c>
      <c r="DD35" t="s">
        <v>3</v>
      </c>
      <c r="DE35" t="s">
        <v>22</v>
      </c>
      <c r="DF35" t="s">
        <v>22</v>
      </c>
      <c r="DG35" t="s">
        <v>22</v>
      </c>
      <c r="DH35" t="s">
        <v>3</v>
      </c>
      <c r="DI35" t="s">
        <v>22</v>
      </c>
      <c r="DJ35" t="s">
        <v>22</v>
      </c>
      <c r="DK35" t="s">
        <v>3</v>
      </c>
      <c r="DL35" t="s">
        <v>3</v>
      </c>
      <c r="DM35" t="s">
        <v>3</v>
      </c>
      <c r="DN35">
        <v>105</v>
      </c>
      <c r="DO35">
        <v>77</v>
      </c>
      <c r="DP35">
        <v>1.248</v>
      </c>
      <c r="DQ35">
        <v>1</v>
      </c>
      <c r="DU35">
        <v>1013</v>
      </c>
      <c r="DV35" t="s">
        <v>20</v>
      </c>
      <c r="DW35" t="s">
        <v>20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51696099</v>
      </c>
      <c r="EF35">
        <v>30</v>
      </c>
      <c r="EG35" t="s">
        <v>23</v>
      </c>
      <c r="EH35">
        <v>0</v>
      </c>
      <c r="EI35" t="s">
        <v>3</v>
      </c>
      <c r="EJ35">
        <v>1</v>
      </c>
      <c r="EK35">
        <v>16</v>
      </c>
      <c r="EL35" t="s">
        <v>24</v>
      </c>
      <c r="EM35" t="s">
        <v>25</v>
      </c>
      <c r="EO35" t="s">
        <v>26</v>
      </c>
      <c r="EQ35">
        <v>131072</v>
      </c>
      <c r="ER35">
        <v>1051.1300000000001</v>
      </c>
      <c r="ES35">
        <v>0</v>
      </c>
      <c r="ET35">
        <v>0</v>
      </c>
      <c r="EU35">
        <v>0</v>
      </c>
      <c r="EV35">
        <v>1051.1300000000001</v>
      </c>
      <c r="EW35">
        <v>107.04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105</v>
      </c>
      <c r="FY35">
        <v>77</v>
      </c>
      <c r="GA35" t="s">
        <v>3</v>
      </c>
      <c r="GD35">
        <v>0</v>
      </c>
      <c r="GF35">
        <v>1725378853</v>
      </c>
      <c r="GG35">
        <v>2</v>
      </c>
      <c r="GH35">
        <v>1</v>
      </c>
      <c r="GI35">
        <v>2</v>
      </c>
      <c r="GJ35">
        <v>0</v>
      </c>
      <c r="GK35">
        <f>ROUND(R35*(S12)/100,2)</f>
        <v>0</v>
      </c>
      <c r="GL35">
        <f t="shared" si="48"/>
        <v>0</v>
      </c>
      <c r="GM35">
        <f t="shared" si="49"/>
        <v>572.02</v>
      </c>
      <c r="GN35">
        <f t="shared" si="50"/>
        <v>572.02</v>
      </c>
      <c r="GO35">
        <f t="shared" si="51"/>
        <v>0</v>
      </c>
      <c r="GP35">
        <f t="shared" si="52"/>
        <v>0</v>
      </c>
      <c r="GR35">
        <v>0</v>
      </c>
      <c r="GS35">
        <v>3</v>
      </c>
      <c r="GT35">
        <v>0</v>
      </c>
      <c r="GU35" t="s">
        <v>3</v>
      </c>
      <c r="GV35">
        <f t="shared" si="53"/>
        <v>0</v>
      </c>
      <c r="GW35">
        <v>1</v>
      </c>
      <c r="GX35">
        <f t="shared" si="54"/>
        <v>0</v>
      </c>
      <c r="HA35">
        <v>0</v>
      </c>
      <c r="HB35">
        <v>0</v>
      </c>
      <c r="HC35">
        <f t="shared" si="55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>
        <f>ROW(SmtRes!A18)</f>
        <v>18</v>
      </c>
      <c r="D36" s="2">
        <f>ROW(EtalonRes!A16)</f>
        <v>16</v>
      </c>
      <c r="E36" s="2" t="s">
        <v>41</v>
      </c>
      <c r="F36" s="2" t="s">
        <v>34</v>
      </c>
      <c r="G36" s="2" t="s">
        <v>35</v>
      </c>
      <c r="H36" s="2" t="s">
        <v>20</v>
      </c>
      <c r="I36" s="2">
        <f>ROUND(0.847/100,9)</f>
        <v>8.4700000000000001E-3</v>
      </c>
      <c r="J36" s="2">
        <v>0</v>
      </c>
      <c r="K36" s="2">
        <f>ROUND(0.847/100,9)</f>
        <v>8.4700000000000001E-3</v>
      </c>
      <c r="L36" s="2"/>
      <c r="M36" s="2"/>
      <c r="N36" s="2"/>
      <c r="O36" s="2">
        <f t="shared" si="21"/>
        <v>9.39</v>
      </c>
      <c r="P36" s="2">
        <f t="shared" si="22"/>
        <v>0</v>
      </c>
      <c r="Q36" s="2">
        <f>(ROUND((ROUND(((((ET36*1.1)*0.9))*AV36*I36),2)*BB36),2)+ROUND((ROUND(((AE36-(((EU36*1.1)*0.9)))*AV36*I36),2)*BS36),2))</f>
        <v>9.32</v>
      </c>
      <c r="R36" s="2">
        <f t="shared" si="24"/>
        <v>0.92</v>
      </c>
      <c r="S36" s="2">
        <f t="shared" si="25"/>
        <v>7.0000000000000007E-2</v>
      </c>
      <c r="T36" s="2">
        <f t="shared" si="26"/>
        <v>0</v>
      </c>
      <c r="U36" s="2">
        <f t="shared" si="27"/>
        <v>6.6079890799999996E-3</v>
      </c>
      <c r="V36" s="2">
        <f t="shared" si="28"/>
        <v>0</v>
      </c>
      <c r="W36" s="2">
        <f t="shared" si="29"/>
        <v>0</v>
      </c>
      <c r="X36" s="2">
        <f t="shared" si="30"/>
        <v>7.0000000000000007E-2</v>
      </c>
      <c r="Y36" s="2">
        <f t="shared" si="31"/>
        <v>0.05</v>
      </c>
      <c r="Z36" s="2"/>
      <c r="AA36" s="2">
        <v>56622523</v>
      </c>
      <c r="AB36" s="2">
        <f t="shared" si="32"/>
        <v>929.42740000000003</v>
      </c>
      <c r="AC36" s="2">
        <f>ROUND(((ES36*1)),6)</f>
        <v>0</v>
      </c>
      <c r="AD36" s="2">
        <f>ROUND((((((ET36*1.1)*0.9))-(((EU36*1.1)*0.9)))+AE36),6)</f>
        <v>922.73940000000005</v>
      </c>
      <c r="AE36" s="2">
        <f>ROUND((((EU36*1.1)*0.9)),6)</f>
        <v>90.971100000000007</v>
      </c>
      <c r="AF36" s="2">
        <f>ROUND((((EV36*1.1)*0.5)),6)</f>
        <v>6.6879999999999997</v>
      </c>
      <c r="AG36" s="2">
        <f t="shared" si="36"/>
        <v>0</v>
      </c>
      <c r="AH36" s="2">
        <f>(((EW36*1.1)*0.5))</f>
        <v>0.65449999999999997</v>
      </c>
      <c r="AI36" s="2">
        <f>(((EX36*1.1)*0.9))</f>
        <v>0</v>
      </c>
      <c r="AJ36" s="2">
        <f t="shared" si="38"/>
        <v>0</v>
      </c>
      <c r="AK36" s="2">
        <v>944.22</v>
      </c>
      <c r="AL36" s="2">
        <v>0</v>
      </c>
      <c r="AM36" s="2">
        <v>932.06</v>
      </c>
      <c r="AN36" s="2">
        <v>91.89</v>
      </c>
      <c r="AO36" s="2">
        <v>12.16</v>
      </c>
      <c r="AP36" s="2">
        <v>0</v>
      </c>
      <c r="AQ36" s="2">
        <v>1.19</v>
      </c>
      <c r="AR36" s="2">
        <v>0</v>
      </c>
      <c r="AS36" s="2">
        <v>0</v>
      </c>
      <c r="AT36" s="2">
        <v>98</v>
      </c>
      <c r="AU36" s="2">
        <v>77</v>
      </c>
      <c r="AV36" s="2">
        <v>1.1919999999999999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36</v>
      </c>
      <c r="BK36" s="2"/>
      <c r="BL36" s="2"/>
      <c r="BM36" s="2">
        <v>2</v>
      </c>
      <c r="BN36" s="2">
        <v>0</v>
      </c>
      <c r="BO36" s="2" t="s">
        <v>3</v>
      </c>
      <c r="BP36" s="2">
        <v>0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98</v>
      </c>
      <c r="CA36" s="2">
        <v>77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690</v>
      </c>
      <c r="CO36" s="2">
        <v>0</v>
      </c>
      <c r="CP36" s="2">
        <f t="shared" si="39"/>
        <v>9.39</v>
      </c>
      <c r="CQ36" s="2">
        <f t="shared" si="40"/>
        <v>0</v>
      </c>
      <c r="CR36" s="2">
        <f>(ROUND((ROUND(((((ET36*1.1)*0.9))*AV36*1),2)*BB36),2)+ROUND((ROUND(((AE36-(((EU36*1.1)*0.9)))*AV36*1),2)*BS36),2))</f>
        <v>1099.9100000000001</v>
      </c>
      <c r="CS36" s="2">
        <f t="shared" si="42"/>
        <v>108.44</v>
      </c>
      <c r="CT36" s="2">
        <f t="shared" si="43"/>
        <v>7.97</v>
      </c>
      <c r="CU36" s="2">
        <f t="shared" si="44"/>
        <v>0</v>
      </c>
      <c r="CV36" s="2">
        <f t="shared" si="45"/>
        <v>0.78016399999999997</v>
      </c>
      <c r="CW36" s="2">
        <f t="shared" si="46"/>
        <v>0</v>
      </c>
      <c r="CX36" s="2">
        <f t="shared" si="47"/>
        <v>0</v>
      </c>
      <c r="CY36" s="2">
        <f>((S36*BZ36)/100)</f>
        <v>6.8600000000000008E-2</v>
      </c>
      <c r="CZ36" s="2">
        <f>((S36*CA36)/100)</f>
        <v>5.3900000000000003E-2</v>
      </c>
      <c r="DA36" s="2"/>
      <c r="DB36" s="2"/>
      <c r="DC36" s="2" t="s">
        <v>3</v>
      </c>
      <c r="DD36" s="2" t="s">
        <v>42</v>
      </c>
      <c r="DE36" s="2" t="s">
        <v>43</v>
      </c>
      <c r="DF36" s="2" t="s">
        <v>43</v>
      </c>
      <c r="DG36" s="2" t="s">
        <v>44</v>
      </c>
      <c r="DH36" s="2" t="s">
        <v>3</v>
      </c>
      <c r="DI36" s="2" t="s">
        <v>44</v>
      </c>
      <c r="DJ36" s="2" t="s">
        <v>43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20</v>
      </c>
      <c r="DW36" s="2" t="s">
        <v>20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51696085</v>
      </c>
      <c r="EF36" s="2">
        <v>30</v>
      </c>
      <c r="EG36" s="2" t="s">
        <v>23</v>
      </c>
      <c r="EH36" s="2">
        <v>0</v>
      </c>
      <c r="EI36" s="2" t="s">
        <v>3</v>
      </c>
      <c r="EJ36" s="2">
        <v>1</v>
      </c>
      <c r="EK36" s="2">
        <v>2</v>
      </c>
      <c r="EL36" s="2" t="s">
        <v>31</v>
      </c>
      <c r="EM36" s="2" t="s">
        <v>32</v>
      </c>
      <c r="EN36" s="2"/>
      <c r="EO36" s="2" t="s">
        <v>45</v>
      </c>
      <c r="EP36" s="2"/>
      <c r="EQ36" s="2">
        <v>131072</v>
      </c>
      <c r="ER36" s="2">
        <v>944.22</v>
      </c>
      <c r="ES36" s="2">
        <v>0</v>
      </c>
      <c r="ET36" s="2">
        <v>932.06</v>
      </c>
      <c r="EU36" s="2">
        <v>91.89</v>
      </c>
      <c r="EV36" s="2">
        <v>12.16</v>
      </c>
      <c r="EW36" s="2">
        <v>1.19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98</v>
      </c>
      <c r="FY36" s="2">
        <v>77</v>
      </c>
      <c r="FZ36" s="2"/>
      <c r="GA36" s="2" t="s">
        <v>3</v>
      </c>
      <c r="GB36" s="2"/>
      <c r="GC36" s="2"/>
      <c r="GD36" s="2">
        <v>0</v>
      </c>
      <c r="GE36" s="2"/>
      <c r="GF36" s="2">
        <v>864155608</v>
      </c>
      <c r="GG36" s="2">
        <v>2</v>
      </c>
      <c r="GH36" s="2">
        <v>1</v>
      </c>
      <c r="GI36" s="2">
        <v>-2</v>
      </c>
      <c r="GJ36" s="2">
        <v>0</v>
      </c>
      <c r="GK36" s="2">
        <f>ROUND(R36*(R12)/100,2)</f>
        <v>1.61</v>
      </c>
      <c r="GL36" s="2">
        <f t="shared" si="48"/>
        <v>0</v>
      </c>
      <c r="GM36" s="2">
        <f t="shared" si="49"/>
        <v>11.12</v>
      </c>
      <c r="GN36" s="2">
        <f t="shared" si="50"/>
        <v>11.12</v>
      </c>
      <c r="GO36" s="2">
        <f t="shared" si="51"/>
        <v>0</v>
      </c>
      <c r="GP36" s="2">
        <f t="shared" si="52"/>
        <v>0</v>
      </c>
      <c r="GQ36" s="2"/>
      <c r="GR36" s="2">
        <v>0</v>
      </c>
      <c r="GS36" s="2">
        <v>0</v>
      </c>
      <c r="GT36" s="2">
        <v>0</v>
      </c>
      <c r="GU36" s="2" t="s">
        <v>3</v>
      </c>
      <c r="GV36" s="2">
        <f t="shared" si="53"/>
        <v>0</v>
      </c>
      <c r="GW36" s="2">
        <v>1</v>
      </c>
      <c r="GX36" s="2">
        <f t="shared" si="54"/>
        <v>0</v>
      </c>
      <c r="GY36" s="2"/>
      <c r="GZ36" s="2"/>
      <c r="HA36" s="2">
        <v>0</v>
      </c>
      <c r="HB36" s="2">
        <v>0</v>
      </c>
      <c r="HC36" s="2">
        <f t="shared" si="5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C37">
        <f>ROW(SmtRes!A20)</f>
        <v>20</v>
      </c>
      <c r="D37">
        <f>ROW(EtalonRes!A18)</f>
        <v>18</v>
      </c>
      <c r="E37" t="s">
        <v>41</v>
      </c>
      <c r="F37" t="s">
        <v>34</v>
      </c>
      <c r="G37" t="s">
        <v>35</v>
      </c>
      <c r="H37" t="s">
        <v>20</v>
      </c>
      <c r="I37">
        <f>ROUND(0.847/100,9)</f>
        <v>8.4700000000000001E-3</v>
      </c>
      <c r="J37">
        <v>0</v>
      </c>
      <c r="K37">
        <f>ROUND(0.847/100,9)</f>
        <v>8.4700000000000001E-3</v>
      </c>
      <c r="O37">
        <f t="shared" si="21"/>
        <v>115.84</v>
      </c>
      <c r="P37">
        <f t="shared" si="22"/>
        <v>0</v>
      </c>
      <c r="Q37">
        <f>(ROUND((ROUND(((((ET37*1.1)*0.9))*AV37*I37),2)*BB37),2)+ROUND((ROUND(((AE37-(((EU37*1.1)*0.9)))*AV37*I37),2)*BS37),2))</f>
        <v>113.42</v>
      </c>
      <c r="R37">
        <f t="shared" si="24"/>
        <v>31.75</v>
      </c>
      <c r="S37">
        <f t="shared" si="25"/>
        <v>2.42</v>
      </c>
      <c r="T37">
        <f t="shared" si="26"/>
        <v>0</v>
      </c>
      <c r="U37">
        <f t="shared" si="27"/>
        <v>6.6079890799999996E-3</v>
      </c>
      <c r="V37">
        <f t="shared" si="28"/>
        <v>0</v>
      </c>
      <c r="W37">
        <f t="shared" si="29"/>
        <v>0</v>
      </c>
      <c r="X37">
        <f t="shared" si="30"/>
        <v>2.27</v>
      </c>
      <c r="Y37">
        <f t="shared" si="31"/>
        <v>1.23</v>
      </c>
      <c r="AA37">
        <v>56611490</v>
      </c>
      <c r="AB37">
        <f t="shared" si="32"/>
        <v>929.42740000000003</v>
      </c>
      <c r="AC37">
        <f>ROUND(((ES37*1)),6)</f>
        <v>0</v>
      </c>
      <c r="AD37">
        <f>ROUND((((((ET37*1.1)*0.9))-(((EU37*1.1)*0.9)))+AE37),6)</f>
        <v>922.73940000000005</v>
      </c>
      <c r="AE37">
        <f>ROUND((((EU37*1.1)*0.9)),6)</f>
        <v>90.971100000000007</v>
      </c>
      <c r="AF37">
        <f>ROUND((((EV37*1.1)*0.5)),6)</f>
        <v>6.6879999999999997</v>
      </c>
      <c r="AG37">
        <f t="shared" si="36"/>
        <v>0</v>
      </c>
      <c r="AH37">
        <f>(((EW37*1.1)*0.5))</f>
        <v>0.65449999999999997</v>
      </c>
      <c r="AI37">
        <f>(((EX37*1.1)*0.9))</f>
        <v>0</v>
      </c>
      <c r="AJ37">
        <f t="shared" si="38"/>
        <v>0</v>
      </c>
      <c r="AK37">
        <v>944.22</v>
      </c>
      <c r="AL37">
        <v>0</v>
      </c>
      <c r="AM37">
        <v>932.06</v>
      </c>
      <c r="AN37">
        <v>91.89</v>
      </c>
      <c r="AO37">
        <v>12.16</v>
      </c>
      <c r="AP37">
        <v>0</v>
      </c>
      <c r="AQ37">
        <v>1.19</v>
      </c>
      <c r="AR37">
        <v>0</v>
      </c>
      <c r="AS37">
        <v>0</v>
      </c>
      <c r="AT37">
        <v>94</v>
      </c>
      <c r="AU37">
        <v>51</v>
      </c>
      <c r="AV37">
        <v>1.1919999999999999</v>
      </c>
      <c r="AW37">
        <v>1</v>
      </c>
      <c r="AZ37">
        <v>1</v>
      </c>
      <c r="BA37">
        <v>34.51</v>
      </c>
      <c r="BB37">
        <v>12.17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1</v>
      </c>
      <c r="BJ37" t="s">
        <v>36</v>
      </c>
      <c r="BM37">
        <v>2</v>
      </c>
      <c r="BN37">
        <v>0</v>
      </c>
      <c r="BO37" t="s">
        <v>34</v>
      </c>
      <c r="BP37">
        <v>1</v>
      </c>
      <c r="BQ37">
        <v>30</v>
      </c>
      <c r="BR37">
        <v>0</v>
      </c>
      <c r="BS37">
        <v>34.51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94</v>
      </c>
      <c r="CA37">
        <v>51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690</v>
      </c>
      <c r="CO37">
        <v>0</v>
      </c>
      <c r="CP37">
        <f t="shared" si="39"/>
        <v>115.84</v>
      </c>
      <c r="CQ37">
        <f t="shared" si="40"/>
        <v>0</v>
      </c>
      <c r="CR37">
        <f>(ROUND((ROUND(((((ET37*1.1)*0.9))*AV37*1),2)*BB37),2)+ROUND((ROUND(((AE37-(((EU37*1.1)*0.9)))*AV37*1),2)*BS37),2))</f>
        <v>13385.9</v>
      </c>
      <c r="CS37">
        <f t="shared" si="42"/>
        <v>3742.26</v>
      </c>
      <c r="CT37">
        <f t="shared" si="43"/>
        <v>275.04000000000002</v>
      </c>
      <c r="CU37">
        <f t="shared" si="44"/>
        <v>0</v>
      </c>
      <c r="CV37">
        <f t="shared" si="45"/>
        <v>0.78016399999999997</v>
      </c>
      <c r="CW37">
        <f t="shared" si="46"/>
        <v>0</v>
      </c>
      <c r="CX37">
        <f t="shared" si="47"/>
        <v>0</v>
      </c>
      <c r="CY37">
        <f>S37*(BZ37/100)</f>
        <v>2.2747999999999999</v>
      </c>
      <c r="CZ37">
        <f>S37*(CA37/100)</f>
        <v>1.2342</v>
      </c>
      <c r="DC37" t="s">
        <v>3</v>
      </c>
      <c r="DD37" t="s">
        <v>42</v>
      </c>
      <c r="DE37" t="s">
        <v>43</v>
      </c>
      <c r="DF37" t="s">
        <v>43</v>
      </c>
      <c r="DG37" t="s">
        <v>44</v>
      </c>
      <c r="DH37" t="s">
        <v>3</v>
      </c>
      <c r="DI37" t="s">
        <v>44</v>
      </c>
      <c r="DJ37" t="s">
        <v>43</v>
      </c>
      <c r="DK37" t="s">
        <v>3</v>
      </c>
      <c r="DL37" t="s">
        <v>3</v>
      </c>
      <c r="DM37" t="s">
        <v>3</v>
      </c>
      <c r="DN37">
        <v>98</v>
      </c>
      <c r="DO37">
        <v>77</v>
      </c>
      <c r="DP37">
        <v>1.1919999999999999</v>
      </c>
      <c r="DQ37">
        <v>1</v>
      </c>
      <c r="DU37">
        <v>1013</v>
      </c>
      <c r="DV37" t="s">
        <v>20</v>
      </c>
      <c r="DW37" t="s">
        <v>20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51696085</v>
      </c>
      <c r="EF37">
        <v>30</v>
      </c>
      <c r="EG37" t="s">
        <v>23</v>
      </c>
      <c r="EH37">
        <v>0</v>
      </c>
      <c r="EI37" t="s">
        <v>3</v>
      </c>
      <c r="EJ37">
        <v>1</v>
      </c>
      <c r="EK37">
        <v>2</v>
      </c>
      <c r="EL37" t="s">
        <v>31</v>
      </c>
      <c r="EM37" t="s">
        <v>32</v>
      </c>
      <c r="EO37" t="s">
        <v>45</v>
      </c>
      <c r="EQ37">
        <v>131072</v>
      </c>
      <c r="ER37">
        <v>944.22</v>
      </c>
      <c r="ES37">
        <v>0</v>
      </c>
      <c r="ET37">
        <v>932.06</v>
      </c>
      <c r="EU37">
        <v>91.89</v>
      </c>
      <c r="EV37">
        <v>12.16</v>
      </c>
      <c r="EW37">
        <v>1.19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98</v>
      </c>
      <c r="FY37">
        <v>77</v>
      </c>
      <c r="GA37" t="s">
        <v>3</v>
      </c>
      <c r="GD37">
        <v>0</v>
      </c>
      <c r="GF37">
        <v>864155608</v>
      </c>
      <c r="GG37">
        <v>2</v>
      </c>
      <c r="GH37">
        <v>1</v>
      </c>
      <c r="GI37">
        <v>2</v>
      </c>
      <c r="GJ37">
        <v>0</v>
      </c>
      <c r="GK37">
        <f>ROUND(R37*(S12)/100,2)</f>
        <v>50.8</v>
      </c>
      <c r="GL37">
        <f t="shared" si="48"/>
        <v>0</v>
      </c>
      <c r="GM37">
        <f t="shared" si="49"/>
        <v>170.14</v>
      </c>
      <c r="GN37">
        <f t="shared" si="50"/>
        <v>170.14</v>
      </c>
      <c r="GO37">
        <f t="shared" si="51"/>
        <v>0</v>
      </c>
      <c r="GP37">
        <f t="shared" si="52"/>
        <v>0</v>
      </c>
      <c r="GR37">
        <v>0</v>
      </c>
      <c r="GS37">
        <v>3</v>
      </c>
      <c r="GT37">
        <v>0</v>
      </c>
      <c r="GU37" t="s">
        <v>3</v>
      </c>
      <c r="GV37">
        <f t="shared" si="53"/>
        <v>0</v>
      </c>
      <c r="GW37">
        <v>1</v>
      </c>
      <c r="GX37">
        <f t="shared" si="54"/>
        <v>0</v>
      </c>
      <c r="HA37">
        <v>0</v>
      </c>
      <c r="HB37">
        <v>0</v>
      </c>
      <c r="HC37">
        <f t="shared" si="55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/>
      <c r="D38" s="2">
        <f>ROW(EtalonRes!A22)</f>
        <v>22</v>
      </c>
      <c r="E38" s="2" t="s">
        <v>46</v>
      </c>
      <c r="F38" s="2" t="s">
        <v>47</v>
      </c>
      <c r="G38" s="2" t="s">
        <v>48</v>
      </c>
      <c r="H38" s="2" t="s">
        <v>49</v>
      </c>
      <c r="I38" s="2">
        <v>0</v>
      </c>
      <c r="J38" s="2">
        <v>0</v>
      </c>
      <c r="K38" s="2">
        <v>0</v>
      </c>
      <c r="L38" s="2"/>
      <c r="M38" s="2"/>
      <c r="N38" s="2"/>
      <c r="O38" s="2">
        <f t="shared" si="21"/>
        <v>0</v>
      </c>
      <c r="P38" s="2">
        <f t="shared" si="22"/>
        <v>0</v>
      </c>
      <c r="Q38" s="2">
        <f t="shared" ref="Q38:Q43" si="56">(ROUND((ROUND((((ET38*1.1))*AV38*I38),2)*BB38),2)+ROUND((ROUND(((AE38-((EU38*1.1)))*AV38*I38),2)*BS38),2))</f>
        <v>0</v>
      </c>
      <c r="R38" s="2">
        <f t="shared" si="24"/>
        <v>0</v>
      </c>
      <c r="S38" s="2">
        <f t="shared" si="25"/>
        <v>0</v>
      </c>
      <c r="T38" s="2">
        <f t="shared" si="26"/>
        <v>0</v>
      </c>
      <c r="U38" s="2">
        <f t="shared" si="27"/>
        <v>0</v>
      </c>
      <c r="V38" s="2">
        <f t="shared" si="28"/>
        <v>0</v>
      </c>
      <c r="W38" s="2">
        <f t="shared" si="29"/>
        <v>0</v>
      </c>
      <c r="X38" s="2">
        <f t="shared" si="30"/>
        <v>0</v>
      </c>
      <c r="Y38" s="2">
        <f t="shared" si="31"/>
        <v>0</v>
      </c>
      <c r="Z38" s="2"/>
      <c r="AA38" s="2">
        <v>56622523</v>
      </c>
      <c r="AB38" s="2">
        <f t="shared" si="32"/>
        <v>21251.263999999999</v>
      </c>
      <c r="AC38" s="2">
        <f t="shared" ref="AC38:AC43" si="57">ROUND((ES38),6)</f>
        <v>19554.14</v>
      </c>
      <c r="AD38" s="2">
        <f t="shared" ref="AD38:AD43" si="58">ROUND(((((ET38*1.1))-((EU38*1.1)))+AE38),6)</f>
        <v>0</v>
      </c>
      <c r="AE38" s="2">
        <f t="shared" ref="AE38:AF43" si="59">ROUND(((EU38*1.1)),6)</f>
        <v>0</v>
      </c>
      <c r="AF38" s="2">
        <f t="shared" si="59"/>
        <v>1697.124</v>
      </c>
      <c r="AG38" s="2">
        <f t="shared" si="36"/>
        <v>0</v>
      </c>
      <c r="AH38" s="2">
        <f t="shared" ref="AH38:AI43" si="60">((EW38*1.1))</f>
        <v>151.80000000000001</v>
      </c>
      <c r="AI38" s="2">
        <f t="shared" si="60"/>
        <v>0</v>
      </c>
      <c r="AJ38" s="2">
        <f t="shared" si="38"/>
        <v>0</v>
      </c>
      <c r="AK38" s="2">
        <v>21096.98</v>
      </c>
      <c r="AL38" s="2">
        <v>19554.14</v>
      </c>
      <c r="AM38" s="2">
        <v>0</v>
      </c>
      <c r="AN38" s="2">
        <v>0</v>
      </c>
      <c r="AO38" s="2">
        <v>1542.84</v>
      </c>
      <c r="AP38" s="2">
        <v>0</v>
      </c>
      <c r="AQ38" s="2">
        <v>138</v>
      </c>
      <c r="AR38" s="2">
        <v>0</v>
      </c>
      <c r="AS38" s="2">
        <v>0</v>
      </c>
      <c r="AT38" s="2">
        <v>112</v>
      </c>
      <c r="AU38" s="2">
        <v>70</v>
      </c>
      <c r="AV38" s="2">
        <v>1.0669999999999999</v>
      </c>
      <c r="AW38" s="2">
        <v>1.081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50</v>
      </c>
      <c r="BK38" s="2"/>
      <c r="BL38" s="2"/>
      <c r="BM38" s="2">
        <v>242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112</v>
      </c>
      <c r="CA38" s="2">
        <v>70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689</v>
      </c>
      <c r="CO38" s="2">
        <v>0</v>
      </c>
      <c r="CP38" s="2">
        <f t="shared" si="39"/>
        <v>0</v>
      </c>
      <c r="CQ38" s="2">
        <f t="shared" si="40"/>
        <v>21138.03</v>
      </c>
      <c r="CR38" s="2">
        <f t="shared" ref="CR38:CR43" si="61">(ROUND((ROUND((((ET38*1.1))*AV38*1),2)*BB38),2)+ROUND((ROUND(((AE38-((EU38*1.1)))*AV38*1),2)*BS38),2))</f>
        <v>0</v>
      </c>
      <c r="CS38" s="2">
        <f t="shared" si="42"/>
        <v>0</v>
      </c>
      <c r="CT38" s="2">
        <f t="shared" si="43"/>
        <v>1810.83</v>
      </c>
      <c r="CU38" s="2">
        <f t="shared" si="44"/>
        <v>0</v>
      </c>
      <c r="CV38" s="2">
        <f t="shared" si="45"/>
        <v>161.97059999999999</v>
      </c>
      <c r="CW38" s="2">
        <f t="shared" si="46"/>
        <v>0</v>
      </c>
      <c r="CX38" s="2">
        <f t="shared" si="47"/>
        <v>0</v>
      </c>
      <c r="CY38" s="2">
        <f>((S38*BZ38)/100)</f>
        <v>0</v>
      </c>
      <c r="CZ38" s="2">
        <f>((S38*CA38)/100)</f>
        <v>0</v>
      </c>
      <c r="DA38" s="2"/>
      <c r="DB38" s="2"/>
      <c r="DC38" s="2" t="s">
        <v>3</v>
      </c>
      <c r="DD38" s="2" t="s">
        <v>3</v>
      </c>
      <c r="DE38" s="2" t="s">
        <v>22</v>
      </c>
      <c r="DF38" s="2" t="s">
        <v>22</v>
      </c>
      <c r="DG38" s="2" t="s">
        <v>22</v>
      </c>
      <c r="DH38" s="2" t="s">
        <v>3</v>
      </c>
      <c r="DI38" s="2" t="s">
        <v>22</v>
      </c>
      <c r="DJ38" s="2" t="s">
        <v>22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49</v>
      </c>
      <c r="DW38" s="2" t="s">
        <v>49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51696281</v>
      </c>
      <c r="EF38" s="2">
        <v>30</v>
      </c>
      <c r="EG38" s="2" t="s">
        <v>23</v>
      </c>
      <c r="EH38" s="2">
        <v>0</v>
      </c>
      <c r="EI38" s="2" t="s">
        <v>3</v>
      </c>
      <c r="EJ38" s="2">
        <v>1</v>
      </c>
      <c r="EK38" s="2">
        <v>242</v>
      </c>
      <c r="EL38" s="2" t="s">
        <v>51</v>
      </c>
      <c r="EM38" s="2" t="s">
        <v>52</v>
      </c>
      <c r="EN38" s="2"/>
      <c r="EO38" s="2" t="s">
        <v>26</v>
      </c>
      <c r="EP38" s="2"/>
      <c r="EQ38" s="2">
        <v>131072</v>
      </c>
      <c r="ER38" s="2">
        <v>21096.98</v>
      </c>
      <c r="ES38" s="2">
        <v>19554.14</v>
      </c>
      <c r="ET38" s="2">
        <v>0</v>
      </c>
      <c r="EU38" s="2">
        <v>0</v>
      </c>
      <c r="EV38" s="2">
        <v>1542.84</v>
      </c>
      <c r="EW38" s="2">
        <v>138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2</v>
      </c>
      <c r="FT38" s="2"/>
      <c r="FU38" s="2"/>
      <c r="FV38" s="2"/>
      <c r="FW38" s="2"/>
      <c r="FX38" s="2">
        <v>112</v>
      </c>
      <c r="FY38" s="2">
        <v>70</v>
      </c>
      <c r="FZ38" s="2"/>
      <c r="GA38" s="2" t="s">
        <v>3</v>
      </c>
      <c r="GB38" s="2"/>
      <c r="GC38" s="2"/>
      <c r="GD38" s="2">
        <v>0</v>
      </c>
      <c r="GE38" s="2"/>
      <c r="GF38" s="2">
        <v>-1466514599</v>
      </c>
      <c r="GG38" s="2">
        <v>2</v>
      </c>
      <c r="GH38" s="2">
        <v>1</v>
      </c>
      <c r="GI38" s="2">
        <v>-2</v>
      </c>
      <c r="GJ38" s="2">
        <v>0</v>
      </c>
      <c r="GK38" s="2">
        <f>ROUND(R38*(R12)/100,2)</f>
        <v>0</v>
      </c>
      <c r="GL38" s="2">
        <f t="shared" si="48"/>
        <v>0</v>
      </c>
      <c r="GM38" s="2">
        <f t="shared" si="49"/>
        <v>0</v>
      </c>
      <c r="GN38" s="2">
        <f t="shared" si="50"/>
        <v>0</v>
      </c>
      <c r="GO38" s="2">
        <f t="shared" si="51"/>
        <v>0</v>
      </c>
      <c r="GP38" s="2">
        <f t="shared" si="52"/>
        <v>0</v>
      </c>
      <c r="GQ38" s="2"/>
      <c r="GR38" s="2">
        <v>0</v>
      </c>
      <c r="GS38" s="2">
        <v>0</v>
      </c>
      <c r="GT38" s="2">
        <v>0</v>
      </c>
      <c r="GU38" s="2" t="s">
        <v>3</v>
      </c>
      <c r="GV38" s="2">
        <f t="shared" si="53"/>
        <v>0</v>
      </c>
      <c r="GW38" s="2">
        <v>1</v>
      </c>
      <c r="GX38" s="2">
        <f t="shared" si="54"/>
        <v>0</v>
      </c>
      <c r="GY38" s="2"/>
      <c r="GZ38" s="2"/>
      <c r="HA38" s="2">
        <v>0</v>
      </c>
      <c r="HB38" s="2">
        <v>0</v>
      </c>
      <c r="HC38" s="2">
        <f t="shared" si="55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D39">
        <f>ROW(EtalonRes!A26)</f>
        <v>26</v>
      </c>
      <c r="E39" t="s">
        <v>46</v>
      </c>
      <c r="F39" t="s">
        <v>47</v>
      </c>
      <c r="G39" t="s">
        <v>48</v>
      </c>
      <c r="H39" t="s">
        <v>49</v>
      </c>
      <c r="I39">
        <v>0</v>
      </c>
      <c r="J39">
        <v>0</v>
      </c>
      <c r="K39">
        <v>0</v>
      </c>
      <c r="O39">
        <f t="shared" si="21"/>
        <v>0</v>
      </c>
      <c r="P39">
        <f t="shared" si="22"/>
        <v>0</v>
      </c>
      <c r="Q39">
        <f t="shared" si="56"/>
        <v>0</v>
      </c>
      <c r="R39">
        <f t="shared" si="24"/>
        <v>0</v>
      </c>
      <c r="S39">
        <f t="shared" si="25"/>
        <v>0</v>
      </c>
      <c r="T39">
        <f t="shared" si="26"/>
        <v>0</v>
      </c>
      <c r="U39">
        <f t="shared" si="27"/>
        <v>0</v>
      </c>
      <c r="V39">
        <f t="shared" si="28"/>
        <v>0</v>
      </c>
      <c r="W39">
        <f t="shared" si="29"/>
        <v>0</v>
      </c>
      <c r="X39">
        <f t="shared" si="30"/>
        <v>0</v>
      </c>
      <c r="Y39">
        <f t="shared" si="31"/>
        <v>0</v>
      </c>
      <c r="AA39">
        <v>56611490</v>
      </c>
      <c r="AB39">
        <f t="shared" si="32"/>
        <v>21251.263999999999</v>
      </c>
      <c r="AC39">
        <f t="shared" si="57"/>
        <v>19554.14</v>
      </c>
      <c r="AD39">
        <f t="shared" si="58"/>
        <v>0</v>
      </c>
      <c r="AE39">
        <f t="shared" si="59"/>
        <v>0</v>
      </c>
      <c r="AF39">
        <f t="shared" si="59"/>
        <v>1697.124</v>
      </c>
      <c r="AG39">
        <f t="shared" si="36"/>
        <v>0</v>
      </c>
      <c r="AH39">
        <f t="shared" si="60"/>
        <v>151.80000000000001</v>
      </c>
      <c r="AI39">
        <f t="shared" si="60"/>
        <v>0</v>
      </c>
      <c r="AJ39">
        <f t="shared" si="38"/>
        <v>0</v>
      </c>
      <c r="AK39">
        <v>21096.98</v>
      </c>
      <c r="AL39">
        <v>19554.14</v>
      </c>
      <c r="AM39">
        <v>0</v>
      </c>
      <c r="AN39">
        <v>0</v>
      </c>
      <c r="AO39">
        <v>1542.84</v>
      </c>
      <c r="AP39">
        <v>0</v>
      </c>
      <c r="AQ39">
        <v>138</v>
      </c>
      <c r="AR39">
        <v>0</v>
      </c>
      <c r="AS39">
        <v>0</v>
      </c>
      <c r="AT39">
        <v>92</v>
      </c>
      <c r="AU39">
        <v>41</v>
      </c>
      <c r="AV39">
        <v>1.0669999999999999</v>
      </c>
      <c r="AW39">
        <v>1.081</v>
      </c>
      <c r="AZ39">
        <v>1</v>
      </c>
      <c r="BA39">
        <v>34.51</v>
      </c>
      <c r="BB39">
        <v>1</v>
      </c>
      <c r="BC39">
        <v>7.65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1</v>
      </c>
      <c r="BJ39" t="s">
        <v>50</v>
      </c>
      <c r="BM39">
        <v>242</v>
      </c>
      <c r="BN39">
        <v>0</v>
      </c>
      <c r="BO39" t="s">
        <v>47</v>
      </c>
      <c r="BP39">
        <v>1</v>
      </c>
      <c r="BQ39">
        <v>30</v>
      </c>
      <c r="BR39">
        <v>0</v>
      </c>
      <c r="BS39">
        <v>34.51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92</v>
      </c>
      <c r="CA39">
        <v>41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689</v>
      </c>
      <c r="CO39">
        <v>0</v>
      </c>
      <c r="CP39">
        <f t="shared" si="39"/>
        <v>0</v>
      </c>
      <c r="CQ39">
        <f t="shared" si="40"/>
        <v>161705.93</v>
      </c>
      <c r="CR39">
        <f t="shared" si="61"/>
        <v>0</v>
      </c>
      <c r="CS39">
        <f t="shared" si="42"/>
        <v>0</v>
      </c>
      <c r="CT39">
        <f t="shared" si="43"/>
        <v>62491.74</v>
      </c>
      <c r="CU39">
        <f t="shared" si="44"/>
        <v>0</v>
      </c>
      <c r="CV39">
        <f t="shared" si="45"/>
        <v>161.97059999999999</v>
      </c>
      <c r="CW39">
        <f t="shared" si="46"/>
        <v>0</v>
      </c>
      <c r="CX39">
        <f t="shared" si="47"/>
        <v>0</v>
      </c>
      <c r="CY39">
        <f>S39*(BZ39/100)</f>
        <v>0</v>
      </c>
      <c r="CZ39">
        <f>S39*(CA39/100)</f>
        <v>0</v>
      </c>
      <c r="DC39" t="s">
        <v>3</v>
      </c>
      <c r="DD39" t="s">
        <v>3</v>
      </c>
      <c r="DE39" t="s">
        <v>22</v>
      </c>
      <c r="DF39" t="s">
        <v>22</v>
      </c>
      <c r="DG39" t="s">
        <v>22</v>
      </c>
      <c r="DH39" t="s">
        <v>3</v>
      </c>
      <c r="DI39" t="s">
        <v>22</v>
      </c>
      <c r="DJ39" t="s">
        <v>22</v>
      </c>
      <c r="DK39" t="s">
        <v>3</v>
      </c>
      <c r="DL39" t="s">
        <v>3</v>
      </c>
      <c r="DM39" t="s">
        <v>3</v>
      </c>
      <c r="DN39">
        <v>112</v>
      </c>
      <c r="DO39">
        <v>70</v>
      </c>
      <c r="DP39">
        <v>1.0669999999999999</v>
      </c>
      <c r="DQ39">
        <v>1.081</v>
      </c>
      <c r="DU39">
        <v>1013</v>
      </c>
      <c r="DV39" t="s">
        <v>49</v>
      </c>
      <c r="DW39" t="s">
        <v>49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51696281</v>
      </c>
      <c r="EF39">
        <v>30</v>
      </c>
      <c r="EG39" t="s">
        <v>23</v>
      </c>
      <c r="EH39">
        <v>0</v>
      </c>
      <c r="EI39" t="s">
        <v>3</v>
      </c>
      <c r="EJ39">
        <v>1</v>
      </c>
      <c r="EK39">
        <v>242</v>
      </c>
      <c r="EL39" t="s">
        <v>51</v>
      </c>
      <c r="EM39" t="s">
        <v>52</v>
      </c>
      <c r="EO39" t="s">
        <v>26</v>
      </c>
      <c r="EQ39">
        <v>131072</v>
      </c>
      <c r="ER39">
        <v>21096.98</v>
      </c>
      <c r="ES39">
        <v>19554.14</v>
      </c>
      <c r="ET39">
        <v>0</v>
      </c>
      <c r="EU39">
        <v>0</v>
      </c>
      <c r="EV39">
        <v>1542.84</v>
      </c>
      <c r="EW39">
        <v>138</v>
      </c>
      <c r="EX39">
        <v>0</v>
      </c>
      <c r="EY39">
        <v>0</v>
      </c>
      <c r="FQ39">
        <v>0</v>
      </c>
      <c r="FR39">
        <v>0</v>
      </c>
      <c r="FS39">
        <v>2</v>
      </c>
      <c r="FX39">
        <v>112</v>
      </c>
      <c r="FY39">
        <v>70</v>
      </c>
      <c r="GA39" t="s">
        <v>3</v>
      </c>
      <c r="GD39">
        <v>0</v>
      </c>
      <c r="GF39">
        <v>-1466514599</v>
      </c>
      <c r="GG39">
        <v>2</v>
      </c>
      <c r="GH39">
        <v>1</v>
      </c>
      <c r="GI39">
        <v>2</v>
      </c>
      <c r="GJ39">
        <v>0</v>
      </c>
      <c r="GK39">
        <f>ROUND(R39*(S12)/100,2)</f>
        <v>0</v>
      </c>
      <c r="GL39">
        <f t="shared" si="48"/>
        <v>0</v>
      </c>
      <c r="GM39">
        <f t="shared" si="49"/>
        <v>0</v>
      </c>
      <c r="GN39">
        <f t="shared" si="50"/>
        <v>0</v>
      </c>
      <c r="GO39">
        <f t="shared" si="51"/>
        <v>0</v>
      </c>
      <c r="GP39">
        <f t="shared" si="52"/>
        <v>0</v>
      </c>
      <c r="GR39">
        <v>0</v>
      </c>
      <c r="GS39">
        <v>3</v>
      </c>
      <c r="GT39">
        <v>0</v>
      </c>
      <c r="GU39" t="s">
        <v>3</v>
      </c>
      <c r="GV39">
        <f t="shared" si="53"/>
        <v>0</v>
      </c>
      <c r="GW39">
        <v>1</v>
      </c>
      <c r="GX39">
        <f t="shared" si="54"/>
        <v>0</v>
      </c>
      <c r="HA39">
        <v>0</v>
      </c>
      <c r="HB39">
        <v>0</v>
      </c>
      <c r="HC39">
        <f t="shared" si="55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/>
      <c r="D40" s="2"/>
      <c r="E40" s="2" t="s">
        <v>53</v>
      </c>
      <c r="F40" s="2" t="s">
        <v>54</v>
      </c>
      <c r="G40" s="2" t="s">
        <v>55</v>
      </c>
      <c r="H40" s="2" t="s">
        <v>56</v>
      </c>
      <c r="I40" s="2">
        <f>ROUND(-(I38)*1000,9)</f>
        <v>0</v>
      </c>
      <c r="J40" s="2">
        <v>0</v>
      </c>
      <c r="K40" s="2">
        <f>ROUND(-(I38)*1000,9)</f>
        <v>0</v>
      </c>
      <c r="L40" s="2"/>
      <c r="M40" s="2"/>
      <c r="N40" s="2"/>
      <c r="O40" s="2">
        <f t="shared" si="21"/>
        <v>0</v>
      </c>
      <c r="P40" s="2">
        <f t="shared" si="22"/>
        <v>0</v>
      </c>
      <c r="Q40" s="2">
        <f t="shared" si="56"/>
        <v>0</v>
      </c>
      <c r="R40" s="2">
        <f t="shared" si="24"/>
        <v>0</v>
      </c>
      <c r="S40" s="2">
        <f t="shared" si="25"/>
        <v>0</v>
      </c>
      <c r="T40" s="2">
        <f t="shared" si="26"/>
        <v>0</v>
      </c>
      <c r="U40" s="2">
        <f t="shared" si="27"/>
        <v>0</v>
      </c>
      <c r="V40" s="2">
        <f t="shared" si="28"/>
        <v>0</v>
      </c>
      <c r="W40" s="2">
        <f t="shared" si="29"/>
        <v>0</v>
      </c>
      <c r="X40" s="2">
        <f t="shared" si="30"/>
        <v>0</v>
      </c>
      <c r="Y40" s="2">
        <f t="shared" si="31"/>
        <v>0</v>
      </c>
      <c r="Z40" s="2"/>
      <c r="AA40" s="2">
        <v>56622523</v>
      </c>
      <c r="AB40" s="2">
        <f t="shared" si="32"/>
        <v>15.01</v>
      </c>
      <c r="AC40" s="2">
        <f t="shared" si="57"/>
        <v>15.01</v>
      </c>
      <c r="AD40" s="2">
        <f t="shared" si="58"/>
        <v>0</v>
      </c>
      <c r="AE40" s="2">
        <f t="shared" si="59"/>
        <v>0</v>
      </c>
      <c r="AF40" s="2">
        <f t="shared" si="59"/>
        <v>0</v>
      </c>
      <c r="AG40" s="2">
        <f t="shared" si="36"/>
        <v>0</v>
      </c>
      <c r="AH40" s="2">
        <f t="shared" si="60"/>
        <v>0</v>
      </c>
      <c r="AI40" s="2">
        <f t="shared" si="60"/>
        <v>0</v>
      </c>
      <c r="AJ40" s="2">
        <f t="shared" si="38"/>
        <v>0</v>
      </c>
      <c r="AK40" s="2">
        <v>15.01</v>
      </c>
      <c r="AL40" s="2">
        <v>15.01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57</v>
      </c>
      <c r="BK40" s="2"/>
      <c r="BL40" s="2"/>
      <c r="BM40" s="2">
        <v>1617</v>
      </c>
      <c r="BN40" s="2">
        <v>0</v>
      </c>
      <c r="BO40" s="2" t="s">
        <v>3</v>
      </c>
      <c r="BP40" s="2">
        <v>0</v>
      </c>
      <c r="BQ40" s="2">
        <v>200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689</v>
      </c>
      <c r="CO40" s="2">
        <v>0</v>
      </c>
      <c r="CP40" s="2">
        <f t="shared" si="39"/>
        <v>0</v>
      </c>
      <c r="CQ40" s="2">
        <f t="shared" si="40"/>
        <v>15.01</v>
      </c>
      <c r="CR40" s="2">
        <f t="shared" si="61"/>
        <v>0</v>
      </c>
      <c r="CS40" s="2">
        <f t="shared" si="42"/>
        <v>0</v>
      </c>
      <c r="CT40" s="2">
        <f t="shared" si="43"/>
        <v>0</v>
      </c>
      <c r="CU40" s="2">
        <f t="shared" si="44"/>
        <v>0</v>
      </c>
      <c r="CV40" s="2">
        <f t="shared" si="45"/>
        <v>0</v>
      </c>
      <c r="CW40" s="2">
        <f t="shared" si="46"/>
        <v>0</v>
      </c>
      <c r="CX40" s="2">
        <f t="shared" si="47"/>
        <v>0</v>
      </c>
      <c r="CY40" s="2">
        <f>((S40*BZ40)/100)</f>
        <v>0</v>
      </c>
      <c r="CZ40" s="2">
        <f>((S40*CA40)/100)</f>
        <v>0</v>
      </c>
      <c r="DA40" s="2"/>
      <c r="DB40" s="2"/>
      <c r="DC40" s="2" t="s">
        <v>3</v>
      </c>
      <c r="DD40" s="2" t="s">
        <v>3</v>
      </c>
      <c r="DE40" s="2" t="s">
        <v>22</v>
      </c>
      <c r="DF40" s="2" t="s">
        <v>22</v>
      </c>
      <c r="DG40" s="2" t="s">
        <v>22</v>
      </c>
      <c r="DH40" s="2" t="s">
        <v>3</v>
      </c>
      <c r="DI40" s="2" t="s">
        <v>22</v>
      </c>
      <c r="DJ40" s="2" t="s">
        <v>22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1003</v>
      </c>
      <c r="DV40" s="2" t="s">
        <v>56</v>
      </c>
      <c r="DW40" s="2" t="s">
        <v>56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51697656</v>
      </c>
      <c r="EF40" s="2">
        <v>200</v>
      </c>
      <c r="EG40" s="2" t="s">
        <v>58</v>
      </c>
      <c r="EH40" s="2">
        <v>0</v>
      </c>
      <c r="EI40" s="2" t="s">
        <v>3</v>
      </c>
      <c r="EJ40" s="2">
        <v>1</v>
      </c>
      <c r="EK40" s="2">
        <v>1617</v>
      </c>
      <c r="EL40" s="2" t="s">
        <v>59</v>
      </c>
      <c r="EM40" s="2" t="s">
        <v>60</v>
      </c>
      <c r="EN40" s="2"/>
      <c r="EO40" s="2" t="s">
        <v>26</v>
      </c>
      <c r="EP40" s="2"/>
      <c r="EQ40" s="2">
        <v>131072</v>
      </c>
      <c r="ER40" s="2">
        <v>15.01</v>
      </c>
      <c r="ES40" s="2">
        <v>15.01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3</v>
      </c>
      <c r="GB40" s="2"/>
      <c r="GC40" s="2"/>
      <c r="GD40" s="2">
        <v>0</v>
      </c>
      <c r="GE40" s="2"/>
      <c r="GF40" s="2">
        <v>1181244062</v>
      </c>
      <c r="GG40" s="2">
        <v>2</v>
      </c>
      <c r="GH40" s="2">
        <v>1</v>
      </c>
      <c r="GI40" s="2">
        <v>-2</v>
      </c>
      <c r="GJ40" s="2">
        <v>0</v>
      </c>
      <c r="GK40" s="2">
        <f>ROUND(R40*(R12)/100,2)</f>
        <v>0</v>
      </c>
      <c r="GL40" s="2">
        <f t="shared" si="48"/>
        <v>0</v>
      </c>
      <c r="GM40" s="2">
        <f t="shared" si="49"/>
        <v>0</v>
      </c>
      <c r="GN40" s="2">
        <f t="shared" si="50"/>
        <v>0</v>
      </c>
      <c r="GO40" s="2">
        <f t="shared" si="51"/>
        <v>0</v>
      </c>
      <c r="GP40" s="2">
        <f t="shared" si="52"/>
        <v>0</v>
      </c>
      <c r="GQ40" s="2"/>
      <c r="GR40" s="2">
        <v>0</v>
      </c>
      <c r="GS40" s="2">
        <v>0</v>
      </c>
      <c r="GT40" s="2">
        <v>0</v>
      </c>
      <c r="GU40" s="2" t="s">
        <v>3</v>
      </c>
      <c r="GV40" s="2">
        <f t="shared" si="53"/>
        <v>0</v>
      </c>
      <c r="GW40" s="2">
        <v>1</v>
      </c>
      <c r="GX40" s="2">
        <f t="shared" si="54"/>
        <v>0</v>
      </c>
      <c r="GY40" s="2"/>
      <c r="GZ40" s="2"/>
      <c r="HA40" s="2">
        <v>0</v>
      </c>
      <c r="HB40" s="2">
        <v>0</v>
      </c>
      <c r="HC40" s="2">
        <f t="shared" si="5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E41" t="s">
        <v>53</v>
      </c>
      <c r="F41" t="s">
        <v>54</v>
      </c>
      <c r="G41" t="s">
        <v>55</v>
      </c>
      <c r="H41" t="s">
        <v>56</v>
      </c>
      <c r="I41">
        <f>ROUND(-(I39)*1000,9)</f>
        <v>0</v>
      </c>
      <c r="J41">
        <v>0</v>
      </c>
      <c r="K41">
        <f>ROUND(-(I39)*1000,9)</f>
        <v>0</v>
      </c>
      <c r="O41">
        <f t="shared" si="21"/>
        <v>0</v>
      </c>
      <c r="P41">
        <f t="shared" si="22"/>
        <v>0</v>
      </c>
      <c r="Q41">
        <f t="shared" si="56"/>
        <v>0</v>
      </c>
      <c r="R41">
        <f t="shared" si="24"/>
        <v>0</v>
      </c>
      <c r="S41">
        <f t="shared" si="25"/>
        <v>0</v>
      </c>
      <c r="T41">
        <f t="shared" si="26"/>
        <v>0</v>
      </c>
      <c r="U41">
        <f t="shared" si="27"/>
        <v>0</v>
      </c>
      <c r="V41">
        <f t="shared" si="28"/>
        <v>0</v>
      </c>
      <c r="W41">
        <f t="shared" si="29"/>
        <v>0</v>
      </c>
      <c r="X41">
        <f t="shared" si="30"/>
        <v>0</v>
      </c>
      <c r="Y41">
        <f t="shared" si="31"/>
        <v>0</v>
      </c>
      <c r="AA41">
        <v>56611490</v>
      </c>
      <c r="AB41">
        <f t="shared" si="32"/>
        <v>15.01</v>
      </c>
      <c r="AC41">
        <f t="shared" si="57"/>
        <v>15.01</v>
      </c>
      <c r="AD41">
        <f t="shared" si="58"/>
        <v>0</v>
      </c>
      <c r="AE41">
        <f t="shared" si="59"/>
        <v>0</v>
      </c>
      <c r="AF41">
        <f t="shared" si="59"/>
        <v>0</v>
      </c>
      <c r="AG41">
        <f t="shared" si="36"/>
        <v>0</v>
      </c>
      <c r="AH41">
        <f t="shared" si="60"/>
        <v>0</v>
      </c>
      <c r="AI41">
        <f t="shared" si="60"/>
        <v>0</v>
      </c>
      <c r="AJ41">
        <f t="shared" si="38"/>
        <v>0</v>
      </c>
      <c r="AK41">
        <v>15.01</v>
      </c>
      <c r="AL41">
        <v>15.01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Z41">
        <v>1</v>
      </c>
      <c r="BA41">
        <v>1</v>
      </c>
      <c r="BB41">
        <v>1</v>
      </c>
      <c r="BC41">
        <v>9.11</v>
      </c>
      <c r="BD41" t="s">
        <v>3</v>
      </c>
      <c r="BE41" t="s">
        <v>3</v>
      </c>
      <c r="BF41" t="s">
        <v>3</v>
      </c>
      <c r="BG41" t="s">
        <v>3</v>
      </c>
      <c r="BH41">
        <v>3</v>
      </c>
      <c r="BI41">
        <v>1</v>
      </c>
      <c r="BJ41" t="s">
        <v>57</v>
      </c>
      <c r="BM41">
        <v>1617</v>
      </c>
      <c r="BN41">
        <v>0</v>
      </c>
      <c r="BO41" t="s">
        <v>54</v>
      </c>
      <c r="BP41">
        <v>1</v>
      </c>
      <c r="BQ41">
        <v>200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0</v>
      </c>
      <c r="CA41">
        <v>0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689</v>
      </c>
      <c r="CO41">
        <v>0</v>
      </c>
      <c r="CP41">
        <f t="shared" si="39"/>
        <v>0</v>
      </c>
      <c r="CQ41">
        <f t="shared" si="40"/>
        <v>136.74</v>
      </c>
      <c r="CR41">
        <f t="shared" si="61"/>
        <v>0</v>
      </c>
      <c r="CS41">
        <f t="shared" si="42"/>
        <v>0</v>
      </c>
      <c r="CT41">
        <f t="shared" si="43"/>
        <v>0</v>
      </c>
      <c r="CU41">
        <f t="shared" si="44"/>
        <v>0</v>
      </c>
      <c r="CV41">
        <f t="shared" si="45"/>
        <v>0</v>
      </c>
      <c r="CW41">
        <f t="shared" si="46"/>
        <v>0</v>
      </c>
      <c r="CX41">
        <f t="shared" si="47"/>
        <v>0</v>
      </c>
      <c r="CY41">
        <f>S41*(BZ41/100)</f>
        <v>0</v>
      </c>
      <c r="CZ41">
        <f>S41*(CA41/100)</f>
        <v>0</v>
      </c>
      <c r="DC41" t="s">
        <v>3</v>
      </c>
      <c r="DD41" t="s">
        <v>3</v>
      </c>
      <c r="DE41" t="s">
        <v>22</v>
      </c>
      <c r="DF41" t="s">
        <v>22</v>
      </c>
      <c r="DG41" t="s">
        <v>22</v>
      </c>
      <c r="DH41" t="s">
        <v>3</v>
      </c>
      <c r="DI41" t="s">
        <v>22</v>
      </c>
      <c r="DJ41" t="s">
        <v>22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1003</v>
      </c>
      <c r="DV41" t="s">
        <v>56</v>
      </c>
      <c r="DW41" t="s">
        <v>56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51697656</v>
      </c>
      <c r="EF41">
        <v>200</v>
      </c>
      <c r="EG41" t="s">
        <v>58</v>
      </c>
      <c r="EH41">
        <v>0</v>
      </c>
      <c r="EI41" t="s">
        <v>3</v>
      </c>
      <c r="EJ41">
        <v>1</v>
      </c>
      <c r="EK41">
        <v>1617</v>
      </c>
      <c r="EL41" t="s">
        <v>59</v>
      </c>
      <c r="EM41" t="s">
        <v>60</v>
      </c>
      <c r="EO41" t="s">
        <v>26</v>
      </c>
      <c r="EQ41">
        <v>131072</v>
      </c>
      <c r="ER41">
        <v>15.01</v>
      </c>
      <c r="ES41">
        <v>15.01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0</v>
      </c>
      <c r="FY41">
        <v>0</v>
      </c>
      <c r="GA41" t="s">
        <v>3</v>
      </c>
      <c r="GD41">
        <v>0</v>
      </c>
      <c r="GF41">
        <v>1181244062</v>
      </c>
      <c r="GG41">
        <v>2</v>
      </c>
      <c r="GH41">
        <v>1</v>
      </c>
      <c r="GI41">
        <v>2</v>
      </c>
      <c r="GJ41">
        <v>0</v>
      </c>
      <c r="GK41">
        <f>ROUND(R41*(S12)/100,2)</f>
        <v>0</v>
      </c>
      <c r="GL41">
        <f t="shared" si="48"/>
        <v>0</v>
      </c>
      <c r="GM41">
        <f t="shared" si="49"/>
        <v>0</v>
      </c>
      <c r="GN41">
        <f t="shared" si="50"/>
        <v>0</v>
      </c>
      <c r="GO41">
        <f t="shared" si="51"/>
        <v>0</v>
      </c>
      <c r="GP41">
        <f t="shared" si="52"/>
        <v>0</v>
      </c>
      <c r="GR41">
        <v>0</v>
      </c>
      <c r="GS41">
        <v>3</v>
      </c>
      <c r="GT41">
        <v>0</v>
      </c>
      <c r="GU41" t="s">
        <v>3</v>
      </c>
      <c r="GV41">
        <f t="shared" si="53"/>
        <v>0</v>
      </c>
      <c r="GW41">
        <v>1</v>
      </c>
      <c r="GX41">
        <f t="shared" si="54"/>
        <v>0</v>
      </c>
      <c r="HA41">
        <v>0</v>
      </c>
      <c r="HB41">
        <v>0</v>
      </c>
      <c r="HC41">
        <f t="shared" si="55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61</v>
      </c>
      <c r="F42" s="2" t="s">
        <v>62</v>
      </c>
      <c r="G42" s="2" t="s">
        <v>63</v>
      </c>
      <c r="H42" s="2" t="s">
        <v>56</v>
      </c>
      <c r="I42" s="2">
        <f>ROUND((I38)*1000,9)</f>
        <v>0</v>
      </c>
      <c r="J42" s="2">
        <v>0</v>
      </c>
      <c r="K42" s="2">
        <f>ROUND((I38)*1000,9)</f>
        <v>0</v>
      </c>
      <c r="L42" s="2"/>
      <c r="M42" s="2"/>
      <c r="N42" s="2"/>
      <c r="O42" s="2">
        <f t="shared" si="21"/>
        <v>0</v>
      </c>
      <c r="P42" s="2">
        <f t="shared" si="22"/>
        <v>0</v>
      </c>
      <c r="Q42" s="2">
        <f t="shared" si="56"/>
        <v>0</v>
      </c>
      <c r="R42" s="2">
        <f t="shared" si="24"/>
        <v>0</v>
      </c>
      <c r="S42" s="2">
        <f t="shared" si="25"/>
        <v>0</v>
      </c>
      <c r="T42" s="2">
        <f t="shared" si="26"/>
        <v>0</v>
      </c>
      <c r="U42" s="2">
        <f t="shared" si="27"/>
        <v>0</v>
      </c>
      <c r="V42" s="2">
        <f t="shared" si="28"/>
        <v>0</v>
      </c>
      <c r="W42" s="2">
        <f t="shared" si="29"/>
        <v>0</v>
      </c>
      <c r="X42" s="2">
        <f t="shared" si="30"/>
        <v>0</v>
      </c>
      <c r="Y42" s="2">
        <f t="shared" si="31"/>
        <v>0</v>
      </c>
      <c r="Z42" s="2"/>
      <c r="AA42" s="2">
        <v>56622523</v>
      </c>
      <c r="AB42" s="2">
        <f t="shared" si="32"/>
        <v>24.4</v>
      </c>
      <c r="AC42" s="2">
        <f t="shared" si="57"/>
        <v>24.4</v>
      </c>
      <c r="AD42" s="2">
        <f t="shared" si="58"/>
        <v>0</v>
      </c>
      <c r="AE42" s="2">
        <f t="shared" si="59"/>
        <v>0</v>
      </c>
      <c r="AF42" s="2">
        <f t="shared" si="59"/>
        <v>0</v>
      </c>
      <c r="AG42" s="2">
        <f t="shared" si="36"/>
        <v>0</v>
      </c>
      <c r="AH42" s="2">
        <f t="shared" si="60"/>
        <v>0</v>
      </c>
      <c r="AI42" s="2">
        <f t="shared" si="60"/>
        <v>0</v>
      </c>
      <c r="AJ42" s="2">
        <f t="shared" si="38"/>
        <v>0</v>
      </c>
      <c r="AK42" s="2">
        <v>24.4</v>
      </c>
      <c r="AL42" s="2">
        <v>24.4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64</v>
      </c>
      <c r="BK42" s="2"/>
      <c r="BL42" s="2"/>
      <c r="BM42" s="2">
        <v>1617</v>
      </c>
      <c r="BN42" s="2">
        <v>0</v>
      </c>
      <c r="BO42" s="2" t="s">
        <v>3</v>
      </c>
      <c r="BP42" s="2">
        <v>0</v>
      </c>
      <c r="BQ42" s="2">
        <v>200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689</v>
      </c>
      <c r="CO42" s="2">
        <v>0</v>
      </c>
      <c r="CP42" s="2">
        <f t="shared" si="39"/>
        <v>0</v>
      </c>
      <c r="CQ42" s="2">
        <f t="shared" si="40"/>
        <v>24.4</v>
      </c>
      <c r="CR42" s="2">
        <f t="shared" si="61"/>
        <v>0</v>
      </c>
      <c r="CS42" s="2">
        <f t="shared" si="42"/>
        <v>0</v>
      </c>
      <c r="CT42" s="2">
        <f t="shared" si="43"/>
        <v>0</v>
      </c>
      <c r="CU42" s="2">
        <f t="shared" si="44"/>
        <v>0</v>
      </c>
      <c r="CV42" s="2">
        <f t="shared" si="45"/>
        <v>0</v>
      </c>
      <c r="CW42" s="2">
        <f t="shared" si="46"/>
        <v>0</v>
      </c>
      <c r="CX42" s="2">
        <f t="shared" si="47"/>
        <v>0</v>
      </c>
      <c r="CY42" s="2">
        <f>((S42*BZ42)/100)</f>
        <v>0</v>
      </c>
      <c r="CZ42" s="2">
        <f>((S42*CA42)/100)</f>
        <v>0</v>
      </c>
      <c r="DA42" s="2"/>
      <c r="DB42" s="2"/>
      <c r="DC42" s="2" t="s">
        <v>3</v>
      </c>
      <c r="DD42" s="2" t="s">
        <v>3</v>
      </c>
      <c r="DE42" s="2" t="s">
        <v>22</v>
      </c>
      <c r="DF42" s="2" t="s">
        <v>22</v>
      </c>
      <c r="DG42" s="2" t="s">
        <v>22</v>
      </c>
      <c r="DH42" s="2" t="s">
        <v>3</v>
      </c>
      <c r="DI42" s="2" t="s">
        <v>22</v>
      </c>
      <c r="DJ42" s="2" t="s">
        <v>22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1003</v>
      </c>
      <c r="DV42" s="2" t="s">
        <v>56</v>
      </c>
      <c r="DW42" s="2" t="s">
        <v>56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51697656</v>
      </c>
      <c r="EF42" s="2">
        <v>200</v>
      </c>
      <c r="EG42" s="2" t="s">
        <v>58</v>
      </c>
      <c r="EH42" s="2">
        <v>0</v>
      </c>
      <c r="EI42" s="2" t="s">
        <v>3</v>
      </c>
      <c r="EJ42" s="2">
        <v>1</v>
      </c>
      <c r="EK42" s="2">
        <v>1617</v>
      </c>
      <c r="EL42" s="2" t="s">
        <v>59</v>
      </c>
      <c r="EM42" s="2" t="s">
        <v>60</v>
      </c>
      <c r="EN42" s="2"/>
      <c r="EO42" s="2" t="s">
        <v>26</v>
      </c>
      <c r="EP42" s="2"/>
      <c r="EQ42" s="2">
        <v>131072</v>
      </c>
      <c r="ER42" s="2">
        <v>24.4</v>
      </c>
      <c r="ES42" s="2">
        <v>24.4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3</v>
      </c>
      <c r="GB42" s="2"/>
      <c r="GC42" s="2"/>
      <c r="GD42" s="2">
        <v>0</v>
      </c>
      <c r="GE42" s="2"/>
      <c r="GF42" s="2">
        <v>-1982695880</v>
      </c>
      <c r="GG42" s="2">
        <v>2</v>
      </c>
      <c r="GH42" s="2">
        <v>1</v>
      </c>
      <c r="GI42" s="2">
        <v>-2</v>
      </c>
      <c r="GJ42" s="2">
        <v>0</v>
      </c>
      <c r="GK42" s="2">
        <f>ROUND(R42*(R12)/100,2)</f>
        <v>0</v>
      </c>
      <c r="GL42" s="2">
        <f t="shared" si="48"/>
        <v>0</v>
      </c>
      <c r="GM42" s="2">
        <f t="shared" si="49"/>
        <v>0</v>
      </c>
      <c r="GN42" s="2">
        <f t="shared" si="50"/>
        <v>0</v>
      </c>
      <c r="GO42" s="2">
        <f t="shared" si="51"/>
        <v>0</v>
      </c>
      <c r="GP42" s="2">
        <f t="shared" si="52"/>
        <v>0</v>
      </c>
      <c r="GQ42" s="2"/>
      <c r="GR42" s="2">
        <v>0</v>
      </c>
      <c r="GS42" s="2">
        <v>0</v>
      </c>
      <c r="GT42" s="2">
        <v>0</v>
      </c>
      <c r="GU42" s="2" t="s">
        <v>3</v>
      </c>
      <c r="GV42" s="2">
        <f t="shared" si="53"/>
        <v>0</v>
      </c>
      <c r="GW42" s="2">
        <v>1</v>
      </c>
      <c r="GX42" s="2">
        <f t="shared" si="54"/>
        <v>0</v>
      </c>
      <c r="GY42" s="2"/>
      <c r="GZ42" s="2"/>
      <c r="HA42" s="2">
        <v>0</v>
      </c>
      <c r="HB42" s="2">
        <v>0</v>
      </c>
      <c r="HC42" s="2">
        <f t="shared" si="55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E43" t="s">
        <v>61</v>
      </c>
      <c r="F43" t="s">
        <v>62</v>
      </c>
      <c r="G43" t="s">
        <v>63</v>
      </c>
      <c r="H43" t="s">
        <v>56</v>
      </c>
      <c r="I43">
        <f>ROUND((I39)*1000,9)</f>
        <v>0</v>
      </c>
      <c r="J43">
        <v>0</v>
      </c>
      <c r="K43">
        <f>ROUND((I39)*1000,9)</f>
        <v>0</v>
      </c>
      <c r="O43">
        <f t="shared" si="21"/>
        <v>0</v>
      </c>
      <c r="P43">
        <f t="shared" si="22"/>
        <v>0</v>
      </c>
      <c r="Q43">
        <f t="shared" si="56"/>
        <v>0</v>
      </c>
      <c r="R43">
        <f t="shared" si="24"/>
        <v>0</v>
      </c>
      <c r="S43">
        <f t="shared" si="25"/>
        <v>0</v>
      </c>
      <c r="T43">
        <f t="shared" si="26"/>
        <v>0</v>
      </c>
      <c r="U43">
        <f t="shared" si="27"/>
        <v>0</v>
      </c>
      <c r="V43">
        <f t="shared" si="28"/>
        <v>0</v>
      </c>
      <c r="W43">
        <f t="shared" si="29"/>
        <v>0</v>
      </c>
      <c r="X43">
        <f t="shared" si="30"/>
        <v>0</v>
      </c>
      <c r="Y43">
        <f t="shared" si="31"/>
        <v>0</v>
      </c>
      <c r="AA43">
        <v>56611490</v>
      </c>
      <c r="AB43">
        <f t="shared" si="32"/>
        <v>24.4</v>
      </c>
      <c r="AC43">
        <f t="shared" si="57"/>
        <v>24.4</v>
      </c>
      <c r="AD43">
        <f t="shared" si="58"/>
        <v>0</v>
      </c>
      <c r="AE43">
        <f t="shared" si="59"/>
        <v>0</v>
      </c>
      <c r="AF43">
        <f t="shared" si="59"/>
        <v>0</v>
      </c>
      <c r="AG43">
        <f t="shared" si="36"/>
        <v>0</v>
      </c>
      <c r="AH43">
        <f t="shared" si="60"/>
        <v>0</v>
      </c>
      <c r="AI43">
        <f t="shared" si="60"/>
        <v>0</v>
      </c>
      <c r="AJ43">
        <f t="shared" si="38"/>
        <v>0</v>
      </c>
      <c r="AK43">
        <v>24.4</v>
      </c>
      <c r="AL43">
        <v>24.4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9.2200000000000006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1</v>
      </c>
      <c r="BJ43" t="s">
        <v>64</v>
      </c>
      <c r="BM43">
        <v>1617</v>
      </c>
      <c r="BN43">
        <v>0</v>
      </c>
      <c r="BO43" t="s">
        <v>62</v>
      </c>
      <c r="BP43">
        <v>1</v>
      </c>
      <c r="BQ43">
        <v>200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0</v>
      </c>
      <c r="CA43">
        <v>0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689</v>
      </c>
      <c r="CO43">
        <v>0</v>
      </c>
      <c r="CP43">
        <f t="shared" si="39"/>
        <v>0</v>
      </c>
      <c r="CQ43">
        <f t="shared" si="40"/>
        <v>224.97</v>
      </c>
      <c r="CR43">
        <f t="shared" si="61"/>
        <v>0</v>
      </c>
      <c r="CS43">
        <f t="shared" si="42"/>
        <v>0</v>
      </c>
      <c r="CT43">
        <f t="shared" si="43"/>
        <v>0</v>
      </c>
      <c r="CU43">
        <f t="shared" si="44"/>
        <v>0</v>
      </c>
      <c r="CV43">
        <f t="shared" si="45"/>
        <v>0</v>
      </c>
      <c r="CW43">
        <f t="shared" si="46"/>
        <v>0</v>
      </c>
      <c r="CX43">
        <f t="shared" si="47"/>
        <v>0</v>
      </c>
      <c r="CY43">
        <f>S43*(BZ43/100)</f>
        <v>0</v>
      </c>
      <c r="CZ43">
        <f>S43*(CA43/100)</f>
        <v>0</v>
      </c>
      <c r="DC43" t="s">
        <v>3</v>
      </c>
      <c r="DD43" t="s">
        <v>3</v>
      </c>
      <c r="DE43" t="s">
        <v>22</v>
      </c>
      <c r="DF43" t="s">
        <v>22</v>
      </c>
      <c r="DG43" t="s">
        <v>22</v>
      </c>
      <c r="DH43" t="s">
        <v>3</v>
      </c>
      <c r="DI43" t="s">
        <v>22</v>
      </c>
      <c r="DJ43" t="s">
        <v>22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1003</v>
      </c>
      <c r="DV43" t="s">
        <v>56</v>
      </c>
      <c r="DW43" t="s">
        <v>56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51697656</v>
      </c>
      <c r="EF43">
        <v>200</v>
      </c>
      <c r="EG43" t="s">
        <v>58</v>
      </c>
      <c r="EH43">
        <v>0</v>
      </c>
      <c r="EI43" t="s">
        <v>3</v>
      </c>
      <c r="EJ43">
        <v>1</v>
      </c>
      <c r="EK43">
        <v>1617</v>
      </c>
      <c r="EL43" t="s">
        <v>59</v>
      </c>
      <c r="EM43" t="s">
        <v>60</v>
      </c>
      <c r="EO43" t="s">
        <v>26</v>
      </c>
      <c r="EQ43">
        <v>131072</v>
      </c>
      <c r="ER43">
        <v>24.4</v>
      </c>
      <c r="ES43">
        <v>24.4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FQ43">
        <v>0</v>
      </c>
      <c r="FR43">
        <v>0</v>
      </c>
      <c r="FS43">
        <v>0</v>
      </c>
      <c r="FX43">
        <v>0</v>
      </c>
      <c r="FY43">
        <v>0</v>
      </c>
      <c r="GA43" t="s">
        <v>3</v>
      </c>
      <c r="GD43">
        <v>0</v>
      </c>
      <c r="GF43">
        <v>-1982695880</v>
      </c>
      <c r="GG43">
        <v>2</v>
      </c>
      <c r="GH43">
        <v>1</v>
      </c>
      <c r="GI43">
        <v>2</v>
      </c>
      <c r="GJ43">
        <v>0</v>
      </c>
      <c r="GK43">
        <f>ROUND(R43*(S12)/100,2)</f>
        <v>0</v>
      </c>
      <c r="GL43">
        <f t="shared" si="48"/>
        <v>0</v>
      </c>
      <c r="GM43">
        <f t="shared" si="49"/>
        <v>0</v>
      </c>
      <c r="GN43">
        <f t="shared" si="50"/>
        <v>0</v>
      </c>
      <c r="GO43">
        <f t="shared" si="51"/>
        <v>0</v>
      </c>
      <c r="GP43">
        <f t="shared" si="52"/>
        <v>0</v>
      </c>
      <c r="GR43">
        <v>0</v>
      </c>
      <c r="GS43">
        <v>3</v>
      </c>
      <c r="GT43">
        <v>0</v>
      </c>
      <c r="GU43" t="s">
        <v>3</v>
      </c>
      <c r="GV43">
        <f t="shared" si="53"/>
        <v>0</v>
      </c>
      <c r="GW43">
        <v>1</v>
      </c>
      <c r="GX43">
        <f t="shared" si="54"/>
        <v>0</v>
      </c>
      <c r="HA43">
        <v>0</v>
      </c>
      <c r="HB43">
        <v>0</v>
      </c>
      <c r="HC43">
        <f t="shared" si="55"/>
        <v>0</v>
      </c>
      <c r="HE43" t="s">
        <v>3</v>
      </c>
      <c r="HF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>
        <f>ROW(SmtRes!A24)</f>
        <v>24</v>
      </c>
      <c r="D44" s="2">
        <f>ROW(EtalonRes!A31)</f>
        <v>31</v>
      </c>
      <c r="E44" s="2" t="s">
        <v>65</v>
      </c>
      <c r="F44" s="2" t="s">
        <v>66</v>
      </c>
      <c r="G44" s="2" t="s">
        <v>67</v>
      </c>
      <c r="H44" s="2" t="s">
        <v>68</v>
      </c>
      <c r="I44" s="2">
        <f>ROUND(2*0.3/1000,9)</f>
        <v>5.9999999999999995E-4</v>
      </c>
      <c r="J44" s="2">
        <v>0</v>
      </c>
      <c r="K44" s="2">
        <f>ROUND(2*0.3/1000,9)</f>
        <v>5.9999999999999995E-4</v>
      </c>
      <c r="L44" s="2"/>
      <c r="M44" s="2"/>
      <c r="N44" s="2"/>
      <c r="O44" s="2">
        <f t="shared" si="21"/>
        <v>1.55</v>
      </c>
      <c r="P44" s="2">
        <f t="shared" si="22"/>
        <v>0</v>
      </c>
      <c r="Q44" s="2">
        <f>(ROUND((ROUND(((((ET44*1.1)*1.2))*AV44*I44),2)*BB44),2)+ROUND((ROUND(((AE44-(((EU44*1.1)*1.2)))*AV44*I44),2)*BS44),2))</f>
        <v>0.22</v>
      </c>
      <c r="R44" s="2">
        <f t="shared" si="24"/>
        <v>0.02</v>
      </c>
      <c r="S44" s="2">
        <f t="shared" si="25"/>
        <v>1.33</v>
      </c>
      <c r="T44" s="2">
        <f t="shared" si="26"/>
        <v>0</v>
      </c>
      <c r="U44" s="2">
        <f t="shared" si="27"/>
        <v>0.12494271239999999</v>
      </c>
      <c r="V44" s="2">
        <f t="shared" si="28"/>
        <v>0</v>
      </c>
      <c r="W44" s="2">
        <f t="shared" si="29"/>
        <v>0</v>
      </c>
      <c r="X44" s="2">
        <f t="shared" si="30"/>
        <v>1.49</v>
      </c>
      <c r="Y44" s="2">
        <f t="shared" si="31"/>
        <v>0.93</v>
      </c>
      <c r="Z44" s="2"/>
      <c r="AA44" s="2">
        <v>56622523</v>
      </c>
      <c r="AB44" s="2">
        <f t="shared" si="32"/>
        <v>2423.3879999999999</v>
      </c>
      <c r="AC44" s="2">
        <f>ROUND(((ES44*1)),6)</f>
        <v>0</v>
      </c>
      <c r="AD44" s="2">
        <f>ROUND((((((ET44*1.1)*1.2))-(((EU44*1.1)*1.2)))+AE44),6)</f>
        <v>341.49720000000002</v>
      </c>
      <c r="AE44" s="2">
        <f>ROUND((((EU44*1.1)*1.2)),6)</f>
        <v>37.474800000000002</v>
      </c>
      <c r="AF44" s="2">
        <f>ROUND((((EV44*1.1)*1.2)),6)</f>
        <v>2081.8908000000001</v>
      </c>
      <c r="AG44" s="2">
        <f t="shared" si="36"/>
        <v>0</v>
      </c>
      <c r="AH44" s="2">
        <f>(((EW44*1.1)*1.2))</f>
        <v>195.16200000000001</v>
      </c>
      <c r="AI44" s="2">
        <f>(((EX44*1.1)*1.2))</f>
        <v>0</v>
      </c>
      <c r="AJ44" s="2">
        <f t="shared" si="38"/>
        <v>0</v>
      </c>
      <c r="AK44" s="2">
        <v>1835.9</v>
      </c>
      <c r="AL44" s="2">
        <v>0</v>
      </c>
      <c r="AM44" s="2">
        <v>258.70999999999998</v>
      </c>
      <c r="AN44" s="2">
        <v>28.39</v>
      </c>
      <c r="AO44" s="2">
        <v>1577.19</v>
      </c>
      <c r="AP44" s="2">
        <v>0</v>
      </c>
      <c r="AQ44" s="2">
        <v>147.85</v>
      </c>
      <c r="AR44" s="2">
        <v>0</v>
      </c>
      <c r="AS44" s="2">
        <v>0</v>
      </c>
      <c r="AT44" s="2">
        <v>112</v>
      </c>
      <c r="AU44" s="2">
        <v>70</v>
      </c>
      <c r="AV44" s="2">
        <v>1.0669999999999999</v>
      </c>
      <c r="AW44" s="2">
        <v>1.081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69</v>
      </c>
      <c r="BK44" s="2"/>
      <c r="BL44" s="2"/>
      <c r="BM44" s="2">
        <v>2254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112</v>
      </c>
      <c r="CA44" s="2">
        <v>70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691</v>
      </c>
      <c r="CO44" s="2">
        <v>0</v>
      </c>
      <c r="CP44" s="2">
        <f t="shared" si="39"/>
        <v>1.55</v>
      </c>
      <c r="CQ44" s="2">
        <f t="shared" si="40"/>
        <v>0</v>
      </c>
      <c r="CR44" s="2">
        <f>(ROUND((ROUND(((((ET44*1.1)*1.2))*AV44*1),2)*BB44),2)+ROUND((ROUND(((AE44-(((EU44*1.1)*1.2)))*AV44*1),2)*BS44),2))</f>
        <v>364.38</v>
      </c>
      <c r="CS44" s="2">
        <f t="shared" si="42"/>
        <v>39.99</v>
      </c>
      <c r="CT44" s="2">
        <f t="shared" si="43"/>
        <v>2221.38</v>
      </c>
      <c r="CU44" s="2">
        <f t="shared" si="44"/>
        <v>0</v>
      </c>
      <c r="CV44" s="2">
        <f t="shared" si="45"/>
        <v>208.237854</v>
      </c>
      <c r="CW44" s="2">
        <f t="shared" si="46"/>
        <v>0</v>
      </c>
      <c r="CX44" s="2">
        <f t="shared" si="47"/>
        <v>0</v>
      </c>
      <c r="CY44" s="2">
        <f>((S44*BZ44)/100)</f>
        <v>1.4896</v>
      </c>
      <c r="CZ44" s="2">
        <f>((S44*CA44)/100)</f>
        <v>0.93100000000000005</v>
      </c>
      <c r="DA44" s="2"/>
      <c r="DB44" s="2"/>
      <c r="DC44" s="2" t="s">
        <v>3</v>
      </c>
      <c r="DD44" s="2" t="s">
        <v>42</v>
      </c>
      <c r="DE44" s="2" t="s">
        <v>70</v>
      </c>
      <c r="DF44" s="2" t="s">
        <v>70</v>
      </c>
      <c r="DG44" s="2" t="s">
        <v>70</v>
      </c>
      <c r="DH44" s="2" t="s">
        <v>3</v>
      </c>
      <c r="DI44" s="2" t="s">
        <v>70</v>
      </c>
      <c r="DJ44" s="2" t="s">
        <v>70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68</v>
      </c>
      <c r="DW44" s="2" t="s">
        <v>68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51698335</v>
      </c>
      <c r="EF44" s="2">
        <v>30</v>
      </c>
      <c r="EG44" s="2" t="s">
        <v>23</v>
      </c>
      <c r="EH44" s="2">
        <v>0</v>
      </c>
      <c r="EI44" s="2" t="s">
        <v>3</v>
      </c>
      <c r="EJ44" s="2">
        <v>1</v>
      </c>
      <c r="EK44" s="2">
        <v>2254</v>
      </c>
      <c r="EL44" s="2" t="s">
        <v>71</v>
      </c>
      <c r="EM44" s="2" t="s">
        <v>72</v>
      </c>
      <c r="EN44" s="2"/>
      <c r="EO44" s="2" t="s">
        <v>73</v>
      </c>
      <c r="EP44" s="2"/>
      <c r="EQ44" s="2">
        <v>131072</v>
      </c>
      <c r="ER44" s="2">
        <v>1835.9</v>
      </c>
      <c r="ES44" s="2">
        <v>0</v>
      </c>
      <c r="ET44" s="2">
        <v>258.70999999999998</v>
      </c>
      <c r="EU44" s="2">
        <v>28.39</v>
      </c>
      <c r="EV44" s="2">
        <v>1577.19</v>
      </c>
      <c r="EW44" s="2">
        <v>147.85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112</v>
      </c>
      <c r="FY44" s="2">
        <v>70</v>
      </c>
      <c r="FZ44" s="2"/>
      <c r="GA44" s="2" t="s">
        <v>3</v>
      </c>
      <c r="GB44" s="2"/>
      <c r="GC44" s="2"/>
      <c r="GD44" s="2">
        <v>0</v>
      </c>
      <c r="GE44" s="2"/>
      <c r="GF44" s="2">
        <v>-1068329133</v>
      </c>
      <c r="GG44" s="2">
        <v>2</v>
      </c>
      <c r="GH44" s="2">
        <v>1</v>
      </c>
      <c r="GI44" s="2">
        <v>-2</v>
      </c>
      <c r="GJ44" s="2">
        <v>0</v>
      </c>
      <c r="GK44" s="2">
        <f>ROUND(R44*(R12)/100,2)</f>
        <v>0.04</v>
      </c>
      <c r="GL44" s="2">
        <f t="shared" si="48"/>
        <v>0</v>
      </c>
      <c r="GM44" s="2">
        <f t="shared" si="49"/>
        <v>4.01</v>
      </c>
      <c r="GN44" s="2">
        <f t="shared" si="50"/>
        <v>4.01</v>
      </c>
      <c r="GO44" s="2">
        <f t="shared" si="51"/>
        <v>0</v>
      </c>
      <c r="GP44" s="2">
        <f t="shared" si="52"/>
        <v>0</v>
      </c>
      <c r="GQ44" s="2"/>
      <c r="GR44" s="2">
        <v>0</v>
      </c>
      <c r="GS44" s="2">
        <v>0</v>
      </c>
      <c r="GT44" s="2">
        <v>0</v>
      </c>
      <c r="GU44" s="2" t="s">
        <v>3</v>
      </c>
      <c r="GV44" s="2">
        <f t="shared" si="53"/>
        <v>0</v>
      </c>
      <c r="GW44" s="2">
        <v>1</v>
      </c>
      <c r="GX44" s="2">
        <f t="shared" si="54"/>
        <v>0</v>
      </c>
      <c r="GY44" s="2"/>
      <c r="GZ44" s="2"/>
      <c r="HA44" s="2">
        <v>0</v>
      </c>
      <c r="HB44" s="2">
        <v>0</v>
      </c>
      <c r="HC44" s="2">
        <f t="shared" si="5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C45">
        <f>ROW(SmtRes!A28)</f>
        <v>28</v>
      </c>
      <c r="D45">
        <f>ROW(EtalonRes!A36)</f>
        <v>36</v>
      </c>
      <c r="E45" t="s">
        <v>65</v>
      </c>
      <c r="F45" t="s">
        <v>66</v>
      </c>
      <c r="G45" t="s">
        <v>67</v>
      </c>
      <c r="H45" t="s">
        <v>68</v>
      </c>
      <c r="I45">
        <f>ROUND(2*0.3/1000,9)</f>
        <v>5.9999999999999995E-4</v>
      </c>
      <c r="J45">
        <v>0</v>
      </c>
      <c r="K45">
        <f>ROUND(2*0.3/1000,9)</f>
        <v>5.9999999999999995E-4</v>
      </c>
      <c r="O45">
        <f t="shared" si="21"/>
        <v>48.5</v>
      </c>
      <c r="P45">
        <f t="shared" si="22"/>
        <v>0</v>
      </c>
      <c r="Q45">
        <f>(ROUND((ROUND(((((ET45*1.1)*1.2))*AV45*I45),2)*BB45),2)+ROUND((ROUND(((AE45-(((EU45*1.1)*1.2)))*AV45*I45),2)*BS45),2))</f>
        <v>2.6</v>
      </c>
      <c r="R45">
        <f t="shared" si="24"/>
        <v>0.69</v>
      </c>
      <c r="S45">
        <f t="shared" si="25"/>
        <v>45.9</v>
      </c>
      <c r="T45">
        <f t="shared" si="26"/>
        <v>0</v>
      </c>
      <c r="U45">
        <f t="shared" si="27"/>
        <v>0.12494271239999999</v>
      </c>
      <c r="V45">
        <f t="shared" si="28"/>
        <v>0</v>
      </c>
      <c r="W45">
        <f t="shared" si="29"/>
        <v>0</v>
      </c>
      <c r="X45">
        <f t="shared" si="30"/>
        <v>42.23</v>
      </c>
      <c r="Y45">
        <f t="shared" si="31"/>
        <v>18.82</v>
      </c>
      <c r="AA45">
        <v>56611490</v>
      </c>
      <c r="AB45">
        <f t="shared" si="32"/>
        <v>2423.3879999999999</v>
      </c>
      <c r="AC45">
        <f>ROUND(((ES45*1)),6)</f>
        <v>0</v>
      </c>
      <c r="AD45">
        <f>ROUND((((((ET45*1.1)*1.2))-(((EU45*1.1)*1.2)))+AE45),6)</f>
        <v>341.49720000000002</v>
      </c>
      <c r="AE45">
        <f>ROUND((((EU45*1.1)*1.2)),6)</f>
        <v>37.474800000000002</v>
      </c>
      <c r="AF45">
        <f>ROUND((((EV45*1.1)*1.2)),6)</f>
        <v>2081.8908000000001</v>
      </c>
      <c r="AG45">
        <f t="shared" si="36"/>
        <v>0</v>
      </c>
      <c r="AH45">
        <f>(((EW45*1.1)*1.2))</f>
        <v>195.16200000000001</v>
      </c>
      <c r="AI45">
        <f>(((EX45*1.1)*1.2))</f>
        <v>0</v>
      </c>
      <c r="AJ45">
        <f t="shared" si="38"/>
        <v>0</v>
      </c>
      <c r="AK45">
        <v>1835.9</v>
      </c>
      <c r="AL45">
        <v>0</v>
      </c>
      <c r="AM45">
        <v>258.70999999999998</v>
      </c>
      <c r="AN45">
        <v>28.39</v>
      </c>
      <c r="AO45">
        <v>1577.19</v>
      </c>
      <c r="AP45">
        <v>0</v>
      </c>
      <c r="AQ45">
        <v>147.85</v>
      </c>
      <c r="AR45">
        <v>0</v>
      </c>
      <c r="AS45">
        <v>0</v>
      </c>
      <c r="AT45">
        <v>92</v>
      </c>
      <c r="AU45">
        <v>41</v>
      </c>
      <c r="AV45">
        <v>1.0669999999999999</v>
      </c>
      <c r="AW45">
        <v>1.081</v>
      </c>
      <c r="AZ45">
        <v>1</v>
      </c>
      <c r="BA45">
        <v>34.51</v>
      </c>
      <c r="BB45">
        <v>11.8</v>
      </c>
      <c r="BC45">
        <v>1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1</v>
      </c>
      <c r="BJ45" t="s">
        <v>69</v>
      </c>
      <c r="BM45">
        <v>2254</v>
      </c>
      <c r="BN45">
        <v>0</v>
      </c>
      <c r="BO45" t="s">
        <v>66</v>
      </c>
      <c r="BP45">
        <v>1</v>
      </c>
      <c r="BQ45">
        <v>30</v>
      </c>
      <c r="BR45">
        <v>0</v>
      </c>
      <c r="BS45">
        <v>34.51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92</v>
      </c>
      <c r="CA45">
        <v>41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691</v>
      </c>
      <c r="CO45">
        <v>0</v>
      </c>
      <c r="CP45">
        <f t="shared" si="39"/>
        <v>48.5</v>
      </c>
      <c r="CQ45">
        <f t="shared" si="40"/>
        <v>0</v>
      </c>
      <c r="CR45">
        <f>(ROUND((ROUND(((((ET45*1.1)*1.2))*AV45*1),2)*BB45),2)+ROUND((ROUND(((AE45-(((EU45*1.1)*1.2)))*AV45*1),2)*BS45),2))</f>
        <v>4299.68</v>
      </c>
      <c r="CS45">
        <f t="shared" si="42"/>
        <v>1380.05</v>
      </c>
      <c r="CT45">
        <f t="shared" si="43"/>
        <v>76659.820000000007</v>
      </c>
      <c r="CU45">
        <f t="shared" si="44"/>
        <v>0</v>
      </c>
      <c r="CV45">
        <f t="shared" si="45"/>
        <v>208.237854</v>
      </c>
      <c r="CW45">
        <f t="shared" si="46"/>
        <v>0</v>
      </c>
      <c r="CX45">
        <f t="shared" si="47"/>
        <v>0</v>
      </c>
      <c r="CY45">
        <f>S45*(BZ45/100)</f>
        <v>42.228000000000002</v>
      </c>
      <c r="CZ45">
        <f>S45*(CA45/100)</f>
        <v>18.818999999999999</v>
      </c>
      <c r="DC45" t="s">
        <v>3</v>
      </c>
      <c r="DD45" t="s">
        <v>42</v>
      </c>
      <c r="DE45" t="s">
        <v>70</v>
      </c>
      <c r="DF45" t="s">
        <v>70</v>
      </c>
      <c r="DG45" t="s">
        <v>70</v>
      </c>
      <c r="DH45" t="s">
        <v>3</v>
      </c>
      <c r="DI45" t="s">
        <v>70</v>
      </c>
      <c r="DJ45" t="s">
        <v>70</v>
      </c>
      <c r="DK45" t="s">
        <v>3</v>
      </c>
      <c r="DL45" t="s">
        <v>3</v>
      </c>
      <c r="DM45" t="s">
        <v>3</v>
      </c>
      <c r="DN45">
        <v>112</v>
      </c>
      <c r="DO45">
        <v>70</v>
      </c>
      <c r="DP45">
        <v>1.0669999999999999</v>
      </c>
      <c r="DQ45">
        <v>1.081</v>
      </c>
      <c r="DU45">
        <v>1013</v>
      </c>
      <c r="DV45" t="s">
        <v>68</v>
      </c>
      <c r="DW45" t="s">
        <v>68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51698335</v>
      </c>
      <c r="EF45">
        <v>30</v>
      </c>
      <c r="EG45" t="s">
        <v>23</v>
      </c>
      <c r="EH45">
        <v>0</v>
      </c>
      <c r="EI45" t="s">
        <v>3</v>
      </c>
      <c r="EJ45">
        <v>1</v>
      </c>
      <c r="EK45">
        <v>2254</v>
      </c>
      <c r="EL45" t="s">
        <v>71</v>
      </c>
      <c r="EM45" t="s">
        <v>72</v>
      </c>
      <c r="EO45" t="s">
        <v>73</v>
      </c>
      <c r="EQ45">
        <v>131072</v>
      </c>
      <c r="ER45">
        <v>1835.9</v>
      </c>
      <c r="ES45">
        <v>0</v>
      </c>
      <c r="ET45">
        <v>258.70999999999998</v>
      </c>
      <c r="EU45">
        <v>28.39</v>
      </c>
      <c r="EV45">
        <v>1577.19</v>
      </c>
      <c r="EW45">
        <v>147.85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112</v>
      </c>
      <c r="FY45">
        <v>70</v>
      </c>
      <c r="GA45" t="s">
        <v>3</v>
      </c>
      <c r="GD45">
        <v>0</v>
      </c>
      <c r="GF45">
        <v>-1068329133</v>
      </c>
      <c r="GG45">
        <v>2</v>
      </c>
      <c r="GH45">
        <v>1</v>
      </c>
      <c r="GI45">
        <v>2</v>
      </c>
      <c r="GJ45">
        <v>0</v>
      </c>
      <c r="GK45">
        <f>ROUND(R45*(S12)/100,2)</f>
        <v>1.1000000000000001</v>
      </c>
      <c r="GL45">
        <f t="shared" si="48"/>
        <v>0</v>
      </c>
      <c r="GM45">
        <f t="shared" si="49"/>
        <v>110.65</v>
      </c>
      <c r="GN45">
        <f t="shared" si="50"/>
        <v>110.65</v>
      </c>
      <c r="GO45">
        <f t="shared" si="51"/>
        <v>0</v>
      </c>
      <c r="GP45">
        <f t="shared" si="52"/>
        <v>0</v>
      </c>
      <c r="GR45">
        <v>0</v>
      </c>
      <c r="GS45">
        <v>3</v>
      </c>
      <c r="GT45">
        <v>0</v>
      </c>
      <c r="GU45" t="s">
        <v>3</v>
      </c>
      <c r="GV45">
        <f t="shared" si="53"/>
        <v>0</v>
      </c>
      <c r="GW45">
        <v>1</v>
      </c>
      <c r="GX45">
        <f t="shared" si="54"/>
        <v>0</v>
      </c>
      <c r="HA45">
        <v>0</v>
      </c>
      <c r="HB45">
        <v>0</v>
      </c>
      <c r="HC45">
        <f t="shared" si="55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17</v>
      </c>
      <c r="B46" s="2">
        <v>1</v>
      </c>
      <c r="C46" s="2">
        <f>ROW(SmtRes!A32)</f>
        <v>32</v>
      </c>
      <c r="D46" s="2">
        <f>ROW(EtalonRes!A41)</f>
        <v>41</v>
      </c>
      <c r="E46" s="2" t="s">
        <v>74</v>
      </c>
      <c r="F46" s="2" t="s">
        <v>66</v>
      </c>
      <c r="G46" s="2" t="s">
        <v>67</v>
      </c>
      <c r="H46" s="2" t="s">
        <v>68</v>
      </c>
      <c r="I46" s="2">
        <f>ROUND(2*0.7/1000,9)</f>
        <v>1.4E-3</v>
      </c>
      <c r="J46" s="2">
        <v>0</v>
      </c>
      <c r="K46" s="2">
        <f>ROUND(2*0.7/1000,9)</f>
        <v>1.4E-3</v>
      </c>
      <c r="L46" s="2"/>
      <c r="M46" s="2"/>
      <c r="N46" s="2"/>
      <c r="O46" s="2">
        <f t="shared" si="21"/>
        <v>3.02</v>
      </c>
      <c r="P46" s="2">
        <f t="shared" si="22"/>
        <v>0</v>
      </c>
      <c r="Q46" s="2">
        <f>(ROUND((ROUND((((ET46*1.1))*AV46*I46),2)*BB46),2)+ROUND((ROUND(((AE46-((EU46*1.1)))*AV46*I46),2)*BS46),2))</f>
        <v>0.43</v>
      </c>
      <c r="R46" s="2">
        <f t="shared" si="24"/>
        <v>0.05</v>
      </c>
      <c r="S46" s="2">
        <f t="shared" si="25"/>
        <v>2.59</v>
      </c>
      <c r="T46" s="2">
        <f t="shared" si="26"/>
        <v>0</v>
      </c>
      <c r="U46" s="2">
        <f t="shared" si="27"/>
        <v>0.24294416300000002</v>
      </c>
      <c r="V46" s="2">
        <f t="shared" si="28"/>
        <v>0</v>
      </c>
      <c r="W46" s="2">
        <f t="shared" si="29"/>
        <v>0</v>
      </c>
      <c r="X46" s="2">
        <f t="shared" si="30"/>
        <v>2.9</v>
      </c>
      <c r="Y46" s="2">
        <f t="shared" si="31"/>
        <v>1.81</v>
      </c>
      <c r="Z46" s="2"/>
      <c r="AA46" s="2">
        <v>56622523</v>
      </c>
      <c r="AB46" s="2">
        <f t="shared" si="32"/>
        <v>2019.49</v>
      </c>
      <c r="AC46" s="2">
        <f>ROUND((ES46),6)</f>
        <v>0</v>
      </c>
      <c r="AD46" s="2">
        <f>ROUND(((((ET46*1.1))-((EU46*1.1)))+AE46),6)</f>
        <v>284.58100000000002</v>
      </c>
      <c r="AE46" s="2">
        <f>ROUND(((EU46*1.1)),6)</f>
        <v>31.228999999999999</v>
      </c>
      <c r="AF46" s="2">
        <f>ROUND(((EV46*1.1)),6)</f>
        <v>1734.9090000000001</v>
      </c>
      <c r="AG46" s="2">
        <f t="shared" si="36"/>
        <v>0</v>
      </c>
      <c r="AH46" s="2">
        <f>((EW46*1.1))</f>
        <v>162.63500000000002</v>
      </c>
      <c r="AI46" s="2">
        <f>((EX46*1.1))</f>
        <v>0</v>
      </c>
      <c r="AJ46" s="2">
        <f t="shared" si="38"/>
        <v>0</v>
      </c>
      <c r="AK46" s="2">
        <v>1835.9</v>
      </c>
      <c r="AL46" s="2">
        <v>0</v>
      </c>
      <c r="AM46" s="2">
        <v>258.70999999999998</v>
      </c>
      <c r="AN46" s="2">
        <v>28.39</v>
      </c>
      <c r="AO46" s="2">
        <v>1577.19</v>
      </c>
      <c r="AP46" s="2">
        <v>0</v>
      </c>
      <c r="AQ46" s="2">
        <v>147.85</v>
      </c>
      <c r="AR46" s="2">
        <v>0</v>
      </c>
      <c r="AS46" s="2">
        <v>0</v>
      </c>
      <c r="AT46" s="2">
        <v>112</v>
      </c>
      <c r="AU46" s="2">
        <v>70</v>
      </c>
      <c r="AV46" s="2">
        <v>1.0669999999999999</v>
      </c>
      <c r="AW46" s="2">
        <v>1.081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69</v>
      </c>
      <c r="BK46" s="2"/>
      <c r="BL46" s="2"/>
      <c r="BM46" s="2">
        <v>2254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112</v>
      </c>
      <c r="CA46" s="2">
        <v>70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689</v>
      </c>
      <c r="CO46" s="2">
        <v>0</v>
      </c>
      <c r="CP46" s="2">
        <f t="shared" si="39"/>
        <v>3.02</v>
      </c>
      <c r="CQ46" s="2">
        <f t="shared" si="40"/>
        <v>0</v>
      </c>
      <c r="CR46" s="2">
        <f>(ROUND((ROUND((((ET46*1.1))*AV46*1),2)*BB46),2)+ROUND((ROUND(((AE46-((EU46*1.1)))*AV46*1),2)*BS46),2))</f>
        <v>303.64999999999998</v>
      </c>
      <c r="CS46" s="2">
        <f t="shared" si="42"/>
        <v>33.32</v>
      </c>
      <c r="CT46" s="2">
        <f t="shared" si="43"/>
        <v>1851.15</v>
      </c>
      <c r="CU46" s="2">
        <f t="shared" si="44"/>
        <v>0</v>
      </c>
      <c r="CV46" s="2">
        <f t="shared" si="45"/>
        <v>173.53154500000002</v>
      </c>
      <c r="CW46" s="2">
        <f t="shared" si="46"/>
        <v>0</v>
      </c>
      <c r="CX46" s="2">
        <f t="shared" si="47"/>
        <v>0</v>
      </c>
      <c r="CY46" s="2">
        <f>((S46*BZ46)/100)</f>
        <v>2.9007999999999998</v>
      </c>
      <c r="CZ46" s="2">
        <f>((S46*CA46)/100)</f>
        <v>1.8129999999999997</v>
      </c>
      <c r="DA46" s="2"/>
      <c r="DB46" s="2"/>
      <c r="DC46" s="2" t="s">
        <v>3</v>
      </c>
      <c r="DD46" s="2" t="s">
        <v>3</v>
      </c>
      <c r="DE46" s="2" t="s">
        <v>22</v>
      </c>
      <c r="DF46" s="2" t="s">
        <v>22</v>
      </c>
      <c r="DG46" s="2" t="s">
        <v>22</v>
      </c>
      <c r="DH46" s="2" t="s">
        <v>3</v>
      </c>
      <c r="DI46" s="2" t="s">
        <v>22</v>
      </c>
      <c r="DJ46" s="2" t="s">
        <v>22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68</v>
      </c>
      <c r="DW46" s="2" t="s">
        <v>68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51698335</v>
      </c>
      <c r="EF46" s="2">
        <v>30</v>
      </c>
      <c r="EG46" s="2" t="s">
        <v>23</v>
      </c>
      <c r="EH46" s="2">
        <v>0</v>
      </c>
      <c r="EI46" s="2" t="s">
        <v>3</v>
      </c>
      <c r="EJ46" s="2">
        <v>1</v>
      </c>
      <c r="EK46" s="2">
        <v>2254</v>
      </c>
      <c r="EL46" s="2" t="s">
        <v>71</v>
      </c>
      <c r="EM46" s="2" t="s">
        <v>72</v>
      </c>
      <c r="EN46" s="2"/>
      <c r="EO46" s="2" t="s">
        <v>26</v>
      </c>
      <c r="EP46" s="2"/>
      <c r="EQ46" s="2">
        <v>131072</v>
      </c>
      <c r="ER46" s="2">
        <v>1835.9</v>
      </c>
      <c r="ES46" s="2">
        <v>0</v>
      </c>
      <c r="ET46" s="2">
        <v>258.70999999999998</v>
      </c>
      <c r="EU46" s="2">
        <v>28.39</v>
      </c>
      <c r="EV46" s="2">
        <v>1577.19</v>
      </c>
      <c r="EW46" s="2">
        <v>147.85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112</v>
      </c>
      <c r="FY46" s="2">
        <v>70</v>
      </c>
      <c r="FZ46" s="2"/>
      <c r="GA46" s="2" t="s">
        <v>3</v>
      </c>
      <c r="GB46" s="2"/>
      <c r="GC46" s="2"/>
      <c r="GD46" s="2">
        <v>0</v>
      </c>
      <c r="GE46" s="2"/>
      <c r="GF46" s="2">
        <v>-1068329133</v>
      </c>
      <c r="GG46" s="2">
        <v>2</v>
      </c>
      <c r="GH46" s="2">
        <v>1</v>
      </c>
      <c r="GI46" s="2">
        <v>-2</v>
      </c>
      <c r="GJ46" s="2">
        <v>0</v>
      </c>
      <c r="GK46" s="2">
        <f>ROUND(R46*(R12)/100,2)</f>
        <v>0.09</v>
      </c>
      <c r="GL46" s="2">
        <f t="shared" si="48"/>
        <v>0</v>
      </c>
      <c r="GM46" s="2">
        <f t="shared" si="49"/>
        <v>7.82</v>
      </c>
      <c r="GN46" s="2">
        <f t="shared" si="50"/>
        <v>7.82</v>
      </c>
      <c r="GO46" s="2">
        <f t="shared" si="51"/>
        <v>0</v>
      </c>
      <c r="GP46" s="2">
        <f t="shared" si="52"/>
        <v>0</v>
      </c>
      <c r="GQ46" s="2"/>
      <c r="GR46" s="2">
        <v>0</v>
      </c>
      <c r="GS46" s="2">
        <v>0</v>
      </c>
      <c r="GT46" s="2">
        <v>0</v>
      </c>
      <c r="GU46" s="2" t="s">
        <v>3</v>
      </c>
      <c r="GV46" s="2">
        <f t="shared" si="53"/>
        <v>0</v>
      </c>
      <c r="GW46" s="2">
        <v>1</v>
      </c>
      <c r="GX46" s="2">
        <f t="shared" si="54"/>
        <v>0</v>
      </c>
      <c r="GY46" s="2"/>
      <c r="GZ46" s="2"/>
      <c r="HA46" s="2">
        <v>0</v>
      </c>
      <c r="HB46" s="2">
        <v>0</v>
      </c>
      <c r="HC46" s="2">
        <f t="shared" si="5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17</v>
      </c>
      <c r="B47">
        <v>1</v>
      </c>
      <c r="C47">
        <f>ROW(SmtRes!A36)</f>
        <v>36</v>
      </c>
      <c r="D47">
        <f>ROW(EtalonRes!A46)</f>
        <v>46</v>
      </c>
      <c r="E47" t="s">
        <v>74</v>
      </c>
      <c r="F47" t="s">
        <v>66</v>
      </c>
      <c r="G47" t="s">
        <v>67</v>
      </c>
      <c r="H47" t="s">
        <v>68</v>
      </c>
      <c r="I47">
        <f>ROUND(2*0.7/1000,9)</f>
        <v>1.4E-3</v>
      </c>
      <c r="J47">
        <v>0</v>
      </c>
      <c r="K47">
        <f>ROUND(2*0.7/1000,9)</f>
        <v>1.4E-3</v>
      </c>
      <c r="O47">
        <f t="shared" si="21"/>
        <v>94.45</v>
      </c>
      <c r="P47">
        <f t="shared" si="22"/>
        <v>0</v>
      </c>
      <c r="Q47">
        <f>(ROUND((ROUND((((ET47*1.1))*AV47*I47),2)*BB47),2)+ROUND((ROUND(((AE47-((EU47*1.1)))*AV47*I47),2)*BS47),2))</f>
        <v>5.07</v>
      </c>
      <c r="R47">
        <f t="shared" si="24"/>
        <v>1.73</v>
      </c>
      <c r="S47">
        <f t="shared" si="25"/>
        <v>89.38</v>
      </c>
      <c r="T47">
        <f t="shared" si="26"/>
        <v>0</v>
      </c>
      <c r="U47">
        <f t="shared" si="27"/>
        <v>0.24294416300000002</v>
      </c>
      <c r="V47">
        <f t="shared" si="28"/>
        <v>0</v>
      </c>
      <c r="W47">
        <f t="shared" si="29"/>
        <v>0</v>
      </c>
      <c r="X47">
        <f t="shared" si="30"/>
        <v>82.23</v>
      </c>
      <c r="Y47">
        <f t="shared" si="31"/>
        <v>36.65</v>
      </c>
      <c r="AA47">
        <v>56611490</v>
      </c>
      <c r="AB47">
        <f t="shared" si="32"/>
        <v>2019.49</v>
      </c>
      <c r="AC47">
        <f>ROUND((ES47),6)</f>
        <v>0</v>
      </c>
      <c r="AD47">
        <f>ROUND(((((ET47*1.1))-((EU47*1.1)))+AE47),6)</f>
        <v>284.58100000000002</v>
      </c>
      <c r="AE47">
        <f>ROUND(((EU47*1.1)),6)</f>
        <v>31.228999999999999</v>
      </c>
      <c r="AF47">
        <f>ROUND(((EV47*1.1)),6)</f>
        <v>1734.9090000000001</v>
      </c>
      <c r="AG47">
        <f t="shared" si="36"/>
        <v>0</v>
      </c>
      <c r="AH47">
        <f>((EW47*1.1))</f>
        <v>162.63500000000002</v>
      </c>
      <c r="AI47">
        <f>((EX47*1.1))</f>
        <v>0</v>
      </c>
      <c r="AJ47">
        <f t="shared" si="38"/>
        <v>0</v>
      </c>
      <c r="AK47">
        <v>1835.9</v>
      </c>
      <c r="AL47">
        <v>0</v>
      </c>
      <c r="AM47">
        <v>258.70999999999998</v>
      </c>
      <c r="AN47">
        <v>28.39</v>
      </c>
      <c r="AO47">
        <v>1577.19</v>
      </c>
      <c r="AP47">
        <v>0</v>
      </c>
      <c r="AQ47">
        <v>147.85</v>
      </c>
      <c r="AR47">
        <v>0</v>
      </c>
      <c r="AS47">
        <v>0</v>
      </c>
      <c r="AT47">
        <v>92</v>
      </c>
      <c r="AU47">
        <v>41</v>
      </c>
      <c r="AV47">
        <v>1.0669999999999999</v>
      </c>
      <c r="AW47">
        <v>1.081</v>
      </c>
      <c r="AZ47">
        <v>1</v>
      </c>
      <c r="BA47">
        <v>34.51</v>
      </c>
      <c r="BB47">
        <v>11.8</v>
      </c>
      <c r="BC47">
        <v>1</v>
      </c>
      <c r="BD47" t="s">
        <v>3</v>
      </c>
      <c r="BE47" t="s">
        <v>3</v>
      </c>
      <c r="BF47" t="s">
        <v>3</v>
      </c>
      <c r="BG47" t="s">
        <v>3</v>
      </c>
      <c r="BH47">
        <v>0</v>
      </c>
      <c r="BI47">
        <v>1</v>
      </c>
      <c r="BJ47" t="s">
        <v>69</v>
      </c>
      <c r="BM47">
        <v>2254</v>
      </c>
      <c r="BN47">
        <v>0</v>
      </c>
      <c r="BO47" t="s">
        <v>66</v>
      </c>
      <c r="BP47">
        <v>1</v>
      </c>
      <c r="BQ47">
        <v>30</v>
      </c>
      <c r="BR47">
        <v>0</v>
      </c>
      <c r="BS47">
        <v>34.51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92</v>
      </c>
      <c r="CA47">
        <v>41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689</v>
      </c>
      <c r="CO47">
        <v>0</v>
      </c>
      <c r="CP47">
        <f t="shared" si="39"/>
        <v>94.449999999999989</v>
      </c>
      <c r="CQ47">
        <f t="shared" si="40"/>
        <v>0</v>
      </c>
      <c r="CR47">
        <f>(ROUND((ROUND((((ET47*1.1))*AV47*1),2)*BB47),2)+ROUND((ROUND(((AE47-((EU47*1.1)))*AV47*1),2)*BS47),2))</f>
        <v>3583.07</v>
      </c>
      <c r="CS47">
        <f t="shared" si="42"/>
        <v>1149.8699999999999</v>
      </c>
      <c r="CT47">
        <f t="shared" si="43"/>
        <v>63883.19</v>
      </c>
      <c r="CU47">
        <f t="shared" si="44"/>
        <v>0</v>
      </c>
      <c r="CV47">
        <f t="shared" si="45"/>
        <v>173.53154500000002</v>
      </c>
      <c r="CW47">
        <f t="shared" si="46"/>
        <v>0</v>
      </c>
      <c r="CX47">
        <f t="shared" si="47"/>
        <v>0</v>
      </c>
      <c r="CY47">
        <f>S47*(BZ47/100)</f>
        <v>82.229600000000005</v>
      </c>
      <c r="CZ47">
        <f>S47*(CA47/100)</f>
        <v>36.645799999999994</v>
      </c>
      <c r="DC47" t="s">
        <v>3</v>
      </c>
      <c r="DD47" t="s">
        <v>3</v>
      </c>
      <c r="DE47" t="s">
        <v>22</v>
      </c>
      <c r="DF47" t="s">
        <v>22</v>
      </c>
      <c r="DG47" t="s">
        <v>22</v>
      </c>
      <c r="DH47" t="s">
        <v>3</v>
      </c>
      <c r="DI47" t="s">
        <v>22</v>
      </c>
      <c r="DJ47" t="s">
        <v>22</v>
      </c>
      <c r="DK47" t="s">
        <v>3</v>
      </c>
      <c r="DL47" t="s">
        <v>3</v>
      </c>
      <c r="DM47" t="s">
        <v>3</v>
      </c>
      <c r="DN47">
        <v>112</v>
      </c>
      <c r="DO47">
        <v>70</v>
      </c>
      <c r="DP47">
        <v>1.0669999999999999</v>
      </c>
      <c r="DQ47">
        <v>1.081</v>
      </c>
      <c r="DU47">
        <v>1013</v>
      </c>
      <c r="DV47" t="s">
        <v>68</v>
      </c>
      <c r="DW47" t="s">
        <v>68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51698335</v>
      </c>
      <c r="EF47">
        <v>30</v>
      </c>
      <c r="EG47" t="s">
        <v>23</v>
      </c>
      <c r="EH47">
        <v>0</v>
      </c>
      <c r="EI47" t="s">
        <v>3</v>
      </c>
      <c r="EJ47">
        <v>1</v>
      </c>
      <c r="EK47">
        <v>2254</v>
      </c>
      <c r="EL47" t="s">
        <v>71</v>
      </c>
      <c r="EM47" t="s">
        <v>72</v>
      </c>
      <c r="EO47" t="s">
        <v>26</v>
      </c>
      <c r="EQ47">
        <v>131072</v>
      </c>
      <c r="ER47">
        <v>1835.9</v>
      </c>
      <c r="ES47">
        <v>0</v>
      </c>
      <c r="ET47">
        <v>258.70999999999998</v>
      </c>
      <c r="EU47">
        <v>28.39</v>
      </c>
      <c r="EV47">
        <v>1577.19</v>
      </c>
      <c r="EW47">
        <v>147.85</v>
      </c>
      <c r="EX47">
        <v>0</v>
      </c>
      <c r="EY47">
        <v>0</v>
      </c>
      <c r="FQ47">
        <v>0</v>
      </c>
      <c r="FR47">
        <v>0</v>
      </c>
      <c r="FS47">
        <v>0</v>
      </c>
      <c r="FX47">
        <v>112</v>
      </c>
      <c r="FY47">
        <v>70</v>
      </c>
      <c r="GA47" t="s">
        <v>3</v>
      </c>
      <c r="GD47">
        <v>0</v>
      </c>
      <c r="GF47">
        <v>-1068329133</v>
      </c>
      <c r="GG47">
        <v>2</v>
      </c>
      <c r="GH47">
        <v>1</v>
      </c>
      <c r="GI47">
        <v>2</v>
      </c>
      <c r="GJ47">
        <v>0</v>
      </c>
      <c r="GK47">
        <f>ROUND(R47*(S12)/100,2)</f>
        <v>2.77</v>
      </c>
      <c r="GL47">
        <f t="shared" si="48"/>
        <v>0</v>
      </c>
      <c r="GM47">
        <f t="shared" si="49"/>
        <v>216.1</v>
      </c>
      <c r="GN47">
        <f t="shared" si="50"/>
        <v>216.1</v>
      </c>
      <c r="GO47">
        <f t="shared" si="51"/>
        <v>0</v>
      </c>
      <c r="GP47">
        <f t="shared" si="52"/>
        <v>0</v>
      </c>
      <c r="GR47">
        <v>0</v>
      </c>
      <c r="GS47">
        <v>3</v>
      </c>
      <c r="GT47">
        <v>0</v>
      </c>
      <c r="GU47" t="s">
        <v>3</v>
      </c>
      <c r="GV47">
        <f t="shared" si="53"/>
        <v>0</v>
      </c>
      <c r="GW47">
        <v>1</v>
      </c>
      <c r="GX47">
        <f t="shared" si="54"/>
        <v>0</v>
      </c>
      <c r="HA47">
        <v>0</v>
      </c>
      <c r="HB47">
        <v>0</v>
      </c>
      <c r="HC47">
        <f t="shared" si="55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>
        <f>ROW(SmtRes!A41)</f>
        <v>41</v>
      </c>
      <c r="D48" s="2">
        <f>ROW(EtalonRes!A52)</f>
        <v>52</v>
      </c>
      <c r="E48" s="2" t="s">
        <v>75</v>
      </c>
      <c r="F48" s="2" t="s">
        <v>76</v>
      </c>
      <c r="G48" s="2" t="s">
        <v>77</v>
      </c>
      <c r="H48" s="2" t="s">
        <v>68</v>
      </c>
      <c r="I48" s="2">
        <f>ROUND(10*0.3/1000,9)</f>
        <v>3.0000000000000001E-3</v>
      </c>
      <c r="J48" s="2">
        <v>0</v>
      </c>
      <c r="K48" s="2">
        <f>ROUND(10*0.3/1000,9)</f>
        <v>3.0000000000000001E-3</v>
      </c>
      <c r="L48" s="2"/>
      <c r="M48" s="2"/>
      <c r="N48" s="2"/>
      <c r="O48" s="2">
        <f t="shared" si="21"/>
        <v>6.01</v>
      </c>
      <c r="P48" s="2">
        <f t="shared" si="22"/>
        <v>0</v>
      </c>
      <c r="Q48" s="2">
        <f>(ROUND((ROUND(((((ET48*1.1)*1.2))*AV48*I48),2)*BB48),2)+ROUND((ROUND(((AE48-(((EU48*1.1)*1.2)))*AV48*I48),2)*BS48),2))</f>
        <v>1.08</v>
      </c>
      <c r="R48" s="2">
        <f t="shared" si="24"/>
        <v>0.12</v>
      </c>
      <c r="S48" s="2">
        <f t="shared" si="25"/>
        <v>4.93</v>
      </c>
      <c r="T48" s="2">
        <f t="shared" si="26"/>
        <v>0</v>
      </c>
      <c r="U48" s="2">
        <f t="shared" si="27"/>
        <v>0.45548949600000005</v>
      </c>
      <c r="V48" s="2">
        <f t="shared" si="28"/>
        <v>0</v>
      </c>
      <c r="W48" s="2">
        <f t="shared" si="29"/>
        <v>0</v>
      </c>
      <c r="X48" s="2">
        <f t="shared" si="30"/>
        <v>5.52</v>
      </c>
      <c r="Y48" s="2">
        <f t="shared" si="31"/>
        <v>3.45</v>
      </c>
      <c r="Z48" s="2"/>
      <c r="AA48" s="2">
        <v>56622523</v>
      </c>
      <c r="AB48" s="2">
        <f t="shared" si="32"/>
        <v>1879.5347999999999</v>
      </c>
      <c r="AC48" s="2">
        <f>ROUND(((ES48*1)),6)</f>
        <v>0</v>
      </c>
      <c r="AD48" s="2">
        <f>ROUND((((((ET48*1.1)*1.2))-(((EU48*1.1)*1.2)))+AE48),6)</f>
        <v>337.88040000000001</v>
      </c>
      <c r="AE48" s="2">
        <f>ROUND((((EU48*1.1)*1.2)),6)</f>
        <v>37.065600000000003</v>
      </c>
      <c r="AF48" s="2">
        <f>ROUND((((EV48*1.1)*1.2)),6)</f>
        <v>1541.6543999999999</v>
      </c>
      <c r="AG48" s="2">
        <f t="shared" si="36"/>
        <v>0</v>
      </c>
      <c r="AH48" s="2">
        <f>(((EW48*1.1)*1.2))</f>
        <v>142.29600000000002</v>
      </c>
      <c r="AI48" s="2">
        <f>(((EX48*1.1)*1.2))</f>
        <v>0</v>
      </c>
      <c r="AJ48" s="2">
        <f t="shared" si="38"/>
        <v>0</v>
      </c>
      <c r="AK48" s="2">
        <v>1423.89</v>
      </c>
      <c r="AL48" s="2">
        <v>0</v>
      </c>
      <c r="AM48" s="2">
        <v>255.97</v>
      </c>
      <c r="AN48" s="2">
        <v>28.08</v>
      </c>
      <c r="AO48" s="2">
        <v>1167.92</v>
      </c>
      <c r="AP48" s="2">
        <v>0</v>
      </c>
      <c r="AQ48" s="2">
        <v>107.8</v>
      </c>
      <c r="AR48" s="2">
        <v>0</v>
      </c>
      <c r="AS48" s="2">
        <v>0</v>
      </c>
      <c r="AT48" s="2">
        <v>112</v>
      </c>
      <c r="AU48" s="2">
        <v>70</v>
      </c>
      <c r="AV48" s="2">
        <v>1.0669999999999999</v>
      </c>
      <c r="AW48" s="2">
        <v>1.081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1</v>
      </c>
      <c r="BJ48" s="2" t="s">
        <v>78</v>
      </c>
      <c r="BK48" s="2"/>
      <c r="BL48" s="2"/>
      <c r="BM48" s="2">
        <v>2254</v>
      </c>
      <c r="BN48" s="2">
        <v>0</v>
      </c>
      <c r="BO48" s="2" t="s">
        <v>3</v>
      </c>
      <c r="BP48" s="2">
        <v>0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112</v>
      </c>
      <c r="CA48" s="2">
        <v>70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691</v>
      </c>
      <c r="CO48" s="2">
        <v>0</v>
      </c>
      <c r="CP48" s="2">
        <f t="shared" si="39"/>
        <v>6.01</v>
      </c>
      <c r="CQ48" s="2">
        <f t="shared" si="40"/>
        <v>0</v>
      </c>
      <c r="CR48" s="2">
        <f>(ROUND((ROUND(((((ET48*1.1)*1.2))*AV48*1),2)*BB48),2)+ROUND((ROUND(((AE48-(((EU48*1.1)*1.2)))*AV48*1),2)*BS48),2))</f>
        <v>360.52</v>
      </c>
      <c r="CS48" s="2">
        <f t="shared" si="42"/>
        <v>39.549999999999997</v>
      </c>
      <c r="CT48" s="2">
        <f t="shared" si="43"/>
        <v>1644.95</v>
      </c>
      <c r="CU48" s="2">
        <f t="shared" si="44"/>
        <v>0</v>
      </c>
      <c r="CV48" s="2">
        <f t="shared" si="45"/>
        <v>151.82983200000001</v>
      </c>
      <c r="CW48" s="2">
        <f t="shared" si="46"/>
        <v>0</v>
      </c>
      <c r="CX48" s="2">
        <f t="shared" si="47"/>
        <v>0</v>
      </c>
      <c r="CY48" s="2">
        <f>((S48*BZ48)/100)</f>
        <v>5.5215999999999994</v>
      </c>
      <c r="CZ48" s="2">
        <f>((S48*CA48)/100)</f>
        <v>3.4509999999999996</v>
      </c>
      <c r="DA48" s="2"/>
      <c r="DB48" s="2"/>
      <c r="DC48" s="2" t="s">
        <v>3</v>
      </c>
      <c r="DD48" s="2" t="s">
        <v>42</v>
      </c>
      <c r="DE48" s="2" t="s">
        <v>70</v>
      </c>
      <c r="DF48" s="2" t="s">
        <v>70</v>
      </c>
      <c r="DG48" s="2" t="s">
        <v>70</v>
      </c>
      <c r="DH48" s="2" t="s">
        <v>3</v>
      </c>
      <c r="DI48" s="2" t="s">
        <v>70</v>
      </c>
      <c r="DJ48" s="2" t="s">
        <v>70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68</v>
      </c>
      <c r="DW48" s="2" t="s">
        <v>68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51698335</v>
      </c>
      <c r="EF48" s="2">
        <v>30</v>
      </c>
      <c r="EG48" s="2" t="s">
        <v>23</v>
      </c>
      <c r="EH48" s="2">
        <v>0</v>
      </c>
      <c r="EI48" s="2" t="s">
        <v>3</v>
      </c>
      <c r="EJ48" s="2">
        <v>1</v>
      </c>
      <c r="EK48" s="2">
        <v>2254</v>
      </c>
      <c r="EL48" s="2" t="s">
        <v>71</v>
      </c>
      <c r="EM48" s="2" t="s">
        <v>72</v>
      </c>
      <c r="EN48" s="2"/>
      <c r="EO48" s="2" t="s">
        <v>73</v>
      </c>
      <c r="EP48" s="2"/>
      <c r="EQ48" s="2">
        <v>131072</v>
      </c>
      <c r="ER48" s="2">
        <v>1423.89</v>
      </c>
      <c r="ES48" s="2">
        <v>0</v>
      </c>
      <c r="ET48" s="2">
        <v>255.97</v>
      </c>
      <c r="EU48" s="2">
        <v>28.08</v>
      </c>
      <c r="EV48" s="2">
        <v>1167.92</v>
      </c>
      <c r="EW48" s="2">
        <v>107.8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112</v>
      </c>
      <c r="FY48" s="2">
        <v>70</v>
      </c>
      <c r="FZ48" s="2"/>
      <c r="GA48" s="2" t="s">
        <v>3</v>
      </c>
      <c r="GB48" s="2"/>
      <c r="GC48" s="2"/>
      <c r="GD48" s="2">
        <v>0</v>
      </c>
      <c r="GE48" s="2"/>
      <c r="GF48" s="2">
        <v>-654616270</v>
      </c>
      <c r="GG48" s="2">
        <v>2</v>
      </c>
      <c r="GH48" s="2">
        <v>1</v>
      </c>
      <c r="GI48" s="2">
        <v>-2</v>
      </c>
      <c r="GJ48" s="2">
        <v>0</v>
      </c>
      <c r="GK48" s="2">
        <f>ROUND(R48*(R12)/100,2)</f>
        <v>0.21</v>
      </c>
      <c r="GL48" s="2">
        <f t="shared" si="48"/>
        <v>0</v>
      </c>
      <c r="GM48" s="2">
        <f t="shared" si="49"/>
        <v>15.19</v>
      </c>
      <c r="GN48" s="2">
        <f t="shared" si="50"/>
        <v>15.19</v>
      </c>
      <c r="GO48" s="2">
        <f t="shared" si="51"/>
        <v>0</v>
      </c>
      <c r="GP48" s="2">
        <f t="shared" si="52"/>
        <v>0</v>
      </c>
      <c r="GQ48" s="2"/>
      <c r="GR48" s="2">
        <v>0</v>
      </c>
      <c r="GS48" s="2">
        <v>0</v>
      </c>
      <c r="GT48" s="2">
        <v>0</v>
      </c>
      <c r="GU48" s="2" t="s">
        <v>3</v>
      </c>
      <c r="GV48" s="2">
        <f t="shared" si="53"/>
        <v>0</v>
      </c>
      <c r="GW48" s="2">
        <v>1</v>
      </c>
      <c r="GX48" s="2">
        <f t="shared" si="54"/>
        <v>0</v>
      </c>
      <c r="GY48" s="2"/>
      <c r="GZ48" s="2"/>
      <c r="HA48" s="2">
        <v>0</v>
      </c>
      <c r="HB48" s="2">
        <v>0</v>
      </c>
      <c r="HC48" s="2">
        <f t="shared" si="55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C49">
        <f>ROW(SmtRes!A46)</f>
        <v>46</v>
      </c>
      <c r="D49">
        <f>ROW(EtalonRes!A58)</f>
        <v>58</v>
      </c>
      <c r="E49" t="s">
        <v>75</v>
      </c>
      <c r="F49" t="s">
        <v>76</v>
      </c>
      <c r="G49" t="s">
        <v>77</v>
      </c>
      <c r="H49" t="s">
        <v>68</v>
      </c>
      <c r="I49">
        <f>ROUND(10*0.3/1000,9)</f>
        <v>3.0000000000000001E-3</v>
      </c>
      <c r="J49">
        <v>0</v>
      </c>
      <c r="K49">
        <f>ROUND(10*0.3/1000,9)</f>
        <v>3.0000000000000001E-3</v>
      </c>
      <c r="O49">
        <f t="shared" si="21"/>
        <v>182.87</v>
      </c>
      <c r="P49">
        <f t="shared" si="22"/>
        <v>0</v>
      </c>
      <c r="Q49">
        <f>(ROUND((ROUND(((((ET49*1.1)*1.2))*AV49*I49),2)*BB49),2)+ROUND((ROUND(((AE49-(((EU49*1.1)*1.2)))*AV49*I49),2)*BS49),2))</f>
        <v>12.74</v>
      </c>
      <c r="R49">
        <f t="shared" si="24"/>
        <v>4.1399999999999997</v>
      </c>
      <c r="S49">
        <f t="shared" si="25"/>
        <v>170.13</v>
      </c>
      <c r="T49">
        <f t="shared" si="26"/>
        <v>0</v>
      </c>
      <c r="U49">
        <f t="shared" si="27"/>
        <v>0.45548949600000005</v>
      </c>
      <c r="V49">
        <f t="shared" si="28"/>
        <v>0</v>
      </c>
      <c r="W49">
        <f t="shared" si="29"/>
        <v>0</v>
      </c>
      <c r="X49">
        <f t="shared" si="30"/>
        <v>156.52000000000001</v>
      </c>
      <c r="Y49">
        <f t="shared" si="31"/>
        <v>69.75</v>
      </c>
      <c r="AA49">
        <v>56611490</v>
      </c>
      <c r="AB49">
        <f t="shared" si="32"/>
        <v>1879.5347999999999</v>
      </c>
      <c r="AC49">
        <f>ROUND(((ES49*1)),6)</f>
        <v>0</v>
      </c>
      <c r="AD49">
        <f>ROUND((((((ET49*1.1)*1.2))-(((EU49*1.1)*1.2)))+AE49),6)</f>
        <v>337.88040000000001</v>
      </c>
      <c r="AE49">
        <f>ROUND((((EU49*1.1)*1.2)),6)</f>
        <v>37.065600000000003</v>
      </c>
      <c r="AF49">
        <f>ROUND((((EV49*1.1)*1.2)),6)</f>
        <v>1541.6543999999999</v>
      </c>
      <c r="AG49">
        <f t="shared" si="36"/>
        <v>0</v>
      </c>
      <c r="AH49">
        <f>(((EW49*1.1)*1.2))</f>
        <v>142.29600000000002</v>
      </c>
      <c r="AI49">
        <f>(((EX49*1.1)*1.2))</f>
        <v>0</v>
      </c>
      <c r="AJ49">
        <f t="shared" si="38"/>
        <v>0</v>
      </c>
      <c r="AK49">
        <v>1423.89</v>
      </c>
      <c r="AL49">
        <v>0</v>
      </c>
      <c r="AM49">
        <v>255.97</v>
      </c>
      <c r="AN49">
        <v>28.08</v>
      </c>
      <c r="AO49">
        <v>1167.92</v>
      </c>
      <c r="AP49">
        <v>0</v>
      </c>
      <c r="AQ49">
        <v>107.8</v>
      </c>
      <c r="AR49">
        <v>0</v>
      </c>
      <c r="AS49">
        <v>0</v>
      </c>
      <c r="AT49">
        <v>92</v>
      </c>
      <c r="AU49">
        <v>41</v>
      </c>
      <c r="AV49">
        <v>1.0669999999999999</v>
      </c>
      <c r="AW49">
        <v>1.081</v>
      </c>
      <c r="AZ49">
        <v>1</v>
      </c>
      <c r="BA49">
        <v>34.51</v>
      </c>
      <c r="BB49">
        <v>11.8</v>
      </c>
      <c r="BC49">
        <v>1</v>
      </c>
      <c r="BD49" t="s">
        <v>3</v>
      </c>
      <c r="BE49" t="s">
        <v>3</v>
      </c>
      <c r="BF49" t="s">
        <v>3</v>
      </c>
      <c r="BG49" t="s">
        <v>3</v>
      </c>
      <c r="BH49">
        <v>0</v>
      </c>
      <c r="BI49">
        <v>1</v>
      </c>
      <c r="BJ49" t="s">
        <v>78</v>
      </c>
      <c r="BM49">
        <v>2254</v>
      </c>
      <c r="BN49">
        <v>0</v>
      </c>
      <c r="BO49" t="s">
        <v>76</v>
      </c>
      <c r="BP49">
        <v>1</v>
      </c>
      <c r="BQ49">
        <v>30</v>
      </c>
      <c r="BR49">
        <v>0</v>
      </c>
      <c r="BS49">
        <v>34.51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92</v>
      </c>
      <c r="CA49">
        <v>41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691</v>
      </c>
      <c r="CO49">
        <v>0</v>
      </c>
      <c r="CP49">
        <f t="shared" si="39"/>
        <v>182.87</v>
      </c>
      <c r="CQ49">
        <f t="shared" si="40"/>
        <v>0</v>
      </c>
      <c r="CR49">
        <f>(ROUND((ROUND(((((ET49*1.1)*1.2))*AV49*1),2)*BB49),2)+ROUND((ROUND(((AE49-(((EU49*1.1)*1.2)))*AV49*1),2)*BS49),2))</f>
        <v>4254.1400000000003</v>
      </c>
      <c r="CS49">
        <f t="shared" si="42"/>
        <v>1364.87</v>
      </c>
      <c r="CT49">
        <f t="shared" si="43"/>
        <v>56767.22</v>
      </c>
      <c r="CU49">
        <f t="shared" si="44"/>
        <v>0</v>
      </c>
      <c r="CV49">
        <f t="shared" si="45"/>
        <v>151.82983200000001</v>
      </c>
      <c r="CW49">
        <f t="shared" si="46"/>
        <v>0</v>
      </c>
      <c r="CX49">
        <f t="shared" si="47"/>
        <v>0</v>
      </c>
      <c r="CY49">
        <f>S49*(BZ49/100)</f>
        <v>156.5196</v>
      </c>
      <c r="CZ49">
        <f>S49*(CA49/100)</f>
        <v>69.753299999999996</v>
      </c>
      <c r="DC49" t="s">
        <v>3</v>
      </c>
      <c r="DD49" t="s">
        <v>42</v>
      </c>
      <c r="DE49" t="s">
        <v>70</v>
      </c>
      <c r="DF49" t="s">
        <v>70</v>
      </c>
      <c r="DG49" t="s">
        <v>70</v>
      </c>
      <c r="DH49" t="s">
        <v>3</v>
      </c>
      <c r="DI49" t="s">
        <v>70</v>
      </c>
      <c r="DJ49" t="s">
        <v>70</v>
      </c>
      <c r="DK49" t="s">
        <v>3</v>
      </c>
      <c r="DL49" t="s">
        <v>3</v>
      </c>
      <c r="DM49" t="s">
        <v>3</v>
      </c>
      <c r="DN49">
        <v>112</v>
      </c>
      <c r="DO49">
        <v>70</v>
      </c>
      <c r="DP49">
        <v>1.0669999999999999</v>
      </c>
      <c r="DQ49">
        <v>1.081</v>
      </c>
      <c r="DU49">
        <v>1013</v>
      </c>
      <c r="DV49" t="s">
        <v>68</v>
      </c>
      <c r="DW49" t="s">
        <v>68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51698335</v>
      </c>
      <c r="EF49">
        <v>30</v>
      </c>
      <c r="EG49" t="s">
        <v>23</v>
      </c>
      <c r="EH49">
        <v>0</v>
      </c>
      <c r="EI49" t="s">
        <v>3</v>
      </c>
      <c r="EJ49">
        <v>1</v>
      </c>
      <c r="EK49">
        <v>2254</v>
      </c>
      <c r="EL49" t="s">
        <v>71</v>
      </c>
      <c r="EM49" t="s">
        <v>72</v>
      </c>
      <c r="EO49" t="s">
        <v>73</v>
      </c>
      <c r="EQ49">
        <v>131072</v>
      </c>
      <c r="ER49">
        <v>1423.89</v>
      </c>
      <c r="ES49">
        <v>0</v>
      </c>
      <c r="ET49">
        <v>255.97</v>
      </c>
      <c r="EU49">
        <v>28.08</v>
      </c>
      <c r="EV49">
        <v>1167.92</v>
      </c>
      <c r="EW49">
        <v>107.8</v>
      </c>
      <c r="EX49">
        <v>0</v>
      </c>
      <c r="EY49">
        <v>0</v>
      </c>
      <c r="FQ49">
        <v>0</v>
      </c>
      <c r="FR49">
        <v>0</v>
      </c>
      <c r="FS49">
        <v>0</v>
      </c>
      <c r="FX49">
        <v>112</v>
      </c>
      <c r="FY49">
        <v>70</v>
      </c>
      <c r="GA49" t="s">
        <v>3</v>
      </c>
      <c r="GD49">
        <v>0</v>
      </c>
      <c r="GF49">
        <v>-654616270</v>
      </c>
      <c r="GG49">
        <v>2</v>
      </c>
      <c r="GH49">
        <v>1</v>
      </c>
      <c r="GI49">
        <v>2</v>
      </c>
      <c r="GJ49">
        <v>0</v>
      </c>
      <c r="GK49">
        <f>ROUND(R49*(S12)/100,2)</f>
        <v>6.62</v>
      </c>
      <c r="GL49">
        <f t="shared" si="48"/>
        <v>0</v>
      </c>
      <c r="GM49">
        <f t="shared" si="49"/>
        <v>415.76</v>
      </c>
      <c r="GN49">
        <f t="shared" si="50"/>
        <v>415.76</v>
      </c>
      <c r="GO49">
        <f t="shared" si="51"/>
        <v>0</v>
      </c>
      <c r="GP49">
        <f t="shared" si="52"/>
        <v>0</v>
      </c>
      <c r="GR49">
        <v>0</v>
      </c>
      <c r="GS49">
        <v>3</v>
      </c>
      <c r="GT49">
        <v>0</v>
      </c>
      <c r="GU49" t="s">
        <v>3</v>
      </c>
      <c r="GV49">
        <f t="shared" si="53"/>
        <v>0</v>
      </c>
      <c r="GW49">
        <v>1</v>
      </c>
      <c r="GX49">
        <f t="shared" si="54"/>
        <v>0</v>
      </c>
      <c r="HA49">
        <v>0</v>
      </c>
      <c r="HB49">
        <v>0</v>
      </c>
      <c r="HC49">
        <f t="shared" si="55"/>
        <v>0</v>
      </c>
      <c r="HE49" t="s">
        <v>3</v>
      </c>
      <c r="HF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17</v>
      </c>
      <c r="B50" s="2">
        <v>1</v>
      </c>
      <c r="C50" s="2">
        <f>ROW(SmtRes!A51)</f>
        <v>51</v>
      </c>
      <c r="D50" s="2">
        <f>ROW(EtalonRes!A64)</f>
        <v>64</v>
      </c>
      <c r="E50" s="2" t="s">
        <v>79</v>
      </c>
      <c r="F50" s="2" t="s">
        <v>76</v>
      </c>
      <c r="G50" s="2" t="s">
        <v>77</v>
      </c>
      <c r="H50" s="2" t="s">
        <v>68</v>
      </c>
      <c r="I50" s="2">
        <f>ROUND(10*0.7/1000,9)</f>
        <v>7.0000000000000001E-3</v>
      </c>
      <c r="J50" s="2">
        <v>0</v>
      </c>
      <c r="K50" s="2">
        <f>ROUND(10*0.7/1000,9)</f>
        <v>7.0000000000000001E-3</v>
      </c>
      <c r="L50" s="2"/>
      <c r="M50" s="2"/>
      <c r="N50" s="2"/>
      <c r="O50" s="2">
        <f t="shared" si="21"/>
        <v>11.7</v>
      </c>
      <c r="P50" s="2">
        <f t="shared" si="22"/>
        <v>0</v>
      </c>
      <c r="Q50" s="2">
        <f t="shared" ref="Q50:Q61" si="62">(ROUND((ROUND((((ET50*1.1))*AV50*I50),2)*BB50),2)+ROUND((ROUND(((AE50-((EU50*1.1)))*AV50*I50),2)*BS50),2))</f>
        <v>2.1</v>
      </c>
      <c r="R50" s="2">
        <f t="shared" si="24"/>
        <v>0.23</v>
      </c>
      <c r="S50" s="2">
        <f t="shared" si="25"/>
        <v>9.6</v>
      </c>
      <c r="T50" s="2">
        <f t="shared" si="26"/>
        <v>0</v>
      </c>
      <c r="U50" s="2">
        <f t="shared" si="27"/>
        <v>0.88567402000000006</v>
      </c>
      <c r="V50" s="2">
        <f t="shared" si="28"/>
        <v>0</v>
      </c>
      <c r="W50" s="2">
        <f t="shared" si="29"/>
        <v>0</v>
      </c>
      <c r="X50" s="2">
        <f t="shared" si="30"/>
        <v>10.75</v>
      </c>
      <c r="Y50" s="2">
        <f t="shared" si="31"/>
        <v>6.72</v>
      </c>
      <c r="Z50" s="2"/>
      <c r="AA50" s="2">
        <v>56622523</v>
      </c>
      <c r="AB50" s="2">
        <f t="shared" si="32"/>
        <v>1566.279</v>
      </c>
      <c r="AC50" s="2">
        <f t="shared" ref="AC50:AC61" si="63">ROUND((ES50),6)</f>
        <v>0</v>
      </c>
      <c r="AD50" s="2">
        <f t="shared" ref="AD50:AD61" si="64">ROUND(((((ET50*1.1))-((EU50*1.1)))+AE50),6)</f>
        <v>281.56700000000001</v>
      </c>
      <c r="AE50" s="2">
        <f t="shared" ref="AE50:AE61" si="65">ROUND(((EU50*1.1)),6)</f>
        <v>30.888000000000002</v>
      </c>
      <c r="AF50" s="2">
        <f t="shared" ref="AF50:AF61" si="66">ROUND(((EV50*1.1)),6)</f>
        <v>1284.712</v>
      </c>
      <c r="AG50" s="2">
        <f t="shared" si="36"/>
        <v>0</v>
      </c>
      <c r="AH50" s="2">
        <f t="shared" ref="AH50:AH61" si="67">((EW50*1.1))</f>
        <v>118.58000000000001</v>
      </c>
      <c r="AI50" s="2">
        <f t="shared" ref="AI50:AI61" si="68">((EX50*1.1))</f>
        <v>0</v>
      </c>
      <c r="AJ50" s="2">
        <f t="shared" si="38"/>
        <v>0</v>
      </c>
      <c r="AK50" s="2">
        <v>1423.89</v>
      </c>
      <c r="AL50" s="2">
        <v>0</v>
      </c>
      <c r="AM50" s="2">
        <v>255.97</v>
      </c>
      <c r="AN50" s="2">
        <v>28.08</v>
      </c>
      <c r="AO50" s="2">
        <v>1167.92</v>
      </c>
      <c r="AP50" s="2">
        <v>0</v>
      </c>
      <c r="AQ50" s="2">
        <v>107.8</v>
      </c>
      <c r="AR50" s="2">
        <v>0</v>
      </c>
      <c r="AS50" s="2">
        <v>0</v>
      </c>
      <c r="AT50" s="2">
        <v>112</v>
      </c>
      <c r="AU50" s="2">
        <v>70</v>
      </c>
      <c r="AV50" s="2">
        <v>1.0669999999999999</v>
      </c>
      <c r="AW50" s="2">
        <v>1.081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1</v>
      </c>
      <c r="BJ50" s="2" t="s">
        <v>78</v>
      </c>
      <c r="BK50" s="2"/>
      <c r="BL50" s="2"/>
      <c r="BM50" s="2">
        <v>2254</v>
      </c>
      <c r="BN50" s="2">
        <v>0</v>
      </c>
      <c r="BO50" s="2" t="s">
        <v>3</v>
      </c>
      <c r="BP50" s="2">
        <v>0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112</v>
      </c>
      <c r="CA50" s="2">
        <v>70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689</v>
      </c>
      <c r="CO50" s="2">
        <v>0</v>
      </c>
      <c r="CP50" s="2">
        <f t="shared" si="39"/>
        <v>11.7</v>
      </c>
      <c r="CQ50" s="2">
        <f t="shared" si="40"/>
        <v>0</v>
      </c>
      <c r="CR50" s="2">
        <f t="shared" ref="CR50:CR61" si="69">(ROUND((ROUND((((ET50*1.1))*AV50*1),2)*BB50),2)+ROUND((ROUND(((AE50-((EU50*1.1)))*AV50*1),2)*BS50),2))</f>
        <v>300.43</v>
      </c>
      <c r="CS50" s="2">
        <f t="shared" si="42"/>
        <v>32.96</v>
      </c>
      <c r="CT50" s="2">
        <f t="shared" si="43"/>
        <v>1370.79</v>
      </c>
      <c r="CU50" s="2">
        <f t="shared" si="44"/>
        <v>0</v>
      </c>
      <c r="CV50" s="2">
        <f t="shared" si="45"/>
        <v>126.52486</v>
      </c>
      <c r="CW50" s="2">
        <f t="shared" si="46"/>
        <v>0</v>
      </c>
      <c r="CX50" s="2">
        <f t="shared" si="47"/>
        <v>0</v>
      </c>
      <c r="CY50" s="2">
        <f>((S50*BZ50)/100)</f>
        <v>10.752000000000001</v>
      </c>
      <c r="CZ50" s="2">
        <f>((S50*CA50)/100)</f>
        <v>6.72</v>
      </c>
      <c r="DA50" s="2"/>
      <c r="DB50" s="2"/>
      <c r="DC50" s="2" t="s">
        <v>3</v>
      </c>
      <c r="DD50" s="2" t="s">
        <v>3</v>
      </c>
      <c r="DE50" s="2" t="s">
        <v>22</v>
      </c>
      <c r="DF50" s="2" t="s">
        <v>22</v>
      </c>
      <c r="DG50" s="2" t="s">
        <v>22</v>
      </c>
      <c r="DH50" s="2" t="s">
        <v>3</v>
      </c>
      <c r="DI50" s="2" t="s">
        <v>22</v>
      </c>
      <c r="DJ50" s="2" t="s">
        <v>22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68</v>
      </c>
      <c r="DW50" s="2" t="s">
        <v>68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51698335</v>
      </c>
      <c r="EF50" s="2">
        <v>30</v>
      </c>
      <c r="EG50" s="2" t="s">
        <v>23</v>
      </c>
      <c r="EH50" s="2">
        <v>0</v>
      </c>
      <c r="EI50" s="2" t="s">
        <v>3</v>
      </c>
      <c r="EJ50" s="2">
        <v>1</v>
      </c>
      <c r="EK50" s="2">
        <v>2254</v>
      </c>
      <c r="EL50" s="2" t="s">
        <v>71</v>
      </c>
      <c r="EM50" s="2" t="s">
        <v>72</v>
      </c>
      <c r="EN50" s="2"/>
      <c r="EO50" s="2" t="s">
        <v>26</v>
      </c>
      <c r="EP50" s="2"/>
      <c r="EQ50" s="2">
        <v>131072</v>
      </c>
      <c r="ER50" s="2">
        <v>1423.89</v>
      </c>
      <c r="ES50" s="2">
        <v>0</v>
      </c>
      <c r="ET50" s="2">
        <v>255.97</v>
      </c>
      <c r="EU50" s="2">
        <v>28.08</v>
      </c>
      <c r="EV50" s="2">
        <v>1167.92</v>
      </c>
      <c r="EW50" s="2">
        <v>107.8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112</v>
      </c>
      <c r="FY50" s="2">
        <v>70</v>
      </c>
      <c r="FZ50" s="2"/>
      <c r="GA50" s="2" t="s">
        <v>3</v>
      </c>
      <c r="GB50" s="2"/>
      <c r="GC50" s="2"/>
      <c r="GD50" s="2">
        <v>0</v>
      </c>
      <c r="GE50" s="2"/>
      <c r="GF50" s="2">
        <v>-654616270</v>
      </c>
      <c r="GG50" s="2">
        <v>2</v>
      </c>
      <c r="GH50" s="2">
        <v>1</v>
      </c>
      <c r="GI50" s="2">
        <v>-2</v>
      </c>
      <c r="GJ50" s="2">
        <v>0</v>
      </c>
      <c r="GK50" s="2">
        <f>ROUND(R50*(R12)/100,2)</f>
        <v>0.4</v>
      </c>
      <c r="GL50" s="2">
        <f t="shared" si="48"/>
        <v>0</v>
      </c>
      <c r="GM50" s="2">
        <f t="shared" si="49"/>
        <v>29.57</v>
      </c>
      <c r="GN50" s="2">
        <f t="shared" si="50"/>
        <v>29.57</v>
      </c>
      <c r="GO50" s="2">
        <f t="shared" si="51"/>
        <v>0</v>
      </c>
      <c r="GP50" s="2">
        <f t="shared" si="52"/>
        <v>0</v>
      </c>
      <c r="GQ50" s="2"/>
      <c r="GR50" s="2">
        <v>0</v>
      </c>
      <c r="GS50" s="2">
        <v>0</v>
      </c>
      <c r="GT50" s="2">
        <v>0</v>
      </c>
      <c r="GU50" s="2" t="s">
        <v>3</v>
      </c>
      <c r="GV50" s="2">
        <f t="shared" si="53"/>
        <v>0</v>
      </c>
      <c r="GW50" s="2">
        <v>1</v>
      </c>
      <c r="GX50" s="2">
        <f t="shared" si="54"/>
        <v>0</v>
      </c>
      <c r="GY50" s="2"/>
      <c r="GZ50" s="2"/>
      <c r="HA50" s="2">
        <v>0</v>
      </c>
      <c r="HB50" s="2">
        <v>0</v>
      </c>
      <c r="HC50" s="2">
        <f t="shared" si="55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17</v>
      </c>
      <c r="B51">
        <v>1</v>
      </c>
      <c r="C51">
        <f>ROW(SmtRes!A56)</f>
        <v>56</v>
      </c>
      <c r="D51">
        <f>ROW(EtalonRes!A70)</f>
        <v>70</v>
      </c>
      <c r="E51" t="s">
        <v>79</v>
      </c>
      <c r="F51" t="s">
        <v>76</v>
      </c>
      <c r="G51" t="s">
        <v>77</v>
      </c>
      <c r="H51" t="s">
        <v>68</v>
      </c>
      <c r="I51">
        <f>ROUND(10*0.7/1000,9)</f>
        <v>7.0000000000000001E-3</v>
      </c>
      <c r="J51">
        <v>0</v>
      </c>
      <c r="K51">
        <f>ROUND(10*0.7/1000,9)</f>
        <v>7.0000000000000001E-3</v>
      </c>
      <c r="O51">
        <f t="shared" si="21"/>
        <v>356.08</v>
      </c>
      <c r="P51">
        <f t="shared" si="22"/>
        <v>0</v>
      </c>
      <c r="Q51">
        <f t="shared" si="62"/>
        <v>24.78</v>
      </c>
      <c r="R51">
        <f t="shared" si="24"/>
        <v>7.94</v>
      </c>
      <c r="S51">
        <f t="shared" si="25"/>
        <v>331.3</v>
      </c>
      <c r="T51">
        <f t="shared" si="26"/>
        <v>0</v>
      </c>
      <c r="U51">
        <f t="shared" si="27"/>
        <v>0.88567402000000006</v>
      </c>
      <c r="V51">
        <f t="shared" si="28"/>
        <v>0</v>
      </c>
      <c r="W51">
        <f t="shared" si="29"/>
        <v>0</v>
      </c>
      <c r="X51">
        <f t="shared" si="30"/>
        <v>304.8</v>
      </c>
      <c r="Y51">
        <f t="shared" si="31"/>
        <v>135.83000000000001</v>
      </c>
      <c r="AA51">
        <v>56611490</v>
      </c>
      <c r="AB51">
        <f t="shared" si="32"/>
        <v>1566.279</v>
      </c>
      <c r="AC51">
        <f t="shared" si="63"/>
        <v>0</v>
      </c>
      <c r="AD51">
        <f t="shared" si="64"/>
        <v>281.56700000000001</v>
      </c>
      <c r="AE51">
        <f t="shared" si="65"/>
        <v>30.888000000000002</v>
      </c>
      <c r="AF51">
        <f t="shared" si="66"/>
        <v>1284.712</v>
      </c>
      <c r="AG51">
        <f t="shared" si="36"/>
        <v>0</v>
      </c>
      <c r="AH51">
        <f t="shared" si="67"/>
        <v>118.58000000000001</v>
      </c>
      <c r="AI51">
        <f t="shared" si="68"/>
        <v>0</v>
      </c>
      <c r="AJ51">
        <f t="shared" si="38"/>
        <v>0</v>
      </c>
      <c r="AK51">
        <v>1423.89</v>
      </c>
      <c r="AL51">
        <v>0</v>
      </c>
      <c r="AM51">
        <v>255.97</v>
      </c>
      <c r="AN51">
        <v>28.08</v>
      </c>
      <c r="AO51">
        <v>1167.92</v>
      </c>
      <c r="AP51">
        <v>0</v>
      </c>
      <c r="AQ51">
        <v>107.8</v>
      </c>
      <c r="AR51">
        <v>0</v>
      </c>
      <c r="AS51">
        <v>0</v>
      </c>
      <c r="AT51">
        <v>92</v>
      </c>
      <c r="AU51">
        <v>41</v>
      </c>
      <c r="AV51">
        <v>1.0669999999999999</v>
      </c>
      <c r="AW51">
        <v>1.081</v>
      </c>
      <c r="AZ51">
        <v>1</v>
      </c>
      <c r="BA51">
        <v>34.51</v>
      </c>
      <c r="BB51">
        <v>11.8</v>
      </c>
      <c r="BC51">
        <v>1</v>
      </c>
      <c r="BD51" t="s">
        <v>3</v>
      </c>
      <c r="BE51" t="s">
        <v>3</v>
      </c>
      <c r="BF51" t="s">
        <v>3</v>
      </c>
      <c r="BG51" t="s">
        <v>3</v>
      </c>
      <c r="BH51">
        <v>0</v>
      </c>
      <c r="BI51">
        <v>1</v>
      </c>
      <c r="BJ51" t="s">
        <v>78</v>
      </c>
      <c r="BM51">
        <v>2254</v>
      </c>
      <c r="BN51">
        <v>0</v>
      </c>
      <c r="BO51" t="s">
        <v>76</v>
      </c>
      <c r="BP51">
        <v>1</v>
      </c>
      <c r="BQ51">
        <v>30</v>
      </c>
      <c r="BR51">
        <v>0</v>
      </c>
      <c r="BS51">
        <v>34.51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92</v>
      </c>
      <c r="CA51">
        <v>41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689</v>
      </c>
      <c r="CO51">
        <v>0</v>
      </c>
      <c r="CP51">
        <f t="shared" si="39"/>
        <v>356.08000000000004</v>
      </c>
      <c r="CQ51">
        <f t="shared" si="40"/>
        <v>0</v>
      </c>
      <c r="CR51">
        <f t="shared" si="69"/>
        <v>3545.07</v>
      </c>
      <c r="CS51">
        <f t="shared" si="42"/>
        <v>1137.45</v>
      </c>
      <c r="CT51">
        <f t="shared" si="43"/>
        <v>47305.96</v>
      </c>
      <c r="CU51">
        <f t="shared" si="44"/>
        <v>0</v>
      </c>
      <c r="CV51">
        <f t="shared" si="45"/>
        <v>126.52486</v>
      </c>
      <c r="CW51">
        <f t="shared" si="46"/>
        <v>0</v>
      </c>
      <c r="CX51">
        <f t="shared" si="47"/>
        <v>0</v>
      </c>
      <c r="CY51">
        <f>S51*(BZ51/100)</f>
        <v>304.79600000000005</v>
      </c>
      <c r="CZ51">
        <f>S51*(CA51/100)</f>
        <v>135.833</v>
      </c>
      <c r="DC51" t="s">
        <v>3</v>
      </c>
      <c r="DD51" t="s">
        <v>3</v>
      </c>
      <c r="DE51" t="s">
        <v>22</v>
      </c>
      <c r="DF51" t="s">
        <v>22</v>
      </c>
      <c r="DG51" t="s">
        <v>22</v>
      </c>
      <c r="DH51" t="s">
        <v>3</v>
      </c>
      <c r="DI51" t="s">
        <v>22</v>
      </c>
      <c r="DJ51" t="s">
        <v>22</v>
      </c>
      <c r="DK51" t="s">
        <v>3</v>
      </c>
      <c r="DL51" t="s">
        <v>3</v>
      </c>
      <c r="DM51" t="s">
        <v>3</v>
      </c>
      <c r="DN51">
        <v>112</v>
      </c>
      <c r="DO51">
        <v>70</v>
      </c>
      <c r="DP51">
        <v>1.0669999999999999</v>
      </c>
      <c r="DQ51">
        <v>1.081</v>
      </c>
      <c r="DU51">
        <v>1013</v>
      </c>
      <c r="DV51" t="s">
        <v>68</v>
      </c>
      <c r="DW51" t="s">
        <v>68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51698335</v>
      </c>
      <c r="EF51">
        <v>30</v>
      </c>
      <c r="EG51" t="s">
        <v>23</v>
      </c>
      <c r="EH51">
        <v>0</v>
      </c>
      <c r="EI51" t="s">
        <v>3</v>
      </c>
      <c r="EJ51">
        <v>1</v>
      </c>
      <c r="EK51">
        <v>2254</v>
      </c>
      <c r="EL51" t="s">
        <v>71</v>
      </c>
      <c r="EM51" t="s">
        <v>72</v>
      </c>
      <c r="EO51" t="s">
        <v>26</v>
      </c>
      <c r="EQ51">
        <v>131072</v>
      </c>
      <c r="ER51">
        <v>1423.89</v>
      </c>
      <c r="ES51">
        <v>0</v>
      </c>
      <c r="ET51">
        <v>255.97</v>
      </c>
      <c r="EU51">
        <v>28.08</v>
      </c>
      <c r="EV51">
        <v>1167.92</v>
      </c>
      <c r="EW51">
        <v>107.8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112</v>
      </c>
      <c r="FY51">
        <v>70</v>
      </c>
      <c r="GA51" t="s">
        <v>3</v>
      </c>
      <c r="GD51">
        <v>0</v>
      </c>
      <c r="GF51">
        <v>-654616270</v>
      </c>
      <c r="GG51">
        <v>2</v>
      </c>
      <c r="GH51">
        <v>1</v>
      </c>
      <c r="GI51">
        <v>2</v>
      </c>
      <c r="GJ51">
        <v>0</v>
      </c>
      <c r="GK51">
        <f>ROUND(R51*(S12)/100,2)</f>
        <v>12.7</v>
      </c>
      <c r="GL51">
        <f t="shared" si="48"/>
        <v>0</v>
      </c>
      <c r="GM51">
        <f t="shared" si="49"/>
        <v>809.41</v>
      </c>
      <c r="GN51">
        <f t="shared" si="50"/>
        <v>809.41</v>
      </c>
      <c r="GO51">
        <f t="shared" si="51"/>
        <v>0</v>
      </c>
      <c r="GP51">
        <f t="shared" si="52"/>
        <v>0</v>
      </c>
      <c r="GR51">
        <v>0</v>
      </c>
      <c r="GS51">
        <v>3</v>
      </c>
      <c r="GT51">
        <v>0</v>
      </c>
      <c r="GU51" t="s">
        <v>3</v>
      </c>
      <c r="GV51">
        <f t="shared" si="53"/>
        <v>0</v>
      </c>
      <c r="GW51">
        <v>1</v>
      </c>
      <c r="GX51">
        <f t="shared" si="54"/>
        <v>0</v>
      </c>
      <c r="HA51">
        <v>0</v>
      </c>
      <c r="HB51">
        <v>0</v>
      </c>
      <c r="HC51">
        <f t="shared" si="55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80</v>
      </c>
      <c r="F52" s="2" t="s">
        <v>81</v>
      </c>
      <c r="G52" s="2" t="s">
        <v>82</v>
      </c>
      <c r="H52" s="2" t="s">
        <v>56</v>
      </c>
      <c r="I52" s="2">
        <v>12</v>
      </c>
      <c r="J52" s="2">
        <v>0</v>
      </c>
      <c r="K52" s="2">
        <v>12</v>
      </c>
      <c r="L52" s="2"/>
      <c r="M52" s="2"/>
      <c r="N52" s="2"/>
      <c r="O52" s="2">
        <f t="shared" si="21"/>
        <v>1138.8</v>
      </c>
      <c r="P52" s="2">
        <f t="shared" si="22"/>
        <v>1138.8</v>
      </c>
      <c r="Q52" s="2">
        <f t="shared" si="62"/>
        <v>0</v>
      </c>
      <c r="R52" s="2">
        <f t="shared" si="24"/>
        <v>0</v>
      </c>
      <c r="S52" s="2">
        <f t="shared" si="25"/>
        <v>0</v>
      </c>
      <c r="T52" s="2">
        <f t="shared" si="26"/>
        <v>0</v>
      </c>
      <c r="U52" s="2">
        <f t="shared" si="27"/>
        <v>0</v>
      </c>
      <c r="V52" s="2">
        <f t="shared" si="28"/>
        <v>0</v>
      </c>
      <c r="W52" s="2">
        <f t="shared" si="29"/>
        <v>0</v>
      </c>
      <c r="X52" s="2">
        <f t="shared" si="30"/>
        <v>0</v>
      </c>
      <c r="Y52" s="2">
        <f t="shared" si="31"/>
        <v>0</v>
      </c>
      <c r="Z52" s="2"/>
      <c r="AA52" s="2">
        <v>56622523</v>
      </c>
      <c r="AB52" s="2">
        <f t="shared" si="32"/>
        <v>94.9</v>
      </c>
      <c r="AC52" s="2">
        <f t="shared" si="63"/>
        <v>94.9</v>
      </c>
      <c r="AD52" s="2">
        <f t="shared" si="64"/>
        <v>0</v>
      </c>
      <c r="AE52" s="2">
        <f t="shared" si="65"/>
        <v>0</v>
      </c>
      <c r="AF52" s="2">
        <f t="shared" si="66"/>
        <v>0</v>
      </c>
      <c r="AG52" s="2">
        <f t="shared" si="36"/>
        <v>0</v>
      </c>
      <c r="AH52" s="2">
        <f t="shared" si="67"/>
        <v>0</v>
      </c>
      <c r="AI52" s="2">
        <f t="shared" si="68"/>
        <v>0</v>
      </c>
      <c r="AJ52" s="2">
        <f t="shared" si="38"/>
        <v>0</v>
      </c>
      <c r="AK52" s="2">
        <v>94.9</v>
      </c>
      <c r="AL52" s="2">
        <v>94.9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3</v>
      </c>
      <c r="BK52" s="2"/>
      <c r="BL52" s="2"/>
      <c r="BM52" s="2">
        <v>1617</v>
      </c>
      <c r="BN52" s="2">
        <v>0</v>
      </c>
      <c r="BO52" s="2" t="s">
        <v>3</v>
      </c>
      <c r="BP52" s="2">
        <v>0</v>
      </c>
      <c r="BQ52" s="2">
        <v>200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689</v>
      </c>
      <c r="CO52" s="2">
        <v>0</v>
      </c>
      <c r="CP52" s="2">
        <f t="shared" si="39"/>
        <v>1138.8</v>
      </c>
      <c r="CQ52" s="2">
        <f t="shared" si="40"/>
        <v>94.9</v>
      </c>
      <c r="CR52" s="2">
        <f t="shared" si="69"/>
        <v>0</v>
      </c>
      <c r="CS52" s="2">
        <f t="shared" si="42"/>
        <v>0</v>
      </c>
      <c r="CT52" s="2">
        <f t="shared" si="43"/>
        <v>0</v>
      </c>
      <c r="CU52" s="2">
        <f t="shared" si="44"/>
        <v>0</v>
      </c>
      <c r="CV52" s="2">
        <f t="shared" si="45"/>
        <v>0</v>
      </c>
      <c r="CW52" s="2">
        <f t="shared" si="46"/>
        <v>0</v>
      </c>
      <c r="CX52" s="2">
        <f t="shared" si="47"/>
        <v>0</v>
      </c>
      <c r="CY52" s="2">
        <f>((S52*BZ52)/100)</f>
        <v>0</v>
      </c>
      <c r="CZ52" s="2">
        <f>((S52*CA52)/100)</f>
        <v>0</v>
      </c>
      <c r="DA52" s="2"/>
      <c r="DB52" s="2"/>
      <c r="DC52" s="2" t="s">
        <v>3</v>
      </c>
      <c r="DD52" s="2" t="s">
        <v>3</v>
      </c>
      <c r="DE52" s="2" t="s">
        <v>22</v>
      </c>
      <c r="DF52" s="2" t="s">
        <v>22</v>
      </c>
      <c r="DG52" s="2" t="s">
        <v>22</v>
      </c>
      <c r="DH52" s="2" t="s">
        <v>3</v>
      </c>
      <c r="DI52" s="2" t="s">
        <v>22</v>
      </c>
      <c r="DJ52" s="2" t="s">
        <v>22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1003</v>
      </c>
      <c r="DV52" s="2" t="s">
        <v>56</v>
      </c>
      <c r="DW52" s="2" t="s">
        <v>56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51697656</v>
      </c>
      <c r="EF52" s="2">
        <v>200</v>
      </c>
      <c r="EG52" s="2" t="s">
        <v>58</v>
      </c>
      <c r="EH52" s="2">
        <v>0</v>
      </c>
      <c r="EI52" s="2" t="s">
        <v>3</v>
      </c>
      <c r="EJ52" s="2">
        <v>1</v>
      </c>
      <c r="EK52" s="2">
        <v>1617</v>
      </c>
      <c r="EL52" s="2" t="s">
        <v>59</v>
      </c>
      <c r="EM52" s="2" t="s">
        <v>60</v>
      </c>
      <c r="EN52" s="2"/>
      <c r="EO52" s="2" t="s">
        <v>26</v>
      </c>
      <c r="EP52" s="2"/>
      <c r="EQ52" s="2">
        <v>131072</v>
      </c>
      <c r="ER52" s="2">
        <v>94.9</v>
      </c>
      <c r="ES52" s="2">
        <v>94.9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3</v>
      </c>
      <c r="GB52" s="2"/>
      <c r="GC52" s="2"/>
      <c r="GD52" s="2">
        <v>0</v>
      </c>
      <c r="GE52" s="2"/>
      <c r="GF52" s="2">
        <v>1146027774</v>
      </c>
      <c r="GG52" s="2">
        <v>2</v>
      </c>
      <c r="GH52" s="2">
        <v>0</v>
      </c>
      <c r="GI52" s="2">
        <v>3</v>
      </c>
      <c r="GJ52" s="2">
        <v>0</v>
      </c>
      <c r="GK52" s="2">
        <f>ROUND(R52*(R12)/100,2)</f>
        <v>0</v>
      </c>
      <c r="GL52" s="2">
        <f t="shared" si="48"/>
        <v>0</v>
      </c>
      <c r="GM52" s="2">
        <f t="shared" si="49"/>
        <v>1138.8</v>
      </c>
      <c r="GN52" s="2">
        <f t="shared" si="50"/>
        <v>1138.8</v>
      </c>
      <c r="GO52" s="2">
        <f t="shared" si="51"/>
        <v>0</v>
      </c>
      <c r="GP52" s="2">
        <f t="shared" si="52"/>
        <v>0</v>
      </c>
      <c r="GQ52" s="2"/>
      <c r="GR52" s="2">
        <v>0</v>
      </c>
      <c r="GS52" s="2">
        <v>0</v>
      </c>
      <c r="GT52" s="2">
        <v>0</v>
      </c>
      <c r="GU52" s="2" t="s">
        <v>3</v>
      </c>
      <c r="GV52" s="2">
        <f t="shared" si="53"/>
        <v>0</v>
      </c>
      <c r="GW52" s="2">
        <v>1</v>
      </c>
      <c r="GX52" s="2">
        <f t="shared" si="54"/>
        <v>0</v>
      </c>
      <c r="GY52" s="2"/>
      <c r="GZ52" s="2"/>
      <c r="HA52" s="2">
        <v>0</v>
      </c>
      <c r="HB52" s="2">
        <v>0</v>
      </c>
      <c r="HC52" s="2">
        <f t="shared" si="55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E53" t="s">
        <v>80</v>
      </c>
      <c r="F53" t="s">
        <v>81</v>
      </c>
      <c r="G53" t="s">
        <v>82</v>
      </c>
      <c r="H53" t="s">
        <v>56</v>
      </c>
      <c r="I53">
        <v>12</v>
      </c>
      <c r="J53">
        <v>0</v>
      </c>
      <c r="K53">
        <v>12</v>
      </c>
      <c r="O53">
        <f t="shared" si="21"/>
        <v>11091.91</v>
      </c>
      <c r="P53">
        <f t="shared" si="22"/>
        <v>11091.91</v>
      </c>
      <c r="Q53">
        <f t="shared" si="62"/>
        <v>0</v>
      </c>
      <c r="R53">
        <f t="shared" si="24"/>
        <v>0</v>
      </c>
      <c r="S53">
        <f t="shared" si="25"/>
        <v>0</v>
      </c>
      <c r="T53">
        <f t="shared" si="26"/>
        <v>0</v>
      </c>
      <c r="U53">
        <f t="shared" si="27"/>
        <v>0</v>
      </c>
      <c r="V53">
        <f t="shared" si="28"/>
        <v>0</v>
      </c>
      <c r="W53">
        <f t="shared" si="29"/>
        <v>0</v>
      </c>
      <c r="X53">
        <f t="shared" si="30"/>
        <v>0</v>
      </c>
      <c r="Y53">
        <f t="shared" si="31"/>
        <v>0</v>
      </c>
      <c r="AA53">
        <v>56611490</v>
      </c>
      <c r="AB53">
        <f t="shared" si="32"/>
        <v>94.9</v>
      </c>
      <c r="AC53">
        <f t="shared" si="63"/>
        <v>94.9</v>
      </c>
      <c r="AD53">
        <f t="shared" si="64"/>
        <v>0</v>
      </c>
      <c r="AE53">
        <f t="shared" si="65"/>
        <v>0</v>
      </c>
      <c r="AF53">
        <f t="shared" si="66"/>
        <v>0</v>
      </c>
      <c r="AG53">
        <f t="shared" si="36"/>
        <v>0</v>
      </c>
      <c r="AH53">
        <f t="shared" si="67"/>
        <v>0</v>
      </c>
      <c r="AI53">
        <f t="shared" si="68"/>
        <v>0</v>
      </c>
      <c r="AJ53">
        <f t="shared" si="38"/>
        <v>0</v>
      </c>
      <c r="AK53">
        <v>94.9</v>
      </c>
      <c r="AL53">
        <v>94.9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9.74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1</v>
      </c>
      <c r="BJ53" t="s">
        <v>3</v>
      </c>
      <c r="BM53">
        <v>1617</v>
      </c>
      <c r="BN53">
        <v>0</v>
      </c>
      <c r="BO53" t="s">
        <v>3</v>
      </c>
      <c r="BP53">
        <v>0</v>
      </c>
      <c r="BQ53">
        <v>200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0</v>
      </c>
      <c r="CA53">
        <v>0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689</v>
      </c>
      <c r="CO53">
        <v>0</v>
      </c>
      <c r="CP53">
        <f t="shared" si="39"/>
        <v>11091.91</v>
      </c>
      <c r="CQ53">
        <f t="shared" si="40"/>
        <v>924.33</v>
      </c>
      <c r="CR53">
        <f t="shared" si="69"/>
        <v>0</v>
      </c>
      <c r="CS53">
        <f t="shared" si="42"/>
        <v>0</v>
      </c>
      <c r="CT53">
        <f t="shared" si="43"/>
        <v>0</v>
      </c>
      <c r="CU53">
        <f t="shared" si="44"/>
        <v>0</v>
      </c>
      <c r="CV53">
        <f t="shared" si="45"/>
        <v>0</v>
      </c>
      <c r="CW53">
        <f t="shared" si="46"/>
        <v>0</v>
      </c>
      <c r="CX53">
        <f t="shared" si="47"/>
        <v>0</v>
      </c>
      <c r="CY53">
        <f>S53*(BZ53/100)</f>
        <v>0</v>
      </c>
      <c r="CZ53">
        <f>S53*(CA53/100)</f>
        <v>0</v>
      </c>
      <c r="DC53" t="s">
        <v>3</v>
      </c>
      <c r="DD53" t="s">
        <v>3</v>
      </c>
      <c r="DE53" t="s">
        <v>22</v>
      </c>
      <c r="DF53" t="s">
        <v>22</v>
      </c>
      <c r="DG53" t="s">
        <v>22</v>
      </c>
      <c r="DH53" t="s">
        <v>3</v>
      </c>
      <c r="DI53" t="s">
        <v>22</v>
      </c>
      <c r="DJ53" t="s">
        <v>22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1003</v>
      </c>
      <c r="DV53" t="s">
        <v>56</v>
      </c>
      <c r="DW53" t="s">
        <v>56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51697656</v>
      </c>
      <c r="EF53">
        <v>200</v>
      </c>
      <c r="EG53" t="s">
        <v>58</v>
      </c>
      <c r="EH53">
        <v>0</v>
      </c>
      <c r="EI53" t="s">
        <v>3</v>
      </c>
      <c r="EJ53">
        <v>1</v>
      </c>
      <c r="EK53">
        <v>1617</v>
      </c>
      <c r="EL53" t="s">
        <v>59</v>
      </c>
      <c r="EM53" t="s">
        <v>60</v>
      </c>
      <c r="EO53" t="s">
        <v>26</v>
      </c>
      <c r="EQ53">
        <v>131072</v>
      </c>
      <c r="ER53">
        <v>94.9</v>
      </c>
      <c r="ES53">
        <v>94.9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5</v>
      </c>
      <c r="FC53">
        <v>0</v>
      </c>
      <c r="FD53">
        <v>18</v>
      </c>
      <c r="FF53">
        <v>906.23</v>
      </c>
      <c r="FQ53">
        <v>0</v>
      </c>
      <c r="FR53">
        <v>0</v>
      </c>
      <c r="FS53">
        <v>0</v>
      </c>
      <c r="FX53">
        <v>0</v>
      </c>
      <c r="FY53">
        <v>0</v>
      </c>
      <c r="GA53" t="s">
        <v>83</v>
      </c>
      <c r="GD53">
        <v>0</v>
      </c>
      <c r="GF53">
        <v>1146027774</v>
      </c>
      <c r="GG53">
        <v>2</v>
      </c>
      <c r="GH53">
        <v>3</v>
      </c>
      <c r="GI53">
        <v>3</v>
      </c>
      <c r="GJ53">
        <v>0</v>
      </c>
      <c r="GK53">
        <f>ROUND(R53*(S12)/100,2)</f>
        <v>0</v>
      </c>
      <c r="GL53">
        <f t="shared" si="48"/>
        <v>0</v>
      </c>
      <c r="GM53">
        <f t="shared" si="49"/>
        <v>11091.91</v>
      </c>
      <c r="GN53">
        <f t="shared" si="50"/>
        <v>11091.91</v>
      </c>
      <c r="GO53">
        <f t="shared" si="51"/>
        <v>0</v>
      </c>
      <c r="GP53">
        <f t="shared" si="52"/>
        <v>0</v>
      </c>
      <c r="GR53">
        <v>1</v>
      </c>
      <c r="GS53">
        <v>1</v>
      </c>
      <c r="GT53">
        <v>0</v>
      </c>
      <c r="GU53" t="s">
        <v>3</v>
      </c>
      <c r="GV53">
        <f t="shared" si="53"/>
        <v>0</v>
      </c>
      <c r="GW53">
        <v>1</v>
      </c>
      <c r="GX53">
        <f t="shared" si="54"/>
        <v>0</v>
      </c>
      <c r="HA53">
        <v>0</v>
      </c>
      <c r="HB53">
        <v>0</v>
      </c>
      <c r="HC53">
        <f t="shared" si="55"/>
        <v>0</v>
      </c>
      <c r="HE53" t="s">
        <v>27</v>
      </c>
      <c r="HF53" t="s">
        <v>84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17</v>
      </c>
      <c r="B54" s="2">
        <v>1</v>
      </c>
      <c r="C54" s="2"/>
      <c r="D54" s="2"/>
      <c r="E54" s="2" t="s">
        <v>85</v>
      </c>
      <c r="F54" s="2" t="s">
        <v>86</v>
      </c>
      <c r="G54" s="2" t="s">
        <v>87</v>
      </c>
      <c r="H54" s="2" t="s">
        <v>88</v>
      </c>
      <c r="I54" s="2">
        <v>0.77</v>
      </c>
      <c r="J54" s="2">
        <v>0</v>
      </c>
      <c r="K54" s="2">
        <v>0.77</v>
      </c>
      <c r="L54" s="2"/>
      <c r="M54" s="2"/>
      <c r="N54" s="2"/>
      <c r="O54" s="2">
        <f t="shared" si="21"/>
        <v>80.84</v>
      </c>
      <c r="P54" s="2">
        <f t="shared" si="22"/>
        <v>80.84</v>
      </c>
      <c r="Q54" s="2">
        <f t="shared" si="62"/>
        <v>0</v>
      </c>
      <c r="R54" s="2">
        <f t="shared" si="24"/>
        <v>0</v>
      </c>
      <c r="S54" s="2">
        <f t="shared" si="25"/>
        <v>0</v>
      </c>
      <c r="T54" s="2">
        <f t="shared" si="26"/>
        <v>0</v>
      </c>
      <c r="U54" s="2">
        <f t="shared" si="27"/>
        <v>0</v>
      </c>
      <c r="V54" s="2">
        <f t="shared" si="28"/>
        <v>0</v>
      </c>
      <c r="W54" s="2">
        <f t="shared" si="29"/>
        <v>0</v>
      </c>
      <c r="X54" s="2">
        <f t="shared" si="30"/>
        <v>0</v>
      </c>
      <c r="Y54" s="2">
        <f t="shared" si="31"/>
        <v>0</v>
      </c>
      <c r="Z54" s="2"/>
      <c r="AA54" s="2">
        <v>56622523</v>
      </c>
      <c r="AB54" s="2">
        <f t="shared" si="32"/>
        <v>104.99</v>
      </c>
      <c r="AC54" s="2">
        <f t="shared" si="63"/>
        <v>104.99</v>
      </c>
      <c r="AD54" s="2">
        <f t="shared" si="64"/>
        <v>0</v>
      </c>
      <c r="AE54" s="2">
        <f t="shared" si="65"/>
        <v>0</v>
      </c>
      <c r="AF54" s="2">
        <f t="shared" si="66"/>
        <v>0</v>
      </c>
      <c r="AG54" s="2">
        <f t="shared" si="36"/>
        <v>0</v>
      </c>
      <c r="AH54" s="2">
        <f t="shared" si="67"/>
        <v>0</v>
      </c>
      <c r="AI54" s="2">
        <f t="shared" si="68"/>
        <v>0</v>
      </c>
      <c r="AJ54" s="2">
        <f t="shared" si="38"/>
        <v>0</v>
      </c>
      <c r="AK54" s="2">
        <v>104.99</v>
      </c>
      <c r="AL54" s="2">
        <v>104.99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1</v>
      </c>
      <c r="BJ54" s="2" t="s">
        <v>89</v>
      </c>
      <c r="BK54" s="2"/>
      <c r="BL54" s="2"/>
      <c r="BM54" s="2">
        <v>1617</v>
      </c>
      <c r="BN54" s="2">
        <v>0</v>
      </c>
      <c r="BO54" s="2" t="s">
        <v>3</v>
      </c>
      <c r="BP54" s="2">
        <v>0</v>
      </c>
      <c r="BQ54" s="2">
        <v>200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0</v>
      </c>
      <c r="CA54" s="2">
        <v>0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689</v>
      </c>
      <c r="CO54" s="2">
        <v>0</v>
      </c>
      <c r="CP54" s="2">
        <f t="shared" si="39"/>
        <v>80.84</v>
      </c>
      <c r="CQ54" s="2">
        <f t="shared" si="40"/>
        <v>104.99</v>
      </c>
      <c r="CR54" s="2">
        <f t="shared" si="69"/>
        <v>0</v>
      </c>
      <c r="CS54" s="2">
        <f t="shared" si="42"/>
        <v>0</v>
      </c>
      <c r="CT54" s="2">
        <f t="shared" si="43"/>
        <v>0</v>
      </c>
      <c r="CU54" s="2">
        <f t="shared" si="44"/>
        <v>0</v>
      </c>
      <c r="CV54" s="2">
        <f t="shared" si="45"/>
        <v>0</v>
      </c>
      <c r="CW54" s="2">
        <f t="shared" si="46"/>
        <v>0</v>
      </c>
      <c r="CX54" s="2">
        <f t="shared" si="47"/>
        <v>0</v>
      </c>
      <c r="CY54" s="2">
        <f>((S54*BZ54)/100)</f>
        <v>0</v>
      </c>
      <c r="CZ54" s="2">
        <f>((S54*CA54)/100)</f>
        <v>0</v>
      </c>
      <c r="DA54" s="2"/>
      <c r="DB54" s="2"/>
      <c r="DC54" s="2" t="s">
        <v>3</v>
      </c>
      <c r="DD54" s="2" t="s">
        <v>3</v>
      </c>
      <c r="DE54" s="2" t="s">
        <v>22</v>
      </c>
      <c r="DF54" s="2" t="s">
        <v>22</v>
      </c>
      <c r="DG54" s="2" t="s">
        <v>22</v>
      </c>
      <c r="DH54" s="2" t="s">
        <v>3</v>
      </c>
      <c r="DI54" s="2" t="s">
        <v>22</v>
      </c>
      <c r="DJ54" s="2" t="s">
        <v>22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1007</v>
      </c>
      <c r="DV54" s="2" t="s">
        <v>88</v>
      </c>
      <c r="DW54" s="2" t="s">
        <v>88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51697656</v>
      </c>
      <c r="EF54" s="2">
        <v>200</v>
      </c>
      <c r="EG54" s="2" t="s">
        <v>58</v>
      </c>
      <c r="EH54" s="2">
        <v>0</v>
      </c>
      <c r="EI54" s="2" t="s">
        <v>3</v>
      </c>
      <c r="EJ54" s="2">
        <v>1</v>
      </c>
      <c r="EK54" s="2">
        <v>1617</v>
      </c>
      <c r="EL54" s="2" t="s">
        <v>59</v>
      </c>
      <c r="EM54" s="2" t="s">
        <v>60</v>
      </c>
      <c r="EN54" s="2"/>
      <c r="EO54" s="2" t="s">
        <v>26</v>
      </c>
      <c r="EP54" s="2"/>
      <c r="EQ54" s="2">
        <v>131072</v>
      </c>
      <c r="ER54" s="2">
        <v>104.99</v>
      </c>
      <c r="ES54" s="2">
        <v>104.99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0</v>
      </c>
      <c r="FY54" s="2">
        <v>0</v>
      </c>
      <c r="FZ54" s="2"/>
      <c r="GA54" s="2" t="s">
        <v>3</v>
      </c>
      <c r="GB54" s="2"/>
      <c r="GC54" s="2"/>
      <c r="GD54" s="2">
        <v>0</v>
      </c>
      <c r="GE54" s="2"/>
      <c r="GF54" s="2">
        <v>-449487181</v>
      </c>
      <c r="GG54" s="2">
        <v>2</v>
      </c>
      <c r="GH54" s="2">
        <v>1</v>
      </c>
      <c r="GI54" s="2">
        <v>-2</v>
      </c>
      <c r="GJ54" s="2">
        <v>0</v>
      </c>
      <c r="GK54" s="2">
        <f>ROUND(R54*(R12)/100,2)</f>
        <v>0</v>
      </c>
      <c r="GL54" s="2">
        <f t="shared" si="48"/>
        <v>0</v>
      </c>
      <c r="GM54" s="2">
        <f t="shared" si="49"/>
        <v>80.84</v>
      </c>
      <c r="GN54" s="2">
        <f t="shared" si="50"/>
        <v>80.84</v>
      </c>
      <c r="GO54" s="2">
        <f t="shared" si="51"/>
        <v>0</v>
      </c>
      <c r="GP54" s="2">
        <f t="shared" si="52"/>
        <v>0</v>
      </c>
      <c r="GQ54" s="2"/>
      <c r="GR54" s="2">
        <v>0</v>
      </c>
      <c r="GS54" s="2">
        <v>0</v>
      </c>
      <c r="GT54" s="2">
        <v>0</v>
      </c>
      <c r="GU54" s="2" t="s">
        <v>3</v>
      </c>
      <c r="GV54" s="2">
        <f t="shared" si="53"/>
        <v>0</v>
      </c>
      <c r="GW54" s="2">
        <v>1</v>
      </c>
      <c r="GX54" s="2">
        <f t="shared" si="54"/>
        <v>0</v>
      </c>
      <c r="GY54" s="2"/>
      <c r="GZ54" s="2"/>
      <c r="HA54" s="2">
        <v>0</v>
      </c>
      <c r="HB54" s="2">
        <v>0</v>
      </c>
      <c r="HC54" s="2">
        <f t="shared" si="55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17</v>
      </c>
      <c r="B55">
        <v>1</v>
      </c>
      <c r="E55" t="s">
        <v>85</v>
      </c>
      <c r="F55" t="s">
        <v>86</v>
      </c>
      <c r="G55" t="s">
        <v>87</v>
      </c>
      <c r="H55" t="s">
        <v>88</v>
      </c>
      <c r="I55">
        <v>0.77</v>
      </c>
      <c r="J55">
        <v>0</v>
      </c>
      <c r="K55">
        <v>0.77</v>
      </c>
      <c r="O55">
        <f t="shared" si="21"/>
        <v>621.66</v>
      </c>
      <c r="P55">
        <f t="shared" si="22"/>
        <v>621.66</v>
      </c>
      <c r="Q55">
        <f t="shared" si="62"/>
        <v>0</v>
      </c>
      <c r="R55">
        <f t="shared" si="24"/>
        <v>0</v>
      </c>
      <c r="S55">
        <f t="shared" si="25"/>
        <v>0</v>
      </c>
      <c r="T55">
        <f t="shared" si="26"/>
        <v>0</v>
      </c>
      <c r="U55">
        <f t="shared" si="27"/>
        <v>0</v>
      </c>
      <c r="V55">
        <f t="shared" si="28"/>
        <v>0</v>
      </c>
      <c r="W55">
        <f t="shared" si="29"/>
        <v>0</v>
      </c>
      <c r="X55">
        <f t="shared" si="30"/>
        <v>0</v>
      </c>
      <c r="Y55">
        <f t="shared" si="31"/>
        <v>0</v>
      </c>
      <c r="AA55">
        <v>56611490</v>
      </c>
      <c r="AB55">
        <f t="shared" si="32"/>
        <v>104.99</v>
      </c>
      <c r="AC55">
        <f t="shared" si="63"/>
        <v>104.99</v>
      </c>
      <c r="AD55">
        <f t="shared" si="64"/>
        <v>0</v>
      </c>
      <c r="AE55">
        <f t="shared" si="65"/>
        <v>0</v>
      </c>
      <c r="AF55">
        <f t="shared" si="66"/>
        <v>0</v>
      </c>
      <c r="AG55">
        <f t="shared" si="36"/>
        <v>0</v>
      </c>
      <c r="AH55">
        <f t="shared" si="67"/>
        <v>0</v>
      </c>
      <c r="AI55">
        <f t="shared" si="68"/>
        <v>0</v>
      </c>
      <c r="AJ55">
        <f t="shared" si="38"/>
        <v>0</v>
      </c>
      <c r="AK55">
        <v>104.99</v>
      </c>
      <c r="AL55">
        <v>104.99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Z55">
        <v>1</v>
      </c>
      <c r="BA55">
        <v>1</v>
      </c>
      <c r="BB55">
        <v>1</v>
      </c>
      <c r="BC55">
        <v>7.69</v>
      </c>
      <c r="BD55" t="s">
        <v>3</v>
      </c>
      <c r="BE55" t="s">
        <v>3</v>
      </c>
      <c r="BF55" t="s">
        <v>3</v>
      </c>
      <c r="BG55" t="s">
        <v>3</v>
      </c>
      <c r="BH55">
        <v>3</v>
      </c>
      <c r="BI55">
        <v>1</v>
      </c>
      <c r="BJ55" t="s">
        <v>89</v>
      </c>
      <c r="BM55">
        <v>1617</v>
      </c>
      <c r="BN55">
        <v>0</v>
      </c>
      <c r="BO55" t="s">
        <v>86</v>
      </c>
      <c r="BP55">
        <v>1</v>
      </c>
      <c r="BQ55">
        <v>200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0</v>
      </c>
      <c r="CA55">
        <v>0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689</v>
      </c>
      <c r="CO55">
        <v>0</v>
      </c>
      <c r="CP55">
        <f t="shared" si="39"/>
        <v>621.66</v>
      </c>
      <c r="CQ55">
        <f t="shared" si="40"/>
        <v>807.37</v>
      </c>
      <c r="CR55">
        <f t="shared" si="69"/>
        <v>0</v>
      </c>
      <c r="CS55">
        <f t="shared" si="42"/>
        <v>0</v>
      </c>
      <c r="CT55">
        <f t="shared" si="43"/>
        <v>0</v>
      </c>
      <c r="CU55">
        <f t="shared" si="44"/>
        <v>0</v>
      </c>
      <c r="CV55">
        <f t="shared" si="45"/>
        <v>0</v>
      </c>
      <c r="CW55">
        <f t="shared" si="46"/>
        <v>0</v>
      </c>
      <c r="CX55">
        <f t="shared" si="47"/>
        <v>0</v>
      </c>
      <c r="CY55">
        <f>S55*(BZ55/100)</f>
        <v>0</v>
      </c>
      <c r="CZ55">
        <f>S55*(CA55/100)</f>
        <v>0</v>
      </c>
      <c r="DC55" t="s">
        <v>3</v>
      </c>
      <c r="DD55" t="s">
        <v>3</v>
      </c>
      <c r="DE55" t="s">
        <v>22</v>
      </c>
      <c r="DF55" t="s">
        <v>22</v>
      </c>
      <c r="DG55" t="s">
        <v>22</v>
      </c>
      <c r="DH55" t="s">
        <v>3</v>
      </c>
      <c r="DI55" t="s">
        <v>22</v>
      </c>
      <c r="DJ55" t="s">
        <v>22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1007</v>
      </c>
      <c r="DV55" t="s">
        <v>88</v>
      </c>
      <c r="DW55" t="s">
        <v>88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51697656</v>
      </c>
      <c r="EF55">
        <v>200</v>
      </c>
      <c r="EG55" t="s">
        <v>58</v>
      </c>
      <c r="EH55">
        <v>0</v>
      </c>
      <c r="EI55" t="s">
        <v>3</v>
      </c>
      <c r="EJ55">
        <v>1</v>
      </c>
      <c r="EK55">
        <v>1617</v>
      </c>
      <c r="EL55" t="s">
        <v>59</v>
      </c>
      <c r="EM55" t="s">
        <v>60</v>
      </c>
      <c r="EO55" t="s">
        <v>26</v>
      </c>
      <c r="EQ55">
        <v>131072</v>
      </c>
      <c r="ER55">
        <v>104.99</v>
      </c>
      <c r="ES55">
        <v>104.99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0</v>
      </c>
      <c r="FY55">
        <v>0</v>
      </c>
      <c r="GA55" t="s">
        <v>3</v>
      </c>
      <c r="GD55">
        <v>0</v>
      </c>
      <c r="GF55">
        <v>-449487181</v>
      </c>
      <c r="GG55">
        <v>2</v>
      </c>
      <c r="GH55">
        <v>1</v>
      </c>
      <c r="GI55">
        <v>2</v>
      </c>
      <c r="GJ55">
        <v>0</v>
      </c>
      <c r="GK55">
        <f>ROUND(R55*(S12)/100,2)</f>
        <v>0</v>
      </c>
      <c r="GL55">
        <f t="shared" si="48"/>
        <v>0</v>
      </c>
      <c r="GM55">
        <f t="shared" si="49"/>
        <v>621.66</v>
      </c>
      <c r="GN55">
        <f t="shared" si="50"/>
        <v>621.66</v>
      </c>
      <c r="GO55">
        <f t="shared" si="51"/>
        <v>0</v>
      </c>
      <c r="GP55">
        <f t="shared" si="52"/>
        <v>0</v>
      </c>
      <c r="GR55">
        <v>0</v>
      </c>
      <c r="GS55">
        <v>3</v>
      </c>
      <c r="GT55">
        <v>0</v>
      </c>
      <c r="GU55" t="s">
        <v>3</v>
      </c>
      <c r="GV55">
        <f t="shared" si="53"/>
        <v>0</v>
      </c>
      <c r="GW55">
        <v>1</v>
      </c>
      <c r="GX55">
        <f t="shared" si="54"/>
        <v>0</v>
      </c>
      <c r="HA55">
        <v>0</v>
      </c>
      <c r="HB55">
        <v>0</v>
      </c>
      <c r="HC55">
        <f t="shared" si="55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17</v>
      </c>
      <c r="B56" s="2">
        <v>1</v>
      </c>
      <c r="C56" s="2"/>
      <c r="D56" s="2"/>
      <c r="E56" s="2" t="s">
        <v>90</v>
      </c>
      <c r="F56" s="2" t="s">
        <v>91</v>
      </c>
      <c r="G56" s="2" t="s">
        <v>92</v>
      </c>
      <c r="H56" s="2" t="s">
        <v>93</v>
      </c>
      <c r="I56" s="2">
        <v>4</v>
      </c>
      <c r="J56" s="2">
        <v>0</v>
      </c>
      <c r="K56" s="2">
        <v>4</v>
      </c>
      <c r="L56" s="2"/>
      <c r="M56" s="2"/>
      <c r="N56" s="2"/>
      <c r="O56" s="2">
        <f t="shared" si="21"/>
        <v>15.6</v>
      </c>
      <c r="P56" s="2">
        <f t="shared" si="22"/>
        <v>15.6</v>
      </c>
      <c r="Q56" s="2">
        <f t="shared" si="62"/>
        <v>0</v>
      </c>
      <c r="R56" s="2">
        <f t="shared" si="24"/>
        <v>0</v>
      </c>
      <c r="S56" s="2">
        <f t="shared" si="25"/>
        <v>0</v>
      </c>
      <c r="T56" s="2">
        <f t="shared" si="26"/>
        <v>0</v>
      </c>
      <c r="U56" s="2">
        <f t="shared" si="27"/>
        <v>0</v>
      </c>
      <c r="V56" s="2">
        <f t="shared" si="28"/>
        <v>0</v>
      </c>
      <c r="W56" s="2">
        <f t="shared" si="29"/>
        <v>0</v>
      </c>
      <c r="X56" s="2">
        <f t="shared" si="30"/>
        <v>0</v>
      </c>
      <c r="Y56" s="2">
        <f t="shared" si="31"/>
        <v>0</v>
      </c>
      <c r="Z56" s="2"/>
      <c r="AA56" s="2">
        <v>56622523</v>
      </c>
      <c r="AB56" s="2">
        <f t="shared" si="32"/>
        <v>3.9</v>
      </c>
      <c r="AC56" s="2">
        <f t="shared" si="63"/>
        <v>3.9</v>
      </c>
      <c r="AD56" s="2">
        <f t="shared" si="64"/>
        <v>0</v>
      </c>
      <c r="AE56" s="2">
        <f t="shared" si="65"/>
        <v>0</v>
      </c>
      <c r="AF56" s="2">
        <f t="shared" si="66"/>
        <v>0</v>
      </c>
      <c r="AG56" s="2">
        <f t="shared" si="36"/>
        <v>0</v>
      </c>
      <c r="AH56" s="2">
        <f t="shared" si="67"/>
        <v>0</v>
      </c>
      <c r="AI56" s="2">
        <f t="shared" si="68"/>
        <v>0</v>
      </c>
      <c r="AJ56" s="2">
        <f t="shared" si="38"/>
        <v>0</v>
      </c>
      <c r="AK56" s="2">
        <v>3.9</v>
      </c>
      <c r="AL56" s="2">
        <v>3.9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1</v>
      </c>
      <c r="BJ56" s="2" t="s">
        <v>94</v>
      </c>
      <c r="BK56" s="2"/>
      <c r="BL56" s="2"/>
      <c r="BM56" s="2">
        <v>1617</v>
      </c>
      <c r="BN56" s="2">
        <v>0</v>
      </c>
      <c r="BO56" s="2" t="s">
        <v>3</v>
      </c>
      <c r="BP56" s="2">
        <v>0</v>
      </c>
      <c r="BQ56" s="2">
        <v>200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689</v>
      </c>
      <c r="CO56" s="2">
        <v>0</v>
      </c>
      <c r="CP56" s="2">
        <f t="shared" si="39"/>
        <v>15.6</v>
      </c>
      <c r="CQ56" s="2">
        <f t="shared" si="40"/>
        <v>3.9</v>
      </c>
      <c r="CR56" s="2">
        <f t="shared" si="69"/>
        <v>0</v>
      </c>
      <c r="CS56" s="2">
        <f t="shared" si="42"/>
        <v>0</v>
      </c>
      <c r="CT56" s="2">
        <f t="shared" si="43"/>
        <v>0</v>
      </c>
      <c r="CU56" s="2">
        <f t="shared" si="44"/>
        <v>0</v>
      </c>
      <c r="CV56" s="2">
        <f t="shared" si="45"/>
        <v>0</v>
      </c>
      <c r="CW56" s="2">
        <f t="shared" si="46"/>
        <v>0</v>
      </c>
      <c r="CX56" s="2">
        <f t="shared" si="47"/>
        <v>0</v>
      </c>
      <c r="CY56" s="2">
        <f>((S56*BZ56)/100)</f>
        <v>0</v>
      </c>
      <c r="CZ56" s="2">
        <f>((S56*CA56)/100)</f>
        <v>0</v>
      </c>
      <c r="DA56" s="2"/>
      <c r="DB56" s="2"/>
      <c r="DC56" s="2" t="s">
        <v>3</v>
      </c>
      <c r="DD56" s="2" t="s">
        <v>3</v>
      </c>
      <c r="DE56" s="2" t="s">
        <v>22</v>
      </c>
      <c r="DF56" s="2" t="s">
        <v>22</v>
      </c>
      <c r="DG56" s="2" t="s">
        <v>22</v>
      </c>
      <c r="DH56" s="2" t="s">
        <v>3</v>
      </c>
      <c r="DI56" s="2" t="s">
        <v>22</v>
      </c>
      <c r="DJ56" s="2" t="s">
        <v>22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93</v>
      </c>
      <c r="DW56" s="2" t="s">
        <v>93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51697656</v>
      </c>
      <c r="EF56" s="2">
        <v>200</v>
      </c>
      <c r="EG56" s="2" t="s">
        <v>58</v>
      </c>
      <c r="EH56" s="2">
        <v>0</v>
      </c>
      <c r="EI56" s="2" t="s">
        <v>3</v>
      </c>
      <c r="EJ56" s="2">
        <v>1</v>
      </c>
      <c r="EK56" s="2">
        <v>1617</v>
      </c>
      <c r="EL56" s="2" t="s">
        <v>59</v>
      </c>
      <c r="EM56" s="2" t="s">
        <v>60</v>
      </c>
      <c r="EN56" s="2"/>
      <c r="EO56" s="2" t="s">
        <v>26</v>
      </c>
      <c r="EP56" s="2"/>
      <c r="EQ56" s="2">
        <v>131072</v>
      </c>
      <c r="ER56" s="2">
        <v>3.9</v>
      </c>
      <c r="ES56" s="2">
        <v>3.9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3</v>
      </c>
      <c r="GB56" s="2"/>
      <c r="GC56" s="2"/>
      <c r="GD56" s="2">
        <v>0</v>
      </c>
      <c r="GE56" s="2"/>
      <c r="GF56" s="2">
        <v>2014984288</v>
      </c>
      <c r="GG56" s="2">
        <v>2</v>
      </c>
      <c r="GH56" s="2">
        <v>1</v>
      </c>
      <c r="GI56" s="2">
        <v>-2</v>
      </c>
      <c r="GJ56" s="2">
        <v>0</v>
      </c>
      <c r="GK56" s="2">
        <f>ROUND(R56*(R12)/100,2)</f>
        <v>0</v>
      </c>
      <c r="GL56" s="2">
        <f t="shared" si="48"/>
        <v>0</v>
      </c>
      <c r="GM56" s="2">
        <f t="shared" si="49"/>
        <v>15.6</v>
      </c>
      <c r="GN56" s="2">
        <f t="shared" si="50"/>
        <v>15.6</v>
      </c>
      <c r="GO56" s="2">
        <f t="shared" si="51"/>
        <v>0</v>
      </c>
      <c r="GP56" s="2">
        <f t="shared" si="52"/>
        <v>0</v>
      </c>
      <c r="GQ56" s="2"/>
      <c r="GR56" s="2">
        <v>0</v>
      </c>
      <c r="GS56" s="2">
        <v>0</v>
      </c>
      <c r="GT56" s="2">
        <v>0</v>
      </c>
      <c r="GU56" s="2" t="s">
        <v>3</v>
      </c>
      <c r="GV56" s="2">
        <f t="shared" si="53"/>
        <v>0</v>
      </c>
      <c r="GW56" s="2">
        <v>1</v>
      </c>
      <c r="GX56" s="2">
        <f t="shared" si="54"/>
        <v>0</v>
      </c>
      <c r="GY56" s="2"/>
      <c r="GZ56" s="2"/>
      <c r="HA56" s="2">
        <v>0</v>
      </c>
      <c r="HB56" s="2">
        <v>0</v>
      </c>
      <c r="HC56" s="2">
        <f t="shared" si="5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17</v>
      </c>
      <c r="B57">
        <v>1</v>
      </c>
      <c r="E57" t="s">
        <v>90</v>
      </c>
      <c r="F57" t="s">
        <v>91</v>
      </c>
      <c r="G57" t="s">
        <v>92</v>
      </c>
      <c r="H57" t="s">
        <v>93</v>
      </c>
      <c r="I57">
        <v>4</v>
      </c>
      <c r="J57">
        <v>0</v>
      </c>
      <c r="K57">
        <v>4</v>
      </c>
      <c r="O57">
        <f t="shared" si="21"/>
        <v>217.31</v>
      </c>
      <c r="P57">
        <f t="shared" si="22"/>
        <v>217.31</v>
      </c>
      <c r="Q57">
        <f t="shared" si="62"/>
        <v>0</v>
      </c>
      <c r="R57">
        <f t="shared" si="24"/>
        <v>0</v>
      </c>
      <c r="S57">
        <f t="shared" si="25"/>
        <v>0</v>
      </c>
      <c r="T57">
        <f t="shared" si="26"/>
        <v>0</v>
      </c>
      <c r="U57">
        <f t="shared" si="27"/>
        <v>0</v>
      </c>
      <c r="V57">
        <f t="shared" si="28"/>
        <v>0</v>
      </c>
      <c r="W57">
        <f t="shared" si="29"/>
        <v>0</v>
      </c>
      <c r="X57">
        <f t="shared" si="30"/>
        <v>0</v>
      </c>
      <c r="Y57">
        <f t="shared" si="31"/>
        <v>0</v>
      </c>
      <c r="AA57">
        <v>56611490</v>
      </c>
      <c r="AB57">
        <f t="shared" si="32"/>
        <v>3.9</v>
      </c>
      <c r="AC57">
        <f t="shared" si="63"/>
        <v>3.9</v>
      </c>
      <c r="AD57">
        <f t="shared" si="64"/>
        <v>0</v>
      </c>
      <c r="AE57">
        <f t="shared" si="65"/>
        <v>0</v>
      </c>
      <c r="AF57">
        <f t="shared" si="66"/>
        <v>0</v>
      </c>
      <c r="AG57">
        <f t="shared" si="36"/>
        <v>0</v>
      </c>
      <c r="AH57">
        <f t="shared" si="67"/>
        <v>0</v>
      </c>
      <c r="AI57">
        <f t="shared" si="68"/>
        <v>0</v>
      </c>
      <c r="AJ57">
        <f t="shared" si="38"/>
        <v>0</v>
      </c>
      <c r="AK57">
        <v>3.9</v>
      </c>
      <c r="AL57">
        <v>3.9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13.93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1</v>
      </c>
      <c r="BJ57" t="s">
        <v>94</v>
      </c>
      <c r="BM57">
        <v>1617</v>
      </c>
      <c r="BN57">
        <v>0</v>
      </c>
      <c r="BO57" t="s">
        <v>91</v>
      </c>
      <c r="BP57">
        <v>1</v>
      </c>
      <c r="BQ57">
        <v>200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0</v>
      </c>
      <c r="CA57">
        <v>0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689</v>
      </c>
      <c r="CO57">
        <v>0</v>
      </c>
      <c r="CP57">
        <f t="shared" si="39"/>
        <v>217.31</v>
      </c>
      <c r="CQ57">
        <f t="shared" si="40"/>
        <v>54.33</v>
      </c>
      <c r="CR57">
        <f t="shared" si="69"/>
        <v>0</v>
      </c>
      <c r="CS57">
        <f t="shared" si="42"/>
        <v>0</v>
      </c>
      <c r="CT57">
        <f t="shared" si="43"/>
        <v>0</v>
      </c>
      <c r="CU57">
        <f t="shared" si="44"/>
        <v>0</v>
      </c>
      <c r="CV57">
        <f t="shared" si="45"/>
        <v>0</v>
      </c>
      <c r="CW57">
        <f t="shared" si="46"/>
        <v>0</v>
      </c>
      <c r="CX57">
        <f t="shared" si="47"/>
        <v>0</v>
      </c>
      <c r="CY57">
        <f>S57*(BZ57/100)</f>
        <v>0</v>
      </c>
      <c r="CZ57">
        <f>S57*(CA57/100)</f>
        <v>0</v>
      </c>
      <c r="DC57" t="s">
        <v>3</v>
      </c>
      <c r="DD57" t="s">
        <v>3</v>
      </c>
      <c r="DE57" t="s">
        <v>22</v>
      </c>
      <c r="DF57" t="s">
        <v>22</v>
      </c>
      <c r="DG57" t="s">
        <v>22</v>
      </c>
      <c r="DH57" t="s">
        <v>3</v>
      </c>
      <c r="DI57" t="s">
        <v>22</v>
      </c>
      <c r="DJ57" t="s">
        <v>22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1010</v>
      </c>
      <c r="DV57" t="s">
        <v>93</v>
      </c>
      <c r="DW57" t="s">
        <v>93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51697656</v>
      </c>
      <c r="EF57">
        <v>200</v>
      </c>
      <c r="EG57" t="s">
        <v>58</v>
      </c>
      <c r="EH57">
        <v>0</v>
      </c>
      <c r="EI57" t="s">
        <v>3</v>
      </c>
      <c r="EJ57">
        <v>1</v>
      </c>
      <c r="EK57">
        <v>1617</v>
      </c>
      <c r="EL57" t="s">
        <v>59</v>
      </c>
      <c r="EM57" t="s">
        <v>60</v>
      </c>
      <c r="EO57" t="s">
        <v>26</v>
      </c>
      <c r="EQ57">
        <v>131072</v>
      </c>
      <c r="ER57">
        <v>3.9</v>
      </c>
      <c r="ES57">
        <v>3.9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FQ57">
        <v>0</v>
      </c>
      <c r="FR57">
        <v>0</v>
      </c>
      <c r="FS57">
        <v>0</v>
      </c>
      <c r="FX57">
        <v>0</v>
      </c>
      <c r="FY57">
        <v>0</v>
      </c>
      <c r="GA57" t="s">
        <v>3</v>
      </c>
      <c r="GD57">
        <v>0</v>
      </c>
      <c r="GF57">
        <v>2014984288</v>
      </c>
      <c r="GG57">
        <v>2</v>
      </c>
      <c r="GH57">
        <v>1</v>
      </c>
      <c r="GI57">
        <v>2</v>
      </c>
      <c r="GJ57">
        <v>0</v>
      </c>
      <c r="GK57">
        <f>ROUND(R57*(S12)/100,2)</f>
        <v>0</v>
      </c>
      <c r="GL57">
        <f t="shared" si="48"/>
        <v>0</v>
      </c>
      <c r="GM57">
        <f t="shared" si="49"/>
        <v>217.31</v>
      </c>
      <c r="GN57">
        <f t="shared" si="50"/>
        <v>217.31</v>
      </c>
      <c r="GO57">
        <f t="shared" si="51"/>
        <v>0</v>
      </c>
      <c r="GP57">
        <f t="shared" si="52"/>
        <v>0</v>
      </c>
      <c r="GR57">
        <v>0</v>
      </c>
      <c r="GS57">
        <v>3</v>
      </c>
      <c r="GT57">
        <v>0</v>
      </c>
      <c r="GU57" t="s">
        <v>3</v>
      </c>
      <c r="GV57">
        <f t="shared" si="53"/>
        <v>0</v>
      </c>
      <c r="GW57">
        <v>1</v>
      </c>
      <c r="GX57">
        <f t="shared" si="54"/>
        <v>0</v>
      </c>
      <c r="HA57">
        <v>0</v>
      </c>
      <c r="HB57">
        <v>0</v>
      </c>
      <c r="HC57">
        <f t="shared" si="55"/>
        <v>0</v>
      </c>
      <c r="HE57" t="s">
        <v>3</v>
      </c>
      <c r="HF57" t="s">
        <v>3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">
      <c r="A58" s="2">
        <v>17</v>
      </c>
      <c r="B58" s="2">
        <v>1</v>
      </c>
      <c r="C58" s="2"/>
      <c r="D58" s="2">
        <f>ROW(EtalonRes!A81)</f>
        <v>81</v>
      </c>
      <c r="E58" s="2" t="s">
        <v>95</v>
      </c>
      <c r="F58" s="2" t="s">
        <v>96</v>
      </c>
      <c r="G58" s="2" t="s">
        <v>97</v>
      </c>
      <c r="H58" s="2" t="s">
        <v>98</v>
      </c>
      <c r="I58" s="2">
        <v>0</v>
      </c>
      <c r="J58" s="2">
        <v>0</v>
      </c>
      <c r="K58" s="2">
        <v>0</v>
      </c>
      <c r="L58" s="2"/>
      <c r="M58" s="2"/>
      <c r="N58" s="2"/>
      <c r="O58" s="2">
        <f t="shared" si="21"/>
        <v>0</v>
      </c>
      <c r="P58" s="2">
        <f t="shared" si="22"/>
        <v>0</v>
      </c>
      <c r="Q58" s="2">
        <f t="shared" si="62"/>
        <v>0</v>
      </c>
      <c r="R58" s="2">
        <f t="shared" si="24"/>
        <v>0</v>
      </c>
      <c r="S58" s="2">
        <f t="shared" si="25"/>
        <v>0</v>
      </c>
      <c r="T58" s="2">
        <f t="shared" si="26"/>
        <v>0</v>
      </c>
      <c r="U58" s="2">
        <f t="shared" si="27"/>
        <v>0</v>
      </c>
      <c r="V58" s="2">
        <f t="shared" si="28"/>
        <v>0</v>
      </c>
      <c r="W58" s="2">
        <f t="shared" si="29"/>
        <v>0</v>
      </c>
      <c r="X58" s="2">
        <f t="shared" si="30"/>
        <v>0</v>
      </c>
      <c r="Y58" s="2">
        <f t="shared" si="31"/>
        <v>0</v>
      </c>
      <c r="Z58" s="2"/>
      <c r="AA58" s="2">
        <v>56622523</v>
      </c>
      <c r="AB58" s="2">
        <f t="shared" si="32"/>
        <v>3080.0039999999999</v>
      </c>
      <c r="AC58" s="2">
        <f t="shared" si="63"/>
        <v>516.41</v>
      </c>
      <c r="AD58" s="2">
        <f t="shared" si="64"/>
        <v>439.59300000000002</v>
      </c>
      <c r="AE58" s="2">
        <f t="shared" si="65"/>
        <v>0.64900000000000002</v>
      </c>
      <c r="AF58" s="2">
        <f t="shared" si="66"/>
        <v>2124.0010000000002</v>
      </c>
      <c r="AG58" s="2">
        <f t="shared" si="36"/>
        <v>0</v>
      </c>
      <c r="AH58" s="2">
        <f t="shared" si="67"/>
        <v>148.5</v>
      </c>
      <c r="AI58" s="2">
        <f t="shared" si="68"/>
        <v>0</v>
      </c>
      <c r="AJ58" s="2">
        <f t="shared" si="38"/>
        <v>0</v>
      </c>
      <c r="AK58" s="2">
        <v>2846.95</v>
      </c>
      <c r="AL58" s="2">
        <v>516.41</v>
      </c>
      <c r="AM58" s="2">
        <v>399.63</v>
      </c>
      <c r="AN58" s="2">
        <v>0.59</v>
      </c>
      <c r="AO58" s="2">
        <v>1930.91</v>
      </c>
      <c r="AP58" s="2">
        <v>0</v>
      </c>
      <c r="AQ58" s="2">
        <v>135</v>
      </c>
      <c r="AR58" s="2">
        <v>0</v>
      </c>
      <c r="AS58" s="2">
        <v>0</v>
      </c>
      <c r="AT58" s="2">
        <v>105</v>
      </c>
      <c r="AU58" s="2">
        <v>77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1</v>
      </c>
      <c r="BJ58" s="2" t="s">
        <v>99</v>
      </c>
      <c r="BK58" s="2"/>
      <c r="BL58" s="2"/>
      <c r="BM58" s="2">
        <v>99</v>
      </c>
      <c r="BN58" s="2">
        <v>0</v>
      </c>
      <c r="BO58" s="2" t="s">
        <v>3</v>
      </c>
      <c r="BP58" s="2">
        <v>0</v>
      </c>
      <c r="BQ58" s="2">
        <v>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105</v>
      </c>
      <c r="CA58" s="2">
        <v>77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689</v>
      </c>
      <c r="CO58" s="2">
        <v>0</v>
      </c>
      <c r="CP58" s="2">
        <f t="shared" si="39"/>
        <v>0</v>
      </c>
      <c r="CQ58" s="2">
        <f t="shared" si="40"/>
        <v>516.41</v>
      </c>
      <c r="CR58" s="2">
        <f t="shared" si="69"/>
        <v>460.25</v>
      </c>
      <c r="CS58" s="2">
        <f t="shared" si="42"/>
        <v>0.68</v>
      </c>
      <c r="CT58" s="2">
        <f t="shared" si="43"/>
        <v>2223.83</v>
      </c>
      <c r="CU58" s="2">
        <f t="shared" si="44"/>
        <v>0</v>
      </c>
      <c r="CV58" s="2">
        <f t="shared" si="45"/>
        <v>155.4795</v>
      </c>
      <c r="CW58" s="2">
        <f t="shared" si="46"/>
        <v>0</v>
      </c>
      <c r="CX58" s="2">
        <f t="shared" si="47"/>
        <v>0</v>
      </c>
      <c r="CY58" s="2">
        <f>((S58*BZ58)/100)</f>
        <v>0</v>
      </c>
      <c r="CZ58" s="2">
        <f>((S58*CA58)/100)</f>
        <v>0</v>
      </c>
      <c r="DA58" s="2"/>
      <c r="DB58" s="2"/>
      <c r="DC58" s="2" t="s">
        <v>3</v>
      </c>
      <c r="DD58" s="2" t="s">
        <v>3</v>
      </c>
      <c r="DE58" s="2" t="s">
        <v>22</v>
      </c>
      <c r="DF58" s="2" t="s">
        <v>22</v>
      </c>
      <c r="DG58" s="2" t="s">
        <v>22</v>
      </c>
      <c r="DH58" s="2" t="s">
        <v>3</v>
      </c>
      <c r="DI58" s="2" t="s">
        <v>22</v>
      </c>
      <c r="DJ58" s="2" t="s">
        <v>22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98</v>
      </c>
      <c r="DW58" s="2" t="s">
        <v>98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51696138</v>
      </c>
      <c r="EF58" s="2">
        <v>30</v>
      </c>
      <c r="EG58" s="2" t="s">
        <v>23</v>
      </c>
      <c r="EH58" s="2">
        <v>0</v>
      </c>
      <c r="EI58" s="2" t="s">
        <v>3</v>
      </c>
      <c r="EJ58" s="2">
        <v>1</v>
      </c>
      <c r="EK58" s="2">
        <v>99</v>
      </c>
      <c r="EL58" s="2" t="s">
        <v>100</v>
      </c>
      <c r="EM58" s="2" t="s">
        <v>101</v>
      </c>
      <c r="EN58" s="2"/>
      <c r="EO58" s="2" t="s">
        <v>26</v>
      </c>
      <c r="EP58" s="2"/>
      <c r="EQ58" s="2">
        <v>131072</v>
      </c>
      <c r="ER58" s="2">
        <v>2846.95</v>
      </c>
      <c r="ES58" s="2">
        <v>516.41</v>
      </c>
      <c r="ET58" s="2">
        <v>399.63</v>
      </c>
      <c r="EU58" s="2">
        <v>0.59</v>
      </c>
      <c r="EV58" s="2">
        <v>1930.91</v>
      </c>
      <c r="EW58" s="2">
        <v>135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105</v>
      </c>
      <c r="FY58" s="2">
        <v>77</v>
      </c>
      <c r="FZ58" s="2"/>
      <c r="GA58" s="2" t="s">
        <v>3</v>
      </c>
      <c r="GB58" s="2"/>
      <c r="GC58" s="2"/>
      <c r="GD58" s="2">
        <v>0</v>
      </c>
      <c r="GE58" s="2"/>
      <c r="GF58" s="2">
        <v>448414653</v>
      </c>
      <c r="GG58" s="2">
        <v>2</v>
      </c>
      <c r="GH58" s="2">
        <v>1</v>
      </c>
      <c r="GI58" s="2">
        <v>-2</v>
      </c>
      <c r="GJ58" s="2">
        <v>0</v>
      </c>
      <c r="GK58" s="2">
        <f>ROUND(R58*(R12)/100,2)</f>
        <v>0</v>
      </c>
      <c r="GL58" s="2">
        <f t="shared" si="48"/>
        <v>0</v>
      </c>
      <c r="GM58" s="2">
        <f t="shared" si="49"/>
        <v>0</v>
      </c>
      <c r="GN58" s="2">
        <f t="shared" si="50"/>
        <v>0</v>
      </c>
      <c r="GO58" s="2">
        <f t="shared" si="51"/>
        <v>0</v>
      </c>
      <c r="GP58" s="2">
        <f t="shared" si="52"/>
        <v>0</v>
      </c>
      <c r="GQ58" s="2"/>
      <c r="GR58" s="2">
        <v>0</v>
      </c>
      <c r="GS58" s="2">
        <v>0</v>
      </c>
      <c r="GT58" s="2">
        <v>0</v>
      </c>
      <c r="GU58" s="2" t="s">
        <v>3</v>
      </c>
      <c r="GV58" s="2">
        <f t="shared" si="53"/>
        <v>0</v>
      </c>
      <c r="GW58" s="2">
        <v>1</v>
      </c>
      <c r="GX58" s="2">
        <f t="shared" si="54"/>
        <v>0</v>
      </c>
      <c r="GY58" s="2"/>
      <c r="GZ58" s="2"/>
      <c r="HA58" s="2">
        <v>0</v>
      </c>
      <c r="HB58" s="2">
        <v>0</v>
      </c>
      <c r="HC58" s="2">
        <f t="shared" si="55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>
        <v>17</v>
      </c>
      <c r="B59">
        <v>1</v>
      </c>
      <c r="D59">
        <f>ROW(EtalonRes!A92)</f>
        <v>92</v>
      </c>
      <c r="E59" t="s">
        <v>95</v>
      </c>
      <c r="F59" t="s">
        <v>96</v>
      </c>
      <c r="G59" t="s">
        <v>97</v>
      </c>
      <c r="H59" t="s">
        <v>98</v>
      </c>
      <c r="I59">
        <v>0</v>
      </c>
      <c r="J59">
        <v>0</v>
      </c>
      <c r="K59">
        <v>0</v>
      </c>
      <c r="O59">
        <f t="shared" si="21"/>
        <v>0</v>
      </c>
      <c r="P59">
        <f t="shared" si="22"/>
        <v>0</v>
      </c>
      <c r="Q59">
        <f t="shared" si="62"/>
        <v>0</v>
      </c>
      <c r="R59">
        <f t="shared" si="24"/>
        <v>0</v>
      </c>
      <c r="S59">
        <f t="shared" si="25"/>
        <v>0</v>
      </c>
      <c r="T59">
        <f t="shared" si="26"/>
        <v>0</v>
      </c>
      <c r="U59">
        <f t="shared" si="27"/>
        <v>0</v>
      </c>
      <c r="V59">
        <f t="shared" si="28"/>
        <v>0</v>
      </c>
      <c r="W59">
        <f t="shared" si="29"/>
        <v>0</v>
      </c>
      <c r="X59">
        <f t="shared" si="30"/>
        <v>0</v>
      </c>
      <c r="Y59">
        <f t="shared" si="31"/>
        <v>0</v>
      </c>
      <c r="AA59">
        <v>56611490</v>
      </c>
      <c r="AB59">
        <f t="shared" si="32"/>
        <v>3080.0039999999999</v>
      </c>
      <c r="AC59">
        <f t="shared" si="63"/>
        <v>516.41</v>
      </c>
      <c r="AD59">
        <f t="shared" si="64"/>
        <v>439.59300000000002</v>
      </c>
      <c r="AE59">
        <f t="shared" si="65"/>
        <v>0.64900000000000002</v>
      </c>
      <c r="AF59">
        <f t="shared" si="66"/>
        <v>2124.0010000000002</v>
      </c>
      <c r="AG59">
        <f t="shared" si="36"/>
        <v>0</v>
      </c>
      <c r="AH59">
        <f t="shared" si="67"/>
        <v>148.5</v>
      </c>
      <c r="AI59">
        <f t="shared" si="68"/>
        <v>0</v>
      </c>
      <c r="AJ59">
        <f t="shared" si="38"/>
        <v>0</v>
      </c>
      <c r="AK59">
        <v>2846.95</v>
      </c>
      <c r="AL59">
        <v>516.41</v>
      </c>
      <c r="AM59">
        <v>399.63</v>
      </c>
      <c r="AN59">
        <v>0.59</v>
      </c>
      <c r="AO59">
        <v>1930.91</v>
      </c>
      <c r="AP59">
        <v>0</v>
      </c>
      <c r="AQ59">
        <v>135</v>
      </c>
      <c r="AR59">
        <v>0</v>
      </c>
      <c r="AS59">
        <v>0</v>
      </c>
      <c r="AT59">
        <v>87</v>
      </c>
      <c r="AU59">
        <v>41</v>
      </c>
      <c r="AV59">
        <v>1.0469999999999999</v>
      </c>
      <c r="AW59">
        <v>1</v>
      </c>
      <c r="AZ59">
        <v>1</v>
      </c>
      <c r="BA59">
        <v>34.51</v>
      </c>
      <c r="BB59">
        <v>9.31</v>
      </c>
      <c r="BC59">
        <v>3.33</v>
      </c>
      <c r="BD59" t="s">
        <v>3</v>
      </c>
      <c r="BE59" t="s">
        <v>3</v>
      </c>
      <c r="BF59" t="s">
        <v>3</v>
      </c>
      <c r="BG59" t="s">
        <v>3</v>
      </c>
      <c r="BH59">
        <v>0</v>
      </c>
      <c r="BI59">
        <v>1</v>
      </c>
      <c r="BJ59" t="s">
        <v>99</v>
      </c>
      <c r="BM59">
        <v>99</v>
      </c>
      <c r="BN59">
        <v>0</v>
      </c>
      <c r="BO59" t="s">
        <v>96</v>
      </c>
      <c r="BP59">
        <v>1</v>
      </c>
      <c r="BQ59">
        <v>30</v>
      </c>
      <c r="BR59">
        <v>0</v>
      </c>
      <c r="BS59">
        <v>34.51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87</v>
      </c>
      <c r="CA59">
        <v>41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689</v>
      </c>
      <c r="CO59">
        <v>0</v>
      </c>
      <c r="CP59">
        <f t="shared" si="39"/>
        <v>0</v>
      </c>
      <c r="CQ59">
        <f t="shared" si="40"/>
        <v>1719.65</v>
      </c>
      <c r="CR59">
        <f t="shared" si="69"/>
        <v>4284.93</v>
      </c>
      <c r="CS59">
        <f t="shared" si="42"/>
        <v>23.47</v>
      </c>
      <c r="CT59">
        <f t="shared" si="43"/>
        <v>76744.37</v>
      </c>
      <c r="CU59">
        <f t="shared" si="44"/>
        <v>0</v>
      </c>
      <c r="CV59">
        <f t="shared" si="45"/>
        <v>155.4795</v>
      </c>
      <c r="CW59">
        <f t="shared" si="46"/>
        <v>0</v>
      </c>
      <c r="CX59">
        <f t="shared" si="47"/>
        <v>0</v>
      </c>
      <c r="CY59">
        <f>S59*(BZ59/100)</f>
        <v>0</v>
      </c>
      <c r="CZ59">
        <f>S59*(CA59/100)</f>
        <v>0</v>
      </c>
      <c r="DC59" t="s">
        <v>3</v>
      </c>
      <c r="DD59" t="s">
        <v>3</v>
      </c>
      <c r="DE59" t="s">
        <v>22</v>
      </c>
      <c r="DF59" t="s">
        <v>22</v>
      </c>
      <c r="DG59" t="s">
        <v>22</v>
      </c>
      <c r="DH59" t="s">
        <v>3</v>
      </c>
      <c r="DI59" t="s">
        <v>22</v>
      </c>
      <c r="DJ59" t="s">
        <v>22</v>
      </c>
      <c r="DK59" t="s">
        <v>3</v>
      </c>
      <c r="DL59" t="s">
        <v>3</v>
      </c>
      <c r="DM59" t="s">
        <v>3</v>
      </c>
      <c r="DN59">
        <v>105</v>
      </c>
      <c r="DO59">
        <v>77</v>
      </c>
      <c r="DP59">
        <v>1.0469999999999999</v>
      </c>
      <c r="DQ59">
        <v>1</v>
      </c>
      <c r="DU59">
        <v>1013</v>
      </c>
      <c r="DV59" t="s">
        <v>98</v>
      </c>
      <c r="DW59" t="s">
        <v>98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51696138</v>
      </c>
      <c r="EF59">
        <v>30</v>
      </c>
      <c r="EG59" t="s">
        <v>23</v>
      </c>
      <c r="EH59">
        <v>0</v>
      </c>
      <c r="EI59" t="s">
        <v>3</v>
      </c>
      <c r="EJ59">
        <v>1</v>
      </c>
      <c r="EK59">
        <v>99</v>
      </c>
      <c r="EL59" t="s">
        <v>100</v>
      </c>
      <c r="EM59" t="s">
        <v>101</v>
      </c>
      <c r="EO59" t="s">
        <v>26</v>
      </c>
      <c r="EQ59">
        <v>131072</v>
      </c>
      <c r="ER59">
        <v>2846.95</v>
      </c>
      <c r="ES59">
        <v>516.41</v>
      </c>
      <c r="ET59">
        <v>399.63</v>
      </c>
      <c r="EU59">
        <v>0.59</v>
      </c>
      <c r="EV59">
        <v>1930.91</v>
      </c>
      <c r="EW59">
        <v>135</v>
      </c>
      <c r="EX59">
        <v>0</v>
      </c>
      <c r="EY59">
        <v>0</v>
      </c>
      <c r="FQ59">
        <v>0</v>
      </c>
      <c r="FR59">
        <v>0</v>
      </c>
      <c r="FS59">
        <v>0</v>
      </c>
      <c r="FX59">
        <v>105</v>
      </c>
      <c r="FY59">
        <v>77</v>
      </c>
      <c r="GA59" t="s">
        <v>3</v>
      </c>
      <c r="GD59">
        <v>0</v>
      </c>
      <c r="GF59">
        <v>448414653</v>
      </c>
      <c r="GG59">
        <v>2</v>
      </c>
      <c r="GH59">
        <v>1</v>
      </c>
      <c r="GI59">
        <v>2</v>
      </c>
      <c r="GJ59">
        <v>0</v>
      </c>
      <c r="GK59">
        <f>ROUND(R59*(S12)/100,2)</f>
        <v>0</v>
      </c>
      <c r="GL59">
        <f t="shared" si="48"/>
        <v>0</v>
      </c>
      <c r="GM59">
        <f t="shared" si="49"/>
        <v>0</v>
      </c>
      <c r="GN59">
        <f t="shared" si="50"/>
        <v>0</v>
      </c>
      <c r="GO59">
        <f t="shared" si="51"/>
        <v>0</v>
      </c>
      <c r="GP59">
        <f t="shared" si="52"/>
        <v>0</v>
      </c>
      <c r="GR59">
        <v>0</v>
      </c>
      <c r="GS59">
        <v>3</v>
      </c>
      <c r="GT59">
        <v>0</v>
      </c>
      <c r="GU59" t="s">
        <v>3</v>
      </c>
      <c r="GV59">
        <f t="shared" si="53"/>
        <v>0</v>
      </c>
      <c r="GW59">
        <v>1</v>
      </c>
      <c r="GX59">
        <f t="shared" si="54"/>
        <v>0</v>
      </c>
      <c r="HA59">
        <v>0</v>
      </c>
      <c r="HB59">
        <v>0</v>
      </c>
      <c r="HC59">
        <f t="shared" si="55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2">
      <c r="A60" s="2">
        <v>17</v>
      </c>
      <c r="B60" s="2">
        <v>1</v>
      </c>
      <c r="C60" s="2"/>
      <c r="D60" s="2"/>
      <c r="E60" s="2" t="s">
        <v>102</v>
      </c>
      <c r="F60" s="2" t="s">
        <v>81</v>
      </c>
      <c r="G60" s="2" t="s">
        <v>103</v>
      </c>
      <c r="H60" s="2" t="s">
        <v>104</v>
      </c>
      <c r="I60" s="2">
        <f>ROUND(I58*1.36*100,9)</f>
        <v>0</v>
      </c>
      <c r="J60" s="2">
        <v>0</v>
      </c>
      <c r="K60" s="2">
        <f>ROUND(I58*1.36*100,9)</f>
        <v>0</v>
      </c>
      <c r="L60" s="2"/>
      <c r="M60" s="2"/>
      <c r="N60" s="2"/>
      <c r="O60" s="2">
        <f t="shared" si="21"/>
        <v>0</v>
      </c>
      <c r="P60" s="2">
        <f t="shared" si="22"/>
        <v>0</v>
      </c>
      <c r="Q60" s="2">
        <f t="shared" si="62"/>
        <v>0</v>
      </c>
      <c r="R60" s="2">
        <f t="shared" si="24"/>
        <v>0</v>
      </c>
      <c r="S60" s="2">
        <f t="shared" si="25"/>
        <v>0</v>
      </c>
      <c r="T60" s="2">
        <f t="shared" si="26"/>
        <v>0</v>
      </c>
      <c r="U60" s="2">
        <f t="shared" si="27"/>
        <v>0</v>
      </c>
      <c r="V60" s="2">
        <f t="shared" si="28"/>
        <v>0</v>
      </c>
      <c r="W60" s="2">
        <f t="shared" si="29"/>
        <v>0</v>
      </c>
      <c r="X60" s="2">
        <f t="shared" si="30"/>
        <v>0</v>
      </c>
      <c r="Y60" s="2">
        <f t="shared" si="31"/>
        <v>0</v>
      </c>
      <c r="Z60" s="2"/>
      <c r="AA60" s="2">
        <v>56622523</v>
      </c>
      <c r="AB60" s="2">
        <f t="shared" si="32"/>
        <v>51.84</v>
      </c>
      <c r="AC60" s="2">
        <f t="shared" si="63"/>
        <v>51.84</v>
      </c>
      <c r="AD60" s="2">
        <f t="shared" si="64"/>
        <v>0</v>
      </c>
      <c r="AE60" s="2">
        <f t="shared" si="65"/>
        <v>0</v>
      </c>
      <c r="AF60" s="2">
        <f t="shared" si="66"/>
        <v>0</v>
      </c>
      <c r="AG60" s="2">
        <f t="shared" si="36"/>
        <v>0</v>
      </c>
      <c r="AH60" s="2">
        <f t="shared" si="67"/>
        <v>0</v>
      </c>
      <c r="AI60" s="2">
        <f t="shared" si="68"/>
        <v>0</v>
      </c>
      <c r="AJ60" s="2">
        <f t="shared" si="38"/>
        <v>0</v>
      </c>
      <c r="AK60" s="2">
        <v>51.84</v>
      </c>
      <c r="AL60" s="2">
        <v>51.84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1</v>
      </c>
      <c r="BJ60" s="2" t="s">
        <v>3</v>
      </c>
      <c r="BK60" s="2"/>
      <c r="BL60" s="2"/>
      <c r="BM60" s="2">
        <v>1617</v>
      </c>
      <c r="BN60" s="2">
        <v>0</v>
      </c>
      <c r="BO60" s="2" t="s">
        <v>3</v>
      </c>
      <c r="BP60" s="2">
        <v>0</v>
      </c>
      <c r="BQ60" s="2">
        <v>200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0</v>
      </c>
      <c r="CA60" s="2">
        <v>0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689</v>
      </c>
      <c r="CO60" s="2">
        <v>0</v>
      </c>
      <c r="CP60" s="2">
        <f t="shared" si="39"/>
        <v>0</v>
      </c>
      <c r="CQ60" s="2">
        <f t="shared" si="40"/>
        <v>51.84</v>
      </c>
      <c r="CR60" s="2">
        <f t="shared" si="69"/>
        <v>0</v>
      </c>
      <c r="CS60" s="2">
        <f t="shared" si="42"/>
        <v>0</v>
      </c>
      <c r="CT60" s="2">
        <f t="shared" si="43"/>
        <v>0</v>
      </c>
      <c r="CU60" s="2">
        <f t="shared" si="44"/>
        <v>0</v>
      </c>
      <c r="CV60" s="2">
        <f t="shared" si="45"/>
        <v>0</v>
      </c>
      <c r="CW60" s="2">
        <f t="shared" si="46"/>
        <v>0</v>
      </c>
      <c r="CX60" s="2">
        <f t="shared" si="47"/>
        <v>0</v>
      </c>
      <c r="CY60" s="2">
        <f>((S60*BZ60)/100)</f>
        <v>0</v>
      </c>
      <c r="CZ60" s="2">
        <f>((S60*CA60)/100)</f>
        <v>0</v>
      </c>
      <c r="DA60" s="2"/>
      <c r="DB60" s="2"/>
      <c r="DC60" s="2" t="s">
        <v>3</v>
      </c>
      <c r="DD60" s="2" t="s">
        <v>3</v>
      </c>
      <c r="DE60" s="2" t="s">
        <v>22</v>
      </c>
      <c r="DF60" s="2" t="s">
        <v>22</v>
      </c>
      <c r="DG60" s="2" t="s">
        <v>22</v>
      </c>
      <c r="DH60" s="2" t="s">
        <v>3</v>
      </c>
      <c r="DI60" s="2" t="s">
        <v>22</v>
      </c>
      <c r="DJ60" s="2" t="s">
        <v>22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1009</v>
      </c>
      <c r="DV60" s="2" t="s">
        <v>104</v>
      </c>
      <c r="DW60" s="2" t="s">
        <v>104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51697656</v>
      </c>
      <c r="EF60" s="2">
        <v>200</v>
      </c>
      <c r="EG60" s="2" t="s">
        <v>58</v>
      </c>
      <c r="EH60" s="2">
        <v>0</v>
      </c>
      <c r="EI60" s="2" t="s">
        <v>3</v>
      </c>
      <c r="EJ60" s="2">
        <v>1</v>
      </c>
      <c r="EK60" s="2">
        <v>1617</v>
      </c>
      <c r="EL60" s="2" t="s">
        <v>59</v>
      </c>
      <c r="EM60" s="2" t="s">
        <v>60</v>
      </c>
      <c r="EN60" s="2"/>
      <c r="EO60" s="2" t="s">
        <v>26</v>
      </c>
      <c r="EP60" s="2"/>
      <c r="EQ60" s="2">
        <v>131072</v>
      </c>
      <c r="ER60" s="2">
        <v>51.84</v>
      </c>
      <c r="ES60" s="2">
        <v>51.84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0</v>
      </c>
      <c r="FY60" s="2">
        <v>0</v>
      </c>
      <c r="FZ60" s="2"/>
      <c r="GA60" s="2" t="s">
        <v>3</v>
      </c>
      <c r="GB60" s="2"/>
      <c r="GC60" s="2"/>
      <c r="GD60" s="2">
        <v>0</v>
      </c>
      <c r="GE60" s="2"/>
      <c r="GF60" s="2">
        <v>-1921076346</v>
      </c>
      <c r="GG60" s="2">
        <v>2</v>
      </c>
      <c r="GH60" s="2">
        <v>0</v>
      </c>
      <c r="GI60" s="2">
        <v>3</v>
      </c>
      <c r="GJ60" s="2">
        <v>0</v>
      </c>
      <c r="GK60" s="2">
        <f>ROUND(R60*(R12)/100,2)</f>
        <v>0</v>
      </c>
      <c r="GL60" s="2">
        <f t="shared" si="48"/>
        <v>0</v>
      </c>
      <c r="GM60" s="2">
        <f t="shared" si="49"/>
        <v>0</v>
      </c>
      <c r="GN60" s="2">
        <f t="shared" si="50"/>
        <v>0</v>
      </c>
      <c r="GO60" s="2">
        <f t="shared" si="51"/>
        <v>0</v>
      </c>
      <c r="GP60" s="2">
        <f t="shared" si="52"/>
        <v>0</v>
      </c>
      <c r="GQ60" s="2"/>
      <c r="GR60" s="2">
        <v>0</v>
      </c>
      <c r="GS60" s="2">
        <v>0</v>
      </c>
      <c r="GT60" s="2">
        <v>0</v>
      </c>
      <c r="GU60" s="2" t="s">
        <v>3</v>
      </c>
      <c r="GV60" s="2">
        <f t="shared" si="53"/>
        <v>0</v>
      </c>
      <c r="GW60" s="2">
        <v>1</v>
      </c>
      <c r="GX60" s="2">
        <f t="shared" si="54"/>
        <v>0</v>
      </c>
      <c r="GY60" s="2"/>
      <c r="GZ60" s="2"/>
      <c r="HA60" s="2">
        <v>0</v>
      </c>
      <c r="HB60" s="2">
        <v>0</v>
      </c>
      <c r="HC60" s="2">
        <f t="shared" si="55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>
        <v>17</v>
      </c>
      <c r="B61">
        <v>1</v>
      </c>
      <c r="E61" t="s">
        <v>102</v>
      </c>
      <c r="F61" t="s">
        <v>81</v>
      </c>
      <c r="G61" t="s">
        <v>103</v>
      </c>
      <c r="H61" t="s">
        <v>104</v>
      </c>
      <c r="I61">
        <f>ROUND(I59*1.36*100,9)</f>
        <v>0</v>
      </c>
      <c r="J61">
        <v>0</v>
      </c>
      <c r="K61">
        <f>ROUND(I59*1.36*100,9)</f>
        <v>0</v>
      </c>
      <c r="O61">
        <f t="shared" si="21"/>
        <v>0</v>
      </c>
      <c r="P61">
        <f t="shared" si="22"/>
        <v>0</v>
      </c>
      <c r="Q61">
        <f t="shared" si="62"/>
        <v>0</v>
      </c>
      <c r="R61">
        <f t="shared" si="24"/>
        <v>0</v>
      </c>
      <c r="S61">
        <f t="shared" si="25"/>
        <v>0</v>
      </c>
      <c r="T61">
        <f t="shared" si="26"/>
        <v>0</v>
      </c>
      <c r="U61">
        <f t="shared" si="27"/>
        <v>0</v>
      </c>
      <c r="V61">
        <f t="shared" si="28"/>
        <v>0</v>
      </c>
      <c r="W61">
        <f t="shared" si="29"/>
        <v>0</v>
      </c>
      <c r="X61">
        <f t="shared" si="30"/>
        <v>0</v>
      </c>
      <c r="Y61">
        <f t="shared" si="31"/>
        <v>0</v>
      </c>
      <c r="AA61">
        <v>56611490</v>
      </c>
      <c r="AB61">
        <f t="shared" si="32"/>
        <v>504.9</v>
      </c>
      <c r="AC61">
        <f t="shared" si="63"/>
        <v>504.9</v>
      </c>
      <c r="AD61">
        <f t="shared" si="64"/>
        <v>0</v>
      </c>
      <c r="AE61">
        <f t="shared" si="65"/>
        <v>0</v>
      </c>
      <c r="AF61">
        <f t="shared" si="66"/>
        <v>0</v>
      </c>
      <c r="AG61">
        <f t="shared" si="36"/>
        <v>0</v>
      </c>
      <c r="AH61">
        <f t="shared" si="67"/>
        <v>0</v>
      </c>
      <c r="AI61">
        <f t="shared" si="68"/>
        <v>0</v>
      </c>
      <c r="AJ61">
        <f t="shared" si="38"/>
        <v>0</v>
      </c>
      <c r="AK61">
        <v>504.9</v>
      </c>
      <c r="AL61">
        <v>504.9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1</v>
      </c>
      <c r="AZ61">
        <v>1</v>
      </c>
      <c r="BA61">
        <v>1</v>
      </c>
      <c r="BB61">
        <v>1</v>
      </c>
      <c r="BC61">
        <v>1</v>
      </c>
      <c r="BD61" t="s">
        <v>3</v>
      </c>
      <c r="BE61" t="s">
        <v>3</v>
      </c>
      <c r="BF61" t="s">
        <v>3</v>
      </c>
      <c r="BG61" t="s">
        <v>3</v>
      </c>
      <c r="BH61">
        <v>3</v>
      </c>
      <c r="BI61">
        <v>1</v>
      </c>
      <c r="BJ61" t="s">
        <v>3</v>
      </c>
      <c r="BM61">
        <v>1617</v>
      </c>
      <c r="BN61">
        <v>0</v>
      </c>
      <c r="BO61" t="s">
        <v>3</v>
      </c>
      <c r="BP61">
        <v>0</v>
      </c>
      <c r="BQ61">
        <v>200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0</v>
      </c>
      <c r="CA61">
        <v>0</v>
      </c>
      <c r="CB61" t="s">
        <v>3</v>
      </c>
      <c r="CE61">
        <v>30</v>
      </c>
      <c r="CF61">
        <v>0</v>
      </c>
      <c r="CG61">
        <v>0</v>
      </c>
      <c r="CM61">
        <v>0</v>
      </c>
      <c r="CN61" t="s">
        <v>689</v>
      </c>
      <c r="CO61">
        <v>0</v>
      </c>
      <c r="CP61">
        <f t="shared" si="39"/>
        <v>0</v>
      </c>
      <c r="CQ61">
        <f t="shared" si="40"/>
        <v>504.9</v>
      </c>
      <c r="CR61">
        <f t="shared" si="69"/>
        <v>0</v>
      </c>
      <c r="CS61">
        <f t="shared" si="42"/>
        <v>0</v>
      </c>
      <c r="CT61">
        <f t="shared" si="43"/>
        <v>0</v>
      </c>
      <c r="CU61">
        <f t="shared" si="44"/>
        <v>0</v>
      </c>
      <c r="CV61">
        <f t="shared" si="45"/>
        <v>0</v>
      </c>
      <c r="CW61">
        <f t="shared" si="46"/>
        <v>0</v>
      </c>
      <c r="CX61">
        <f t="shared" si="47"/>
        <v>0</v>
      </c>
      <c r="CY61">
        <f>S61*(BZ61/100)</f>
        <v>0</v>
      </c>
      <c r="CZ61">
        <f>S61*(CA61/100)</f>
        <v>0</v>
      </c>
      <c r="DC61" t="s">
        <v>3</v>
      </c>
      <c r="DD61" t="s">
        <v>3</v>
      </c>
      <c r="DE61" t="s">
        <v>22</v>
      </c>
      <c r="DF61" t="s">
        <v>22</v>
      </c>
      <c r="DG61" t="s">
        <v>22</v>
      </c>
      <c r="DH61" t="s">
        <v>3</v>
      </c>
      <c r="DI61" t="s">
        <v>22</v>
      </c>
      <c r="DJ61" t="s">
        <v>22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1009</v>
      </c>
      <c r="DV61" t="s">
        <v>104</v>
      </c>
      <c r="DW61" t="s">
        <v>104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51697656</v>
      </c>
      <c r="EF61">
        <v>200</v>
      </c>
      <c r="EG61" t="s">
        <v>58</v>
      </c>
      <c r="EH61">
        <v>0</v>
      </c>
      <c r="EI61" t="s">
        <v>3</v>
      </c>
      <c r="EJ61">
        <v>1</v>
      </c>
      <c r="EK61">
        <v>1617</v>
      </c>
      <c r="EL61" t="s">
        <v>59</v>
      </c>
      <c r="EM61" t="s">
        <v>60</v>
      </c>
      <c r="EO61" t="s">
        <v>26</v>
      </c>
      <c r="EQ61">
        <v>131072</v>
      </c>
      <c r="ER61">
        <v>51.84</v>
      </c>
      <c r="ES61">
        <v>504.9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5</v>
      </c>
      <c r="FC61">
        <v>1</v>
      </c>
      <c r="FD61">
        <v>18</v>
      </c>
      <c r="FF61">
        <v>594</v>
      </c>
      <c r="FQ61">
        <v>0</v>
      </c>
      <c r="FR61">
        <v>0</v>
      </c>
      <c r="FS61">
        <v>0</v>
      </c>
      <c r="FX61">
        <v>0</v>
      </c>
      <c r="FY61">
        <v>0</v>
      </c>
      <c r="GA61" t="s">
        <v>105</v>
      </c>
      <c r="GD61">
        <v>0</v>
      </c>
      <c r="GF61">
        <v>-1921076346</v>
      </c>
      <c r="GG61">
        <v>2</v>
      </c>
      <c r="GH61">
        <v>3</v>
      </c>
      <c r="GI61">
        <v>-2</v>
      </c>
      <c r="GJ61">
        <v>0</v>
      </c>
      <c r="GK61">
        <f>ROUND(R61*(S12)/100,2)</f>
        <v>0</v>
      </c>
      <c r="GL61">
        <f t="shared" si="48"/>
        <v>0</v>
      </c>
      <c r="GM61">
        <f t="shared" si="49"/>
        <v>0</v>
      </c>
      <c r="GN61">
        <f t="shared" si="50"/>
        <v>0</v>
      </c>
      <c r="GO61">
        <f t="shared" si="51"/>
        <v>0</v>
      </c>
      <c r="GP61">
        <f t="shared" si="52"/>
        <v>0</v>
      </c>
      <c r="GR61">
        <v>1</v>
      </c>
      <c r="GS61">
        <v>1</v>
      </c>
      <c r="GT61">
        <v>0</v>
      </c>
      <c r="GU61" t="s">
        <v>3</v>
      </c>
      <c r="GV61">
        <f t="shared" si="53"/>
        <v>0</v>
      </c>
      <c r="GW61">
        <v>1</v>
      </c>
      <c r="GX61">
        <f t="shared" si="54"/>
        <v>0</v>
      </c>
      <c r="HA61">
        <v>0</v>
      </c>
      <c r="HB61">
        <v>0</v>
      </c>
      <c r="HC61">
        <f t="shared" si="55"/>
        <v>0</v>
      </c>
      <c r="HE61" t="s">
        <v>27</v>
      </c>
      <c r="HF61" t="s">
        <v>84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3" spans="1:255" x14ac:dyDescent="0.2">
      <c r="A63" s="3">
        <v>51</v>
      </c>
      <c r="B63" s="3">
        <f>B24</f>
        <v>1</v>
      </c>
      <c r="C63" s="3">
        <f>A24</f>
        <v>4</v>
      </c>
      <c r="D63" s="3">
        <f>ROW(A24)</f>
        <v>24</v>
      </c>
      <c r="E63" s="3"/>
      <c r="F63" s="3" t="str">
        <f>IF(F24&lt;&gt;"",F24,"")</f>
        <v>Новый раздел</v>
      </c>
      <c r="G63" s="3" t="str">
        <f>IF(G24&lt;&gt;"",G24,"")</f>
        <v>Земляные работы</v>
      </c>
      <c r="H63" s="3">
        <v>0</v>
      </c>
      <c r="I63" s="3"/>
      <c r="J63" s="3"/>
      <c r="K63" s="3"/>
      <c r="L63" s="3"/>
      <c r="M63" s="3"/>
      <c r="N63" s="3"/>
      <c r="O63" s="3">
        <f t="shared" ref="O63:T63" si="70">ROUND(AB63,2)</f>
        <v>1324.18</v>
      </c>
      <c r="P63" s="3">
        <f t="shared" si="70"/>
        <v>1235.24</v>
      </c>
      <c r="Q63" s="3">
        <f t="shared" si="70"/>
        <v>40.6</v>
      </c>
      <c r="R63" s="3">
        <f t="shared" si="70"/>
        <v>4.05</v>
      </c>
      <c r="S63" s="3">
        <f t="shared" si="70"/>
        <v>48.34</v>
      </c>
      <c r="T63" s="3">
        <f t="shared" si="70"/>
        <v>0</v>
      </c>
      <c r="U63" s="3">
        <f>AH63</f>
        <v>4.5858407108800012</v>
      </c>
      <c r="V63" s="3">
        <f>AI63</f>
        <v>0</v>
      </c>
      <c r="W63" s="3">
        <f>ROUND(AJ63,2)</f>
        <v>0</v>
      </c>
      <c r="X63" s="3">
        <f>ROUND(AK63,2)</f>
        <v>52</v>
      </c>
      <c r="Y63" s="3">
        <f>ROUND(AL63,2)</f>
        <v>35.92</v>
      </c>
      <c r="Z63" s="3"/>
      <c r="AA63" s="3"/>
      <c r="AB63" s="3">
        <f>ROUND(SUMIF(AA28:AA61,"=56622523",O28:O61),2)</f>
        <v>1324.18</v>
      </c>
      <c r="AC63" s="3">
        <f>ROUND(SUMIF(AA28:AA61,"=56622523",P28:P61),2)</f>
        <v>1235.24</v>
      </c>
      <c r="AD63" s="3">
        <f>ROUND(SUMIF(AA28:AA61,"=56622523",Q28:Q61),2)</f>
        <v>40.6</v>
      </c>
      <c r="AE63" s="3">
        <f>ROUND(SUMIF(AA28:AA61,"=56622523",R28:R61),2)</f>
        <v>4.05</v>
      </c>
      <c r="AF63" s="3">
        <f>ROUND(SUMIF(AA28:AA61,"=56622523",S28:S61),2)</f>
        <v>48.34</v>
      </c>
      <c r="AG63" s="3">
        <f>ROUND(SUMIF(AA28:AA61,"=56622523",T28:T61),2)</f>
        <v>0</v>
      </c>
      <c r="AH63" s="3">
        <f>SUMIF(AA28:AA61,"=56622523",U28:U61)</f>
        <v>4.5858407108800012</v>
      </c>
      <c r="AI63" s="3">
        <f>SUMIF(AA28:AA61,"=56622523",V28:V61)</f>
        <v>0</v>
      </c>
      <c r="AJ63" s="3">
        <f>ROUND(SUMIF(AA28:AA61,"=56622523",W28:W61),2)</f>
        <v>0</v>
      </c>
      <c r="AK63" s="3">
        <f>ROUND(SUMIF(AA28:AA61,"=56622523",X28:X61),2)</f>
        <v>52</v>
      </c>
      <c r="AL63" s="3">
        <f>ROUND(SUMIF(AA28:AA61,"=56622523",Y28:Y61),2)</f>
        <v>35.92</v>
      </c>
      <c r="AM63" s="3"/>
      <c r="AN63" s="3"/>
      <c r="AO63" s="3">
        <f t="shared" ref="AO63:BD63" si="71">ROUND(BX63,2)</f>
        <v>0</v>
      </c>
      <c r="AP63" s="3">
        <f t="shared" si="71"/>
        <v>0</v>
      </c>
      <c r="AQ63" s="3">
        <f t="shared" si="71"/>
        <v>0</v>
      </c>
      <c r="AR63" s="3">
        <f t="shared" si="71"/>
        <v>1419.19</v>
      </c>
      <c r="AS63" s="3">
        <f t="shared" si="71"/>
        <v>1419.19</v>
      </c>
      <c r="AT63" s="3">
        <f t="shared" si="71"/>
        <v>0</v>
      </c>
      <c r="AU63" s="3">
        <f t="shared" si="71"/>
        <v>0</v>
      </c>
      <c r="AV63" s="3">
        <f t="shared" si="71"/>
        <v>1235.24</v>
      </c>
      <c r="AW63" s="3">
        <f t="shared" si="71"/>
        <v>1235.24</v>
      </c>
      <c r="AX63" s="3">
        <f t="shared" si="71"/>
        <v>0</v>
      </c>
      <c r="AY63" s="3">
        <f t="shared" si="71"/>
        <v>1235.24</v>
      </c>
      <c r="AZ63" s="3">
        <f t="shared" si="71"/>
        <v>0</v>
      </c>
      <c r="BA63" s="3">
        <f t="shared" si="71"/>
        <v>0</v>
      </c>
      <c r="BB63" s="3">
        <f t="shared" si="71"/>
        <v>0</v>
      </c>
      <c r="BC63" s="3">
        <f t="shared" si="71"/>
        <v>0</v>
      </c>
      <c r="BD63" s="3">
        <f t="shared" si="71"/>
        <v>0</v>
      </c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>
        <f>ROUND(SUMIF(AA28:AA61,"=56622523",FQ28:FQ61),2)</f>
        <v>0</v>
      </c>
      <c r="BY63" s="3">
        <f>ROUND(SUMIF(AA28:AA61,"=56622523",FR28:FR61),2)</f>
        <v>0</v>
      </c>
      <c r="BZ63" s="3">
        <f>ROUND(SUMIF(AA28:AA61,"=56622523",GL28:GL61),2)</f>
        <v>0</v>
      </c>
      <c r="CA63" s="3">
        <f>ROUND(SUMIF(AA28:AA61,"=56622523",GM28:GM61),2)</f>
        <v>1419.19</v>
      </c>
      <c r="CB63" s="3">
        <f>ROUND(SUMIF(AA28:AA61,"=56622523",GN28:GN61),2)</f>
        <v>1419.19</v>
      </c>
      <c r="CC63" s="3">
        <f>ROUND(SUMIF(AA28:AA61,"=56622523",GO28:GO61),2)</f>
        <v>0</v>
      </c>
      <c r="CD63" s="3">
        <f>ROUND(SUMIF(AA28:AA61,"=56622523",GP28:GP61),2)</f>
        <v>0</v>
      </c>
      <c r="CE63" s="3">
        <f>AC63-BX63</f>
        <v>1235.24</v>
      </c>
      <c r="CF63" s="3">
        <f>AC63-BY63</f>
        <v>1235.24</v>
      </c>
      <c r="CG63" s="3">
        <f>BX63-BZ63</f>
        <v>0</v>
      </c>
      <c r="CH63" s="3">
        <f>AC63-BX63-BY63+BZ63</f>
        <v>1235.24</v>
      </c>
      <c r="CI63" s="3">
        <f>BY63-BZ63</f>
        <v>0</v>
      </c>
      <c r="CJ63" s="3">
        <f>ROUND(SUMIF(AA28:AA61,"=56622523",GX28:GX61),2)</f>
        <v>0</v>
      </c>
      <c r="CK63" s="3">
        <f>ROUND(SUMIF(AA28:AA61,"=56622523",GY28:GY61),2)</f>
        <v>0</v>
      </c>
      <c r="CL63" s="3">
        <f>ROUND(SUMIF(AA28:AA61,"=56622523",GZ28:GZ61),2)</f>
        <v>0</v>
      </c>
      <c r="CM63" s="3">
        <f>ROUND(SUMIF(AA28:AA61,"=56622523",HD28:HD61),2)</f>
        <v>0</v>
      </c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4">
        <f t="shared" ref="DG63:DL63" si="72">ROUND(DT63,2)</f>
        <v>14091.45</v>
      </c>
      <c r="DH63" s="4">
        <f t="shared" si="72"/>
        <v>11930.88</v>
      </c>
      <c r="DI63" s="4">
        <f t="shared" si="72"/>
        <v>492.35</v>
      </c>
      <c r="DJ63" s="4">
        <f t="shared" si="72"/>
        <v>139.77000000000001</v>
      </c>
      <c r="DK63" s="4">
        <f t="shared" si="72"/>
        <v>1668.22</v>
      </c>
      <c r="DL63" s="4">
        <f t="shared" si="72"/>
        <v>0</v>
      </c>
      <c r="DM63" s="4">
        <f>DZ63</f>
        <v>4.5858407108800012</v>
      </c>
      <c r="DN63" s="4">
        <f>EA63</f>
        <v>0</v>
      </c>
      <c r="DO63" s="4">
        <f>ROUND(EB63,2)</f>
        <v>0</v>
      </c>
      <c r="DP63" s="4">
        <f>ROUND(EC63,2)</f>
        <v>1484.58</v>
      </c>
      <c r="DQ63" s="4">
        <f>ROUND(ED63,2)</f>
        <v>685.96</v>
      </c>
      <c r="DR63" s="4"/>
      <c r="DS63" s="4"/>
      <c r="DT63" s="4">
        <f>ROUND(SUMIF(AA28:AA61,"=56611490",O28:O61),2)</f>
        <v>14091.45</v>
      </c>
      <c r="DU63" s="4">
        <f>ROUND(SUMIF(AA28:AA61,"=56611490",P28:P61),2)</f>
        <v>11930.88</v>
      </c>
      <c r="DV63" s="4">
        <f>ROUND(SUMIF(AA28:AA61,"=56611490",Q28:Q61),2)</f>
        <v>492.35</v>
      </c>
      <c r="DW63" s="4">
        <f>ROUND(SUMIF(AA28:AA61,"=56611490",R28:R61),2)</f>
        <v>139.77000000000001</v>
      </c>
      <c r="DX63" s="4">
        <f>ROUND(SUMIF(AA28:AA61,"=56611490",S28:S61),2)</f>
        <v>1668.22</v>
      </c>
      <c r="DY63" s="4">
        <f>ROUND(SUMIF(AA28:AA61,"=56611490",T28:T61),2)</f>
        <v>0</v>
      </c>
      <c r="DZ63" s="4">
        <f>SUMIF(AA28:AA61,"=56611490",U28:U61)</f>
        <v>4.5858407108800012</v>
      </c>
      <c r="EA63" s="4">
        <f>SUMIF(AA28:AA61,"=56611490",V28:V61)</f>
        <v>0</v>
      </c>
      <c r="EB63" s="4">
        <f>ROUND(SUMIF(AA28:AA61,"=56611490",W28:W61),2)</f>
        <v>0</v>
      </c>
      <c r="EC63" s="4">
        <f>ROUND(SUMIF(AA28:AA61,"=56611490",X28:X61),2)</f>
        <v>1484.58</v>
      </c>
      <c r="ED63" s="4">
        <f>ROUND(SUMIF(AA28:AA61,"=56611490",Y28:Y61),2)</f>
        <v>685.96</v>
      </c>
      <c r="EE63" s="4"/>
      <c r="EF63" s="4"/>
      <c r="EG63" s="4">
        <f t="shared" ref="EG63:EV63" si="73">ROUND(FP63,2)</f>
        <v>0</v>
      </c>
      <c r="EH63" s="4">
        <f t="shared" si="73"/>
        <v>0</v>
      </c>
      <c r="EI63" s="4">
        <f t="shared" si="73"/>
        <v>0</v>
      </c>
      <c r="EJ63" s="4">
        <f t="shared" si="73"/>
        <v>16485.61</v>
      </c>
      <c r="EK63" s="4">
        <f t="shared" si="73"/>
        <v>16485.61</v>
      </c>
      <c r="EL63" s="4">
        <f t="shared" si="73"/>
        <v>0</v>
      </c>
      <c r="EM63" s="4">
        <f t="shared" si="73"/>
        <v>0</v>
      </c>
      <c r="EN63" s="4">
        <f t="shared" si="73"/>
        <v>11930.88</v>
      </c>
      <c r="EO63" s="4">
        <f t="shared" si="73"/>
        <v>11930.88</v>
      </c>
      <c r="EP63" s="4">
        <f t="shared" si="73"/>
        <v>0</v>
      </c>
      <c r="EQ63" s="4">
        <f t="shared" si="73"/>
        <v>11930.88</v>
      </c>
      <c r="ER63" s="4">
        <f t="shared" si="73"/>
        <v>0</v>
      </c>
      <c r="ES63" s="4">
        <f t="shared" si="73"/>
        <v>0</v>
      </c>
      <c r="ET63" s="4">
        <f t="shared" si="73"/>
        <v>0</v>
      </c>
      <c r="EU63" s="4">
        <f t="shared" si="73"/>
        <v>0</v>
      </c>
      <c r="EV63" s="4">
        <f t="shared" si="73"/>
        <v>0</v>
      </c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>
        <f>ROUND(SUMIF(AA28:AA61,"=56611490",FQ28:FQ61),2)</f>
        <v>0</v>
      </c>
      <c r="FQ63" s="4">
        <f>ROUND(SUMIF(AA28:AA61,"=56611490",FR28:FR61),2)</f>
        <v>0</v>
      </c>
      <c r="FR63" s="4">
        <f>ROUND(SUMIF(AA28:AA61,"=56611490",GL28:GL61),2)</f>
        <v>0</v>
      </c>
      <c r="FS63" s="4">
        <f>ROUND(SUMIF(AA28:AA61,"=56611490",GM28:GM61),2)</f>
        <v>16485.61</v>
      </c>
      <c r="FT63" s="4">
        <f>ROUND(SUMIF(AA28:AA61,"=56611490",GN28:GN61),2)</f>
        <v>16485.61</v>
      </c>
      <c r="FU63" s="4">
        <f>ROUND(SUMIF(AA28:AA61,"=56611490",GO28:GO61),2)</f>
        <v>0</v>
      </c>
      <c r="FV63" s="4">
        <f>ROUND(SUMIF(AA28:AA61,"=56611490",GP28:GP61),2)</f>
        <v>0</v>
      </c>
      <c r="FW63" s="4">
        <f>DU63-FP63</f>
        <v>11930.88</v>
      </c>
      <c r="FX63" s="4">
        <f>DU63-FQ63</f>
        <v>11930.88</v>
      </c>
      <c r="FY63" s="4">
        <f>FP63-FR63</f>
        <v>0</v>
      </c>
      <c r="FZ63" s="4">
        <f>DU63-FP63-FQ63+FR63</f>
        <v>11930.88</v>
      </c>
      <c r="GA63" s="4">
        <f>FQ63-FR63</f>
        <v>0</v>
      </c>
      <c r="GB63" s="4">
        <f>ROUND(SUMIF(AA28:AA61,"=56611490",GX28:GX61),2)</f>
        <v>0</v>
      </c>
      <c r="GC63" s="4">
        <f>ROUND(SUMIF(AA28:AA61,"=56611490",GY28:GY61),2)</f>
        <v>0</v>
      </c>
      <c r="GD63" s="4">
        <f>ROUND(SUMIF(AA28:AA61,"=56611490",GZ28:GZ61),2)</f>
        <v>0</v>
      </c>
      <c r="GE63" s="4">
        <f>ROUND(SUMIF(AA28:AA61,"=56611490",HD28:HD61),2)</f>
        <v>0</v>
      </c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>
        <v>0</v>
      </c>
    </row>
    <row r="65" spans="1:28" x14ac:dyDescent="0.2">
      <c r="A65" s="5">
        <v>50</v>
      </c>
      <c r="B65" s="5">
        <v>0</v>
      </c>
      <c r="C65" s="5">
        <v>0</v>
      </c>
      <c r="D65" s="5">
        <v>1</v>
      </c>
      <c r="E65" s="5">
        <v>201</v>
      </c>
      <c r="F65" s="5">
        <f>ROUND(Source!O63,O65)</f>
        <v>1324.18</v>
      </c>
      <c r="G65" s="5" t="s">
        <v>106</v>
      </c>
      <c r="H65" s="5" t="s">
        <v>107</v>
      </c>
      <c r="I65" s="5"/>
      <c r="J65" s="5"/>
      <c r="K65" s="5">
        <v>201</v>
      </c>
      <c r="L65" s="5">
        <v>1</v>
      </c>
      <c r="M65" s="5">
        <v>3</v>
      </c>
      <c r="N65" s="5" t="s">
        <v>3</v>
      </c>
      <c r="O65" s="5">
        <v>2</v>
      </c>
      <c r="P65" s="5">
        <f>ROUND(Source!DG63,O65)</f>
        <v>14091.45</v>
      </c>
      <c r="Q65" s="5"/>
      <c r="R65" s="5"/>
      <c r="S65" s="5"/>
      <c r="T65" s="5"/>
      <c r="U65" s="5"/>
      <c r="V65" s="5"/>
      <c r="W65" s="5">
        <v>1324.18</v>
      </c>
      <c r="X65" s="5">
        <v>1</v>
      </c>
      <c r="Y65" s="5">
        <v>1324.18</v>
      </c>
      <c r="Z65" s="5">
        <v>14091.45</v>
      </c>
      <c r="AA65" s="5">
        <v>1</v>
      </c>
      <c r="AB65" s="5">
        <v>14091.45</v>
      </c>
    </row>
    <row r="66" spans="1:28" x14ac:dyDescent="0.2">
      <c r="A66" s="5">
        <v>50</v>
      </c>
      <c r="B66" s="5">
        <v>0</v>
      </c>
      <c r="C66" s="5">
        <v>0</v>
      </c>
      <c r="D66" s="5">
        <v>1</v>
      </c>
      <c r="E66" s="5">
        <v>202</v>
      </c>
      <c r="F66" s="5">
        <f>ROUND(Source!P63,O66)</f>
        <v>1235.24</v>
      </c>
      <c r="G66" s="5" t="s">
        <v>108</v>
      </c>
      <c r="H66" s="5" t="s">
        <v>109</v>
      </c>
      <c r="I66" s="5"/>
      <c r="J66" s="5"/>
      <c r="K66" s="5">
        <v>202</v>
      </c>
      <c r="L66" s="5">
        <v>2</v>
      </c>
      <c r="M66" s="5">
        <v>3</v>
      </c>
      <c r="N66" s="5" t="s">
        <v>3</v>
      </c>
      <c r="O66" s="5">
        <v>2</v>
      </c>
      <c r="P66" s="5">
        <f>ROUND(Source!DH63,O66)</f>
        <v>11930.88</v>
      </c>
      <c r="Q66" s="5"/>
      <c r="R66" s="5"/>
      <c r="S66" s="5"/>
      <c r="T66" s="5"/>
      <c r="U66" s="5"/>
      <c r="V66" s="5"/>
      <c r="W66" s="5">
        <v>1235.24</v>
      </c>
      <c r="X66" s="5">
        <v>1</v>
      </c>
      <c r="Y66" s="5">
        <v>1235.24</v>
      </c>
      <c r="Z66" s="5">
        <v>11930.88</v>
      </c>
      <c r="AA66" s="5">
        <v>1</v>
      </c>
      <c r="AB66" s="5">
        <v>11930.88</v>
      </c>
    </row>
    <row r="67" spans="1:28" x14ac:dyDescent="0.2">
      <c r="A67" s="5">
        <v>50</v>
      </c>
      <c r="B67" s="5">
        <v>0</v>
      </c>
      <c r="C67" s="5">
        <v>0</v>
      </c>
      <c r="D67" s="5">
        <v>1</v>
      </c>
      <c r="E67" s="5">
        <v>222</v>
      </c>
      <c r="F67" s="5">
        <f>ROUND(Source!AO63,O67)</f>
        <v>0</v>
      </c>
      <c r="G67" s="5" t="s">
        <v>110</v>
      </c>
      <c r="H67" s="5" t="s">
        <v>111</v>
      </c>
      <c r="I67" s="5"/>
      <c r="J67" s="5"/>
      <c r="K67" s="5">
        <v>222</v>
      </c>
      <c r="L67" s="5">
        <v>3</v>
      </c>
      <c r="M67" s="5">
        <v>3</v>
      </c>
      <c r="N67" s="5" t="s">
        <v>3</v>
      </c>
      <c r="O67" s="5">
        <v>2</v>
      </c>
      <c r="P67" s="5">
        <f>ROUND(Source!EG63,O67)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x14ac:dyDescent="0.2">
      <c r="A68" s="5">
        <v>50</v>
      </c>
      <c r="B68" s="5">
        <v>0</v>
      </c>
      <c r="C68" s="5">
        <v>0</v>
      </c>
      <c r="D68" s="5">
        <v>1</v>
      </c>
      <c r="E68" s="5">
        <v>225</v>
      </c>
      <c r="F68" s="5">
        <f>ROUND(Source!AV63,O68)</f>
        <v>1235.24</v>
      </c>
      <c r="G68" s="5" t="s">
        <v>112</v>
      </c>
      <c r="H68" s="5" t="s">
        <v>113</v>
      </c>
      <c r="I68" s="5"/>
      <c r="J68" s="5"/>
      <c r="K68" s="5">
        <v>225</v>
      </c>
      <c r="L68" s="5">
        <v>4</v>
      </c>
      <c r="M68" s="5">
        <v>3</v>
      </c>
      <c r="N68" s="5" t="s">
        <v>3</v>
      </c>
      <c r="O68" s="5">
        <v>2</v>
      </c>
      <c r="P68" s="5">
        <f>ROUND(Source!EN63,O68)</f>
        <v>11930.88</v>
      </c>
      <c r="Q68" s="5"/>
      <c r="R68" s="5"/>
      <c r="S68" s="5"/>
      <c r="T68" s="5"/>
      <c r="U68" s="5"/>
      <c r="V68" s="5"/>
      <c r="W68" s="5">
        <v>1235.24</v>
      </c>
      <c r="X68" s="5">
        <v>1</v>
      </c>
      <c r="Y68" s="5">
        <v>1235.24</v>
      </c>
      <c r="Z68" s="5">
        <v>11930.88</v>
      </c>
      <c r="AA68" s="5">
        <v>1</v>
      </c>
      <c r="AB68" s="5">
        <v>11930.88</v>
      </c>
    </row>
    <row r="69" spans="1:28" x14ac:dyDescent="0.2">
      <c r="A69" s="5">
        <v>50</v>
      </c>
      <c r="B69" s="5">
        <v>0</v>
      </c>
      <c r="C69" s="5">
        <v>0</v>
      </c>
      <c r="D69" s="5">
        <v>1</v>
      </c>
      <c r="E69" s="5">
        <v>226</v>
      </c>
      <c r="F69" s="5">
        <f>ROUND(Source!AW63,O69)</f>
        <v>1235.24</v>
      </c>
      <c r="G69" s="5" t="s">
        <v>114</v>
      </c>
      <c r="H69" s="5" t="s">
        <v>115</v>
      </c>
      <c r="I69" s="5"/>
      <c r="J69" s="5"/>
      <c r="K69" s="5">
        <v>226</v>
      </c>
      <c r="L69" s="5">
        <v>5</v>
      </c>
      <c r="M69" s="5">
        <v>3</v>
      </c>
      <c r="N69" s="5" t="s">
        <v>3</v>
      </c>
      <c r="O69" s="5">
        <v>2</v>
      </c>
      <c r="P69" s="5">
        <f>ROUND(Source!EO63,O69)</f>
        <v>11930.88</v>
      </c>
      <c r="Q69" s="5"/>
      <c r="R69" s="5"/>
      <c r="S69" s="5"/>
      <c r="T69" s="5"/>
      <c r="U69" s="5"/>
      <c r="V69" s="5"/>
      <c r="W69" s="5">
        <v>1235.24</v>
      </c>
      <c r="X69" s="5">
        <v>1</v>
      </c>
      <c r="Y69" s="5">
        <v>1235.24</v>
      </c>
      <c r="Z69" s="5">
        <v>11930.88</v>
      </c>
      <c r="AA69" s="5">
        <v>1</v>
      </c>
      <c r="AB69" s="5">
        <v>11930.88</v>
      </c>
    </row>
    <row r="70" spans="1:28" x14ac:dyDescent="0.2">
      <c r="A70" s="5">
        <v>50</v>
      </c>
      <c r="B70" s="5">
        <v>0</v>
      </c>
      <c r="C70" s="5">
        <v>0</v>
      </c>
      <c r="D70" s="5">
        <v>1</v>
      </c>
      <c r="E70" s="5">
        <v>227</v>
      </c>
      <c r="F70" s="5">
        <f>ROUND(Source!AX63,O70)</f>
        <v>0</v>
      </c>
      <c r="G70" s="5" t="s">
        <v>116</v>
      </c>
      <c r="H70" s="5" t="s">
        <v>117</v>
      </c>
      <c r="I70" s="5"/>
      <c r="J70" s="5"/>
      <c r="K70" s="5">
        <v>227</v>
      </c>
      <c r="L70" s="5">
        <v>6</v>
      </c>
      <c r="M70" s="5">
        <v>3</v>
      </c>
      <c r="N70" s="5" t="s">
        <v>3</v>
      </c>
      <c r="O70" s="5">
        <v>2</v>
      </c>
      <c r="P70" s="5">
        <f>ROUND(Source!EP63,O70)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x14ac:dyDescent="0.2">
      <c r="A71" s="5">
        <v>50</v>
      </c>
      <c r="B71" s="5">
        <v>0</v>
      </c>
      <c r="C71" s="5">
        <v>0</v>
      </c>
      <c r="D71" s="5">
        <v>1</v>
      </c>
      <c r="E71" s="5">
        <v>228</v>
      </c>
      <c r="F71" s="5">
        <f>ROUND(Source!AY63,O71)</f>
        <v>1235.24</v>
      </c>
      <c r="G71" s="5" t="s">
        <v>118</v>
      </c>
      <c r="H71" s="5" t="s">
        <v>119</v>
      </c>
      <c r="I71" s="5"/>
      <c r="J71" s="5"/>
      <c r="K71" s="5">
        <v>228</v>
      </c>
      <c r="L71" s="5">
        <v>7</v>
      </c>
      <c r="M71" s="5">
        <v>3</v>
      </c>
      <c r="N71" s="5" t="s">
        <v>3</v>
      </c>
      <c r="O71" s="5">
        <v>2</v>
      </c>
      <c r="P71" s="5">
        <f>ROUND(Source!EQ63,O71)</f>
        <v>11930.88</v>
      </c>
      <c r="Q71" s="5"/>
      <c r="R71" s="5"/>
      <c r="S71" s="5"/>
      <c r="T71" s="5"/>
      <c r="U71" s="5"/>
      <c r="V71" s="5"/>
      <c r="W71" s="5">
        <v>1235.24</v>
      </c>
      <c r="X71" s="5">
        <v>1</v>
      </c>
      <c r="Y71" s="5">
        <v>1235.24</v>
      </c>
      <c r="Z71" s="5">
        <v>11930.88</v>
      </c>
      <c r="AA71" s="5">
        <v>1</v>
      </c>
      <c r="AB71" s="5">
        <v>11930.88</v>
      </c>
    </row>
    <row r="72" spans="1:28" x14ac:dyDescent="0.2">
      <c r="A72" s="5">
        <v>50</v>
      </c>
      <c r="B72" s="5">
        <v>0</v>
      </c>
      <c r="C72" s="5">
        <v>0</v>
      </c>
      <c r="D72" s="5">
        <v>1</v>
      </c>
      <c r="E72" s="5">
        <v>216</v>
      </c>
      <c r="F72" s="5">
        <f>ROUND(Source!AP63,O72)</f>
        <v>0</v>
      </c>
      <c r="G72" s="5" t="s">
        <v>120</v>
      </c>
      <c r="H72" s="5" t="s">
        <v>121</v>
      </c>
      <c r="I72" s="5"/>
      <c r="J72" s="5"/>
      <c r="K72" s="5">
        <v>216</v>
      </c>
      <c r="L72" s="5">
        <v>8</v>
      </c>
      <c r="M72" s="5">
        <v>3</v>
      </c>
      <c r="N72" s="5" t="s">
        <v>3</v>
      </c>
      <c r="O72" s="5">
        <v>2</v>
      </c>
      <c r="P72" s="5">
        <f>ROUND(Source!EH63,O72)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x14ac:dyDescent="0.2">
      <c r="A73" s="5">
        <v>50</v>
      </c>
      <c r="B73" s="5">
        <v>0</v>
      </c>
      <c r="C73" s="5">
        <v>0</v>
      </c>
      <c r="D73" s="5">
        <v>1</v>
      </c>
      <c r="E73" s="5">
        <v>223</v>
      </c>
      <c r="F73" s="5">
        <f>ROUND(Source!AQ63,O73)</f>
        <v>0</v>
      </c>
      <c r="G73" s="5" t="s">
        <v>122</v>
      </c>
      <c r="H73" s="5" t="s">
        <v>123</v>
      </c>
      <c r="I73" s="5"/>
      <c r="J73" s="5"/>
      <c r="K73" s="5">
        <v>223</v>
      </c>
      <c r="L73" s="5">
        <v>9</v>
      </c>
      <c r="M73" s="5">
        <v>3</v>
      </c>
      <c r="N73" s="5" t="s">
        <v>3</v>
      </c>
      <c r="O73" s="5">
        <v>2</v>
      </c>
      <c r="P73" s="5">
        <f>ROUND(Source!EI63,O73)</f>
        <v>0</v>
      </c>
      <c r="Q73" s="5"/>
      <c r="R73" s="5"/>
      <c r="S73" s="5"/>
      <c r="T73" s="5"/>
      <c r="U73" s="5"/>
      <c r="V73" s="5"/>
      <c r="W73" s="5">
        <v>0</v>
      </c>
      <c r="X73" s="5">
        <v>1</v>
      </c>
      <c r="Y73" s="5">
        <v>0</v>
      </c>
      <c r="Z73" s="5">
        <v>0</v>
      </c>
      <c r="AA73" s="5">
        <v>1</v>
      </c>
      <c r="AB73" s="5">
        <v>0</v>
      </c>
    </row>
    <row r="74" spans="1:28" x14ac:dyDescent="0.2">
      <c r="A74" s="5">
        <v>50</v>
      </c>
      <c r="B74" s="5">
        <v>0</v>
      </c>
      <c r="C74" s="5">
        <v>0</v>
      </c>
      <c r="D74" s="5">
        <v>1</v>
      </c>
      <c r="E74" s="5">
        <v>229</v>
      </c>
      <c r="F74" s="5">
        <f>ROUND(Source!AZ63,O74)</f>
        <v>0</v>
      </c>
      <c r="G74" s="5" t="s">
        <v>124</v>
      </c>
      <c r="H74" s="5" t="s">
        <v>125</v>
      </c>
      <c r="I74" s="5"/>
      <c r="J74" s="5"/>
      <c r="K74" s="5">
        <v>229</v>
      </c>
      <c r="L74" s="5">
        <v>10</v>
      </c>
      <c r="M74" s="5">
        <v>3</v>
      </c>
      <c r="N74" s="5" t="s">
        <v>3</v>
      </c>
      <c r="O74" s="5">
        <v>2</v>
      </c>
      <c r="P74" s="5">
        <f>ROUND(Source!ER63,O74)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8" x14ac:dyDescent="0.2">
      <c r="A75" s="5">
        <v>50</v>
      </c>
      <c r="B75" s="5">
        <v>0</v>
      </c>
      <c r="C75" s="5">
        <v>0</v>
      </c>
      <c r="D75" s="5">
        <v>1</v>
      </c>
      <c r="E75" s="5">
        <v>203</v>
      </c>
      <c r="F75" s="5">
        <f>ROUND(Source!Q63,O75)</f>
        <v>40.6</v>
      </c>
      <c r="G75" s="5" t="s">
        <v>126</v>
      </c>
      <c r="H75" s="5" t="s">
        <v>127</v>
      </c>
      <c r="I75" s="5"/>
      <c r="J75" s="5"/>
      <c r="K75" s="5">
        <v>203</v>
      </c>
      <c r="L75" s="5">
        <v>11</v>
      </c>
      <c r="M75" s="5">
        <v>3</v>
      </c>
      <c r="N75" s="5" t="s">
        <v>3</v>
      </c>
      <c r="O75" s="5">
        <v>2</v>
      </c>
      <c r="P75" s="5">
        <f>ROUND(Source!DI63,O75)</f>
        <v>492.35</v>
      </c>
      <c r="Q75" s="5"/>
      <c r="R75" s="5"/>
      <c r="S75" s="5"/>
      <c r="T75" s="5"/>
      <c r="U75" s="5"/>
      <c r="V75" s="5"/>
      <c r="W75" s="5">
        <v>40.6</v>
      </c>
      <c r="X75" s="5">
        <v>1</v>
      </c>
      <c r="Y75" s="5">
        <v>40.6</v>
      </c>
      <c r="Z75" s="5">
        <v>492.35</v>
      </c>
      <c r="AA75" s="5">
        <v>1</v>
      </c>
      <c r="AB75" s="5">
        <v>492.35</v>
      </c>
    </row>
    <row r="76" spans="1:28" x14ac:dyDescent="0.2">
      <c r="A76" s="5">
        <v>50</v>
      </c>
      <c r="B76" s="5">
        <v>0</v>
      </c>
      <c r="C76" s="5">
        <v>0</v>
      </c>
      <c r="D76" s="5">
        <v>1</v>
      </c>
      <c r="E76" s="5">
        <v>231</v>
      </c>
      <c r="F76" s="5">
        <f>ROUND(Source!BB63,O76)</f>
        <v>0</v>
      </c>
      <c r="G76" s="5" t="s">
        <v>128</v>
      </c>
      <c r="H76" s="5" t="s">
        <v>129</v>
      </c>
      <c r="I76" s="5"/>
      <c r="J76" s="5"/>
      <c r="K76" s="5">
        <v>231</v>
      </c>
      <c r="L76" s="5">
        <v>12</v>
      </c>
      <c r="M76" s="5">
        <v>3</v>
      </c>
      <c r="N76" s="5" t="s">
        <v>3</v>
      </c>
      <c r="O76" s="5">
        <v>2</v>
      </c>
      <c r="P76" s="5">
        <f>ROUND(Source!ET63,O76)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8" x14ac:dyDescent="0.2">
      <c r="A77" s="5">
        <v>50</v>
      </c>
      <c r="B77" s="5">
        <v>0</v>
      </c>
      <c r="C77" s="5">
        <v>0</v>
      </c>
      <c r="D77" s="5">
        <v>1</v>
      </c>
      <c r="E77" s="5">
        <v>204</v>
      </c>
      <c r="F77" s="5">
        <f>ROUND(Source!R63,O77)</f>
        <v>4.05</v>
      </c>
      <c r="G77" s="5" t="s">
        <v>130</v>
      </c>
      <c r="H77" s="5" t="s">
        <v>131</v>
      </c>
      <c r="I77" s="5"/>
      <c r="J77" s="5"/>
      <c r="K77" s="5">
        <v>204</v>
      </c>
      <c r="L77" s="5">
        <v>13</v>
      </c>
      <c r="M77" s="5">
        <v>3</v>
      </c>
      <c r="N77" s="5" t="s">
        <v>3</v>
      </c>
      <c r="O77" s="5">
        <v>2</v>
      </c>
      <c r="P77" s="5">
        <f>ROUND(Source!DJ63,O77)</f>
        <v>139.77000000000001</v>
      </c>
      <c r="Q77" s="5"/>
      <c r="R77" s="5"/>
      <c r="S77" s="5"/>
      <c r="T77" s="5"/>
      <c r="U77" s="5"/>
      <c r="V77" s="5"/>
      <c r="W77" s="5">
        <v>4.05</v>
      </c>
      <c r="X77" s="5">
        <v>1</v>
      </c>
      <c r="Y77" s="5">
        <v>4.05</v>
      </c>
      <c r="Z77" s="5">
        <v>139.77000000000001</v>
      </c>
      <c r="AA77" s="5">
        <v>1</v>
      </c>
      <c r="AB77" s="5">
        <v>139.77000000000001</v>
      </c>
    </row>
    <row r="78" spans="1:28" x14ac:dyDescent="0.2">
      <c r="A78" s="5">
        <v>50</v>
      </c>
      <c r="B78" s="5">
        <v>0</v>
      </c>
      <c r="C78" s="5">
        <v>0</v>
      </c>
      <c r="D78" s="5">
        <v>1</v>
      </c>
      <c r="E78" s="5">
        <v>205</v>
      </c>
      <c r="F78" s="5">
        <f>ROUND(Source!S63,O78)</f>
        <v>48.34</v>
      </c>
      <c r="G78" s="5" t="s">
        <v>132</v>
      </c>
      <c r="H78" s="5" t="s">
        <v>133</v>
      </c>
      <c r="I78" s="5"/>
      <c r="J78" s="5"/>
      <c r="K78" s="5">
        <v>205</v>
      </c>
      <c r="L78" s="5">
        <v>14</v>
      </c>
      <c r="M78" s="5">
        <v>3</v>
      </c>
      <c r="N78" s="5" t="s">
        <v>3</v>
      </c>
      <c r="O78" s="5">
        <v>2</v>
      </c>
      <c r="P78" s="5">
        <f>ROUND(Source!DK63,O78)</f>
        <v>1668.22</v>
      </c>
      <c r="Q78" s="5"/>
      <c r="R78" s="5"/>
      <c r="S78" s="5"/>
      <c r="T78" s="5"/>
      <c r="U78" s="5"/>
      <c r="V78" s="5"/>
      <c r="W78" s="5">
        <v>48.34</v>
      </c>
      <c r="X78" s="5">
        <v>1</v>
      </c>
      <c r="Y78" s="5">
        <v>48.34</v>
      </c>
      <c r="Z78" s="5">
        <v>1668.22</v>
      </c>
      <c r="AA78" s="5">
        <v>1</v>
      </c>
      <c r="AB78" s="5">
        <v>1668.22</v>
      </c>
    </row>
    <row r="79" spans="1:28" x14ac:dyDescent="0.2">
      <c r="A79" s="5">
        <v>50</v>
      </c>
      <c r="B79" s="5">
        <v>0</v>
      </c>
      <c r="C79" s="5">
        <v>0</v>
      </c>
      <c r="D79" s="5">
        <v>1</v>
      </c>
      <c r="E79" s="5">
        <v>232</v>
      </c>
      <c r="F79" s="5">
        <f>ROUND(Source!BC63,O79)</f>
        <v>0</v>
      </c>
      <c r="G79" s="5" t="s">
        <v>134</v>
      </c>
      <c r="H79" s="5" t="s">
        <v>135</v>
      </c>
      <c r="I79" s="5"/>
      <c r="J79" s="5"/>
      <c r="K79" s="5">
        <v>232</v>
      </c>
      <c r="L79" s="5">
        <v>15</v>
      </c>
      <c r="M79" s="5">
        <v>3</v>
      </c>
      <c r="N79" s="5" t="s">
        <v>3</v>
      </c>
      <c r="O79" s="5">
        <v>2</v>
      </c>
      <c r="P79" s="5">
        <f>ROUND(Source!EU63,O79)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8" x14ac:dyDescent="0.2">
      <c r="A80" s="5">
        <v>50</v>
      </c>
      <c r="B80" s="5">
        <v>0</v>
      </c>
      <c r="C80" s="5">
        <v>0</v>
      </c>
      <c r="D80" s="5">
        <v>1</v>
      </c>
      <c r="E80" s="5">
        <v>214</v>
      </c>
      <c r="F80" s="5">
        <f>ROUND(Source!AS63,O80)</f>
        <v>1419.19</v>
      </c>
      <c r="G80" s="5" t="s">
        <v>136</v>
      </c>
      <c r="H80" s="5" t="s">
        <v>137</v>
      </c>
      <c r="I80" s="5"/>
      <c r="J80" s="5"/>
      <c r="K80" s="5">
        <v>214</v>
      </c>
      <c r="L80" s="5">
        <v>16</v>
      </c>
      <c r="M80" s="5">
        <v>3</v>
      </c>
      <c r="N80" s="5" t="s">
        <v>3</v>
      </c>
      <c r="O80" s="5">
        <v>2</v>
      </c>
      <c r="P80" s="5">
        <f>ROUND(Source!EK63,O80)</f>
        <v>16485.61</v>
      </c>
      <c r="Q80" s="5"/>
      <c r="R80" s="5"/>
      <c r="S80" s="5"/>
      <c r="T80" s="5"/>
      <c r="U80" s="5"/>
      <c r="V80" s="5"/>
      <c r="W80" s="5">
        <v>1419.19</v>
      </c>
      <c r="X80" s="5">
        <v>1</v>
      </c>
      <c r="Y80" s="5">
        <v>1419.19</v>
      </c>
      <c r="Z80" s="5">
        <v>16485.61</v>
      </c>
      <c r="AA80" s="5">
        <v>1</v>
      </c>
      <c r="AB80" s="5">
        <v>16485.61</v>
      </c>
    </row>
    <row r="81" spans="1:206" x14ac:dyDescent="0.2">
      <c r="A81" s="5">
        <v>50</v>
      </c>
      <c r="B81" s="5">
        <v>0</v>
      </c>
      <c r="C81" s="5">
        <v>0</v>
      </c>
      <c r="D81" s="5">
        <v>1</v>
      </c>
      <c r="E81" s="5">
        <v>215</v>
      </c>
      <c r="F81" s="5">
        <f>ROUND(Source!AT63,O81)</f>
        <v>0</v>
      </c>
      <c r="G81" s="5" t="s">
        <v>138</v>
      </c>
      <c r="H81" s="5" t="s">
        <v>139</v>
      </c>
      <c r="I81" s="5"/>
      <c r="J81" s="5"/>
      <c r="K81" s="5">
        <v>215</v>
      </c>
      <c r="L81" s="5">
        <v>17</v>
      </c>
      <c r="M81" s="5">
        <v>3</v>
      </c>
      <c r="N81" s="5" t="s">
        <v>3</v>
      </c>
      <c r="O81" s="5">
        <v>2</v>
      </c>
      <c r="P81" s="5">
        <f>ROUND(Source!EL63,O81)</f>
        <v>0</v>
      </c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</row>
    <row r="82" spans="1:206" x14ac:dyDescent="0.2">
      <c r="A82" s="5">
        <v>50</v>
      </c>
      <c r="B82" s="5">
        <v>0</v>
      </c>
      <c r="C82" s="5">
        <v>0</v>
      </c>
      <c r="D82" s="5">
        <v>1</v>
      </c>
      <c r="E82" s="5">
        <v>217</v>
      </c>
      <c r="F82" s="5">
        <f>ROUND(Source!AU63,O82)</f>
        <v>0</v>
      </c>
      <c r="G82" s="5" t="s">
        <v>140</v>
      </c>
      <c r="H82" s="5" t="s">
        <v>141</v>
      </c>
      <c r="I82" s="5"/>
      <c r="J82" s="5"/>
      <c r="K82" s="5">
        <v>217</v>
      </c>
      <c r="L82" s="5">
        <v>18</v>
      </c>
      <c r="M82" s="5">
        <v>3</v>
      </c>
      <c r="N82" s="5" t="s">
        <v>3</v>
      </c>
      <c r="O82" s="5">
        <v>2</v>
      </c>
      <c r="P82" s="5">
        <f>ROUND(Source!EM63,O82)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06" x14ac:dyDescent="0.2">
      <c r="A83" s="5">
        <v>50</v>
      </c>
      <c r="B83" s="5">
        <v>0</v>
      </c>
      <c r="C83" s="5">
        <v>0</v>
      </c>
      <c r="D83" s="5">
        <v>1</v>
      </c>
      <c r="E83" s="5">
        <v>230</v>
      </c>
      <c r="F83" s="5">
        <f>ROUND(Source!BA63,O83)</f>
        <v>0</v>
      </c>
      <c r="G83" s="5" t="s">
        <v>142</v>
      </c>
      <c r="H83" s="5" t="s">
        <v>143</v>
      </c>
      <c r="I83" s="5"/>
      <c r="J83" s="5"/>
      <c r="K83" s="5">
        <v>230</v>
      </c>
      <c r="L83" s="5">
        <v>19</v>
      </c>
      <c r="M83" s="5">
        <v>3</v>
      </c>
      <c r="N83" s="5" t="s">
        <v>3</v>
      </c>
      <c r="O83" s="5">
        <v>2</v>
      </c>
      <c r="P83" s="5">
        <f>ROUND(Source!ES63,O83)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06" x14ac:dyDescent="0.2">
      <c r="A84" s="5">
        <v>50</v>
      </c>
      <c r="B84" s="5">
        <v>0</v>
      </c>
      <c r="C84" s="5">
        <v>0</v>
      </c>
      <c r="D84" s="5">
        <v>1</v>
      </c>
      <c r="E84" s="5">
        <v>206</v>
      </c>
      <c r="F84" s="5">
        <f>ROUND(Source!T63,O84)</f>
        <v>0</v>
      </c>
      <c r="G84" s="5" t="s">
        <v>144</v>
      </c>
      <c r="H84" s="5" t="s">
        <v>145</v>
      </c>
      <c r="I84" s="5"/>
      <c r="J84" s="5"/>
      <c r="K84" s="5">
        <v>206</v>
      </c>
      <c r="L84" s="5">
        <v>20</v>
      </c>
      <c r="M84" s="5">
        <v>3</v>
      </c>
      <c r="N84" s="5" t="s">
        <v>3</v>
      </c>
      <c r="O84" s="5">
        <v>2</v>
      </c>
      <c r="P84" s="5">
        <f>ROUND(Source!DL63,O84)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06" x14ac:dyDescent="0.2">
      <c r="A85" s="5">
        <v>50</v>
      </c>
      <c r="B85" s="5">
        <v>0</v>
      </c>
      <c r="C85" s="5">
        <v>0</v>
      </c>
      <c r="D85" s="5">
        <v>1</v>
      </c>
      <c r="E85" s="5">
        <v>207</v>
      </c>
      <c r="F85" s="5">
        <f>Source!U63</f>
        <v>4.5858407108800012</v>
      </c>
      <c r="G85" s="5" t="s">
        <v>146</v>
      </c>
      <c r="H85" s="5" t="s">
        <v>147</v>
      </c>
      <c r="I85" s="5"/>
      <c r="J85" s="5"/>
      <c r="K85" s="5">
        <v>207</v>
      </c>
      <c r="L85" s="5">
        <v>21</v>
      </c>
      <c r="M85" s="5">
        <v>3</v>
      </c>
      <c r="N85" s="5" t="s">
        <v>3</v>
      </c>
      <c r="O85" s="5">
        <v>-1</v>
      </c>
      <c r="P85" s="5">
        <f>Source!DM63</f>
        <v>4.5858407108800012</v>
      </c>
      <c r="Q85" s="5"/>
      <c r="R85" s="5"/>
      <c r="S85" s="5"/>
      <c r="T85" s="5"/>
      <c r="U85" s="5"/>
      <c r="V85" s="5"/>
      <c r="W85" s="5">
        <v>4.5858407108800003</v>
      </c>
      <c r="X85" s="5">
        <v>1</v>
      </c>
      <c r="Y85" s="5">
        <v>4.5858407108800003</v>
      </c>
      <c r="Z85" s="5">
        <v>4.5858407108800003</v>
      </c>
      <c r="AA85" s="5">
        <v>1</v>
      </c>
      <c r="AB85" s="5">
        <v>4.5858407108800003</v>
      </c>
    </row>
    <row r="86" spans="1:206" x14ac:dyDescent="0.2">
      <c r="A86" s="5">
        <v>50</v>
      </c>
      <c r="B86" s="5">
        <v>0</v>
      </c>
      <c r="C86" s="5">
        <v>0</v>
      </c>
      <c r="D86" s="5">
        <v>1</v>
      </c>
      <c r="E86" s="5">
        <v>208</v>
      </c>
      <c r="F86" s="5">
        <f>Source!V63</f>
        <v>0</v>
      </c>
      <c r="G86" s="5" t="s">
        <v>148</v>
      </c>
      <c r="H86" s="5" t="s">
        <v>149</v>
      </c>
      <c r="I86" s="5"/>
      <c r="J86" s="5"/>
      <c r="K86" s="5">
        <v>208</v>
      </c>
      <c r="L86" s="5">
        <v>22</v>
      </c>
      <c r="M86" s="5">
        <v>3</v>
      </c>
      <c r="N86" s="5" t="s">
        <v>3</v>
      </c>
      <c r="O86" s="5">
        <v>-1</v>
      </c>
      <c r="P86" s="5">
        <f>Source!DN63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06" x14ac:dyDescent="0.2">
      <c r="A87" s="5">
        <v>50</v>
      </c>
      <c r="B87" s="5">
        <v>0</v>
      </c>
      <c r="C87" s="5">
        <v>0</v>
      </c>
      <c r="D87" s="5">
        <v>1</v>
      </c>
      <c r="E87" s="5">
        <v>209</v>
      </c>
      <c r="F87" s="5">
        <f>ROUND(Source!W63,O87)</f>
        <v>0</v>
      </c>
      <c r="G87" s="5" t="s">
        <v>150</v>
      </c>
      <c r="H87" s="5" t="s">
        <v>151</v>
      </c>
      <c r="I87" s="5"/>
      <c r="J87" s="5"/>
      <c r="K87" s="5">
        <v>209</v>
      </c>
      <c r="L87" s="5">
        <v>23</v>
      </c>
      <c r="M87" s="5">
        <v>3</v>
      </c>
      <c r="N87" s="5" t="s">
        <v>3</v>
      </c>
      <c r="O87" s="5">
        <v>2</v>
      </c>
      <c r="P87" s="5">
        <f>ROUND(Source!DO63,O87)</f>
        <v>0</v>
      </c>
      <c r="Q87" s="5"/>
      <c r="R87" s="5"/>
      <c r="S87" s="5"/>
      <c r="T87" s="5"/>
      <c r="U87" s="5"/>
      <c r="V87" s="5"/>
      <c r="W87" s="5">
        <v>0</v>
      </c>
      <c r="X87" s="5">
        <v>1</v>
      </c>
      <c r="Y87" s="5">
        <v>0</v>
      </c>
      <c r="Z87" s="5">
        <v>0</v>
      </c>
      <c r="AA87" s="5">
        <v>1</v>
      </c>
      <c r="AB87" s="5">
        <v>0</v>
      </c>
    </row>
    <row r="88" spans="1:206" x14ac:dyDescent="0.2">
      <c r="A88" s="5">
        <v>50</v>
      </c>
      <c r="B88" s="5">
        <v>0</v>
      </c>
      <c r="C88" s="5">
        <v>0</v>
      </c>
      <c r="D88" s="5">
        <v>1</v>
      </c>
      <c r="E88" s="5">
        <v>233</v>
      </c>
      <c r="F88" s="5">
        <f>ROUND(Source!BD63,O88)</f>
        <v>0</v>
      </c>
      <c r="G88" s="5" t="s">
        <v>152</v>
      </c>
      <c r="H88" s="5" t="s">
        <v>153</v>
      </c>
      <c r="I88" s="5"/>
      <c r="J88" s="5"/>
      <c r="K88" s="5">
        <v>233</v>
      </c>
      <c r="L88" s="5">
        <v>24</v>
      </c>
      <c r="M88" s="5">
        <v>3</v>
      </c>
      <c r="N88" s="5" t="s">
        <v>3</v>
      </c>
      <c r="O88" s="5">
        <v>2</v>
      </c>
      <c r="P88" s="5">
        <f>ROUND(Source!EV63,O88)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06" x14ac:dyDescent="0.2">
      <c r="A89" s="5">
        <v>50</v>
      </c>
      <c r="B89" s="5">
        <v>0</v>
      </c>
      <c r="C89" s="5">
        <v>0</v>
      </c>
      <c r="D89" s="5">
        <v>1</v>
      </c>
      <c r="E89" s="5">
        <v>210</v>
      </c>
      <c r="F89" s="5">
        <f>ROUND(Source!X63,O89)</f>
        <v>52</v>
      </c>
      <c r="G89" s="5" t="s">
        <v>154</v>
      </c>
      <c r="H89" s="5" t="s">
        <v>155</v>
      </c>
      <c r="I89" s="5"/>
      <c r="J89" s="5"/>
      <c r="K89" s="5">
        <v>210</v>
      </c>
      <c r="L89" s="5">
        <v>25</v>
      </c>
      <c r="M89" s="5">
        <v>3</v>
      </c>
      <c r="N89" s="5" t="s">
        <v>3</v>
      </c>
      <c r="O89" s="5">
        <v>2</v>
      </c>
      <c r="P89" s="5">
        <f>ROUND(Source!DP63,O89)</f>
        <v>1484.58</v>
      </c>
      <c r="Q89" s="5"/>
      <c r="R89" s="5"/>
      <c r="S89" s="5"/>
      <c r="T89" s="5"/>
      <c r="U89" s="5"/>
      <c r="V89" s="5"/>
      <c r="W89" s="5">
        <v>52</v>
      </c>
      <c r="X89" s="5">
        <v>1</v>
      </c>
      <c r="Y89" s="5">
        <v>52</v>
      </c>
      <c r="Z89" s="5">
        <v>1484.58</v>
      </c>
      <c r="AA89" s="5">
        <v>1</v>
      </c>
      <c r="AB89" s="5">
        <v>1484.58</v>
      </c>
    </row>
    <row r="90" spans="1:206" x14ac:dyDescent="0.2">
      <c r="A90" s="5">
        <v>50</v>
      </c>
      <c r="B90" s="5">
        <v>0</v>
      </c>
      <c r="C90" s="5">
        <v>0</v>
      </c>
      <c r="D90" s="5">
        <v>1</v>
      </c>
      <c r="E90" s="5">
        <v>211</v>
      </c>
      <c r="F90" s="5">
        <f>ROUND(Source!Y63,O90)</f>
        <v>35.92</v>
      </c>
      <c r="G90" s="5" t="s">
        <v>156</v>
      </c>
      <c r="H90" s="5" t="s">
        <v>157</v>
      </c>
      <c r="I90" s="5"/>
      <c r="J90" s="5"/>
      <c r="K90" s="5">
        <v>211</v>
      </c>
      <c r="L90" s="5">
        <v>26</v>
      </c>
      <c r="M90" s="5">
        <v>3</v>
      </c>
      <c r="N90" s="5" t="s">
        <v>3</v>
      </c>
      <c r="O90" s="5">
        <v>2</v>
      </c>
      <c r="P90" s="5">
        <f>ROUND(Source!DQ63,O90)</f>
        <v>685.96</v>
      </c>
      <c r="Q90" s="5"/>
      <c r="R90" s="5"/>
      <c r="S90" s="5"/>
      <c r="T90" s="5"/>
      <c r="U90" s="5"/>
      <c r="V90" s="5"/>
      <c r="W90" s="5">
        <v>35.92</v>
      </c>
      <c r="X90" s="5">
        <v>1</v>
      </c>
      <c r="Y90" s="5">
        <v>35.92</v>
      </c>
      <c r="Z90" s="5">
        <v>685.96</v>
      </c>
      <c r="AA90" s="5">
        <v>1</v>
      </c>
      <c r="AB90" s="5">
        <v>685.96</v>
      </c>
    </row>
    <row r="91" spans="1:206" x14ac:dyDescent="0.2">
      <c r="A91" s="5">
        <v>50</v>
      </c>
      <c r="B91" s="5">
        <v>0</v>
      </c>
      <c r="C91" s="5">
        <v>0</v>
      </c>
      <c r="D91" s="5">
        <v>1</v>
      </c>
      <c r="E91" s="5">
        <v>224</v>
      </c>
      <c r="F91" s="5">
        <f>ROUND(Source!AR63,O91)</f>
        <v>1419.19</v>
      </c>
      <c r="G91" s="5" t="s">
        <v>158</v>
      </c>
      <c r="H91" s="5" t="s">
        <v>159</v>
      </c>
      <c r="I91" s="5"/>
      <c r="J91" s="5"/>
      <c r="K91" s="5">
        <v>224</v>
      </c>
      <c r="L91" s="5">
        <v>27</v>
      </c>
      <c r="M91" s="5">
        <v>3</v>
      </c>
      <c r="N91" s="5" t="s">
        <v>3</v>
      </c>
      <c r="O91" s="5">
        <v>2</v>
      </c>
      <c r="P91" s="5">
        <f>ROUND(Source!EJ63,O91)</f>
        <v>16485.61</v>
      </c>
      <c r="Q91" s="5"/>
      <c r="R91" s="5"/>
      <c r="S91" s="5"/>
      <c r="T91" s="5"/>
      <c r="U91" s="5"/>
      <c r="V91" s="5"/>
      <c r="W91" s="5">
        <v>1419.19</v>
      </c>
      <c r="X91" s="5">
        <v>1</v>
      </c>
      <c r="Y91" s="5">
        <v>1419.19</v>
      </c>
      <c r="Z91" s="5">
        <v>16485.61</v>
      </c>
      <c r="AA91" s="5">
        <v>1</v>
      </c>
      <c r="AB91" s="5">
        <v>16485.61</v>
      </c>
    </row>
    <row r="93" spans="1:206" x14ac:dyDescent="0.2">
      <c r="A93" s="1">
        <v>4</v>
      </c>
      <c r="B93" s="1">
        <v>1</v>
      </c>
      <c r="C93" s="1"/>
      <c r="D93" s="1">
        <f>ROW(A134)</f>
        <v>134</v>
      </c>
      <c r="E93" s="1"/>
      <c r="F93" s="1" t="s">
        <v>15</v>
      </c>
      <c r="G93" s="1" t="s">
        <v>160</v>
      </c>
      <c r="H93" s="1" t="s">
        <v>3</v>
      </c>
      <c r="I93" s="1">
        <v>0</v>
      </c>
      <c r="J93" s="1"/>
      <c r="K93" s="1">
        <v>-1</v>
      </c>
      <c r="L93" s="1"/>
      <c r="M93" s="1" t="s">
        <v>3</v>
      </c>
      <c r="N93" s="1"/>
      <c r="O93" s="1"/>
      <c r="P93" s="1"/>
      <c r="Q93" s="1"/>
      <c r="R93" s="1"/>
      <c r="S93" s="1">
        <v>0</v>
      </c>
      <c r="T93" s="1">
        <v>0</v>
      </c>
      <c r="U93" s="1" t="s">
        <v>3</v>
      </c>
      <c r="V93" s="1">
        <v>0</v>
      </c>
      <c r="W93" s="1"/>
      <c r="X93" s="1"/>
      <c r="Y93" s="1"/>
      <c r="Z93" s="1"/>
      <c r="AA93" s="1"/>
      <c r="AB93" s="1" t="s">
        <v>3</v>
      </c>
      <c r="AC93" s="1" t="s">
        <v>3</v>
      </c>
      <c r="AD93" s="1" t="s">
        <v>3</v>
      </c>
      <c r="AE93" s="1" t="s">
        <v>3</v>
      </c>
      <c r="AF93" s="1" t="s">
        <v>3</v>
      </c>
      <c r="AG93" s="1" t="s">
        <v>3</v>
      </c>
      <c r="AH93" s="1"/>
      <c r="AI93" s="1"/>
      <c r="AJ93" s="1"/>
      <c r="AK93" s="1"/>
      <c r="AL93" s="1"/>
      <c r="AM93" s="1"/>
      <c r="AN93" s="1"/>
      <c r="AO93" s="1"/>
      <c r="AP93" s="1" t="s">
        <v>3</v>
      </c>
      <c r="AQ93" s="1" t="s">
        <v>3</v>
      </c>
      <c r="AR93" s="1" t="s">
        <v>3</v>
      </c>
      <c r="AS93" s="1"/>
      <c r="AT93" s="1"/>
      <c r="AU93" s="1"/>
      <c r="AV93" s="1"/>
      <c r="AW93" s="1"/>
      <c r="AX93" s="1"/>
      <c r="AY93" s="1"/>
      <c r="AZ93" s="1" t="s">
        <v>3</v>
      </c>
      <c r="BA93" s="1"/>
      <c r="BB93" s="1" t="s">
        <v>3</v>
      </c>
      <c r="BC93" s="1" t="s">
        <v>3</v>
      </c>
      <c r="BD93" s="1" t="s">
        <v>3</v>
      </c>
      <c r="BE93" s="1" t="s">
        <v>3</v>
      </c>
      <c r="BF93" s="1" t="s">
        <v>3</v>
      </c>
      <c r="BG93" s="1" t="s">
        <v>3</v>
      </c>
      <c r="BH93" s="1" t="s">
        <v>3</v>
      </c>
      <c r="BI93" s="1" t="s">
        <v>3</v>
      </c>
      <c r="BJ93" s="1" t="s">
        <v>3</v>
      </c>
      <c r="BK93" s="1" t="s">
        <v>3</v>
      </c>
      <c r="BL93" s="1" t="s">
        <v>3</v>
      </c>
      <c r="BM93" s="1" t="s">
        <v>3</v>
      </c>
      <c r="BN93" s="1" t="s">
        <v>3</v>
      </c>
      <c r="BO93" s="1" t="s">
        <v>3</v>
      </c>
      <c r="BP93" s="1" t="s">
        <v>3</v>
      </c>
      <c r="BQ93" s="1"/>
      <c r="BR93" s="1"/>
      <c r="BS93" s="1"/>
      <c r="BT93" s="1"/>
      <c r="BU93" s="1"/>
      <c r="BV93" s="1"/>
      <c r="BW93" s="1"/>
      <c r="BX93" s="1">
        <v>0</v>
      </c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>
        <v>0</v>
      </c>
    </row>
    <row r="95" spans="1:206" x14ac:dyDescent="0.2">
      <c r="A95" s="3">
        <v>52</v>
      </c>
      <c r="B95" s="3">
        <f t="shared" ref="B95:G95" si="74">B134</f>
        <v>1</v>
      </c>
      <c r="C95" s="3">
        <f t="shared" si="74"/>
        <v>4</v>
      </c>
      <c r="D95" s="3">
        <f t="shared" si="74"/>
        <v>93</v>
      </c>
      <c r="E95" s="3">
        <f t="shared" si="74"/>
        <v>0</v>
      </c>
      <c r="F95" s="3" t="str">
        <f t="shared" si="74"/>
        <v>Новый раздел</v>
      </c>
      <c r="G95" s="3" t="str">
        <f t="shared" si="74"/>
        <v>Монтажные работы 20% c к-том 1.2</v>
      </c>
      <c r="H95" s="3"/>
      <c r="I95" s="3"/>
      <c r="J95" s="3"/>
      <c r="K95" s="3"/>
      <c r="L95" s="3"/>
      <c r="M95" s="3"/>
      <c r="N95" s="3"/>
      <c r="O95" s="3">
        <f t="shared" ref="O95:AT95" si="75">O134</f>
        <v>4736.26</v>
      </c>
      <c r="P95" s="3">
        <f t="shared" si="75"/>
        <v>4346.3500000000004</v>
      </c>
      <c r="Q95" s="3">
        <f t="shared" si="75"/>
        <v>93.35</v>
      </c>
      <c r="R95" s="3">
        <f t="shared" si="75"/>
        <v>8.92</v>
      </c>
      <c r="S95" s="3">
        <f t="shared" si="75"/>
        <v>296.56</v>
      </c>
      <c r="T95" s="3">
        <f t="shared" si="75"/>
        <v>0</v>
      </c>
      <c r="U95" s="3">
        <f t="shared" si="75"/>
        <v>22.298364918720001</v>
      </c>
      <c r="V95" s="3">
        <f t="shared" si="75"/>
        <v>0</v>
      </c>
      <c r="W95" s="3">
        <f t="shared" si="75"/>
        <v>0</v>
      </c>
      <c r="X95" s="3">
        <f t="shared" si="75"/>
        <v>332.15</v>
      </c>
      <c r="Y95" s="3">
        <f t="shared" si="75"/>
        <v>207.59</v>
      </c>
      <c r="Z95" s="3">
        <f t="shared" si="75"/>
        <v>0</v>
      </c>
      <c r="AA95" s="3">
        <f t="shared" si="75"/>
        <v>0</v>
      </c>
      <c r="AB95" s="3">
        <f t="shared" si="75"/>
        <v>4736.26</v>
      </c>
      <c r="AC95" s="3">
        <f t="shared" si="75"/>
        <v>4346.3500000000004</v>
      </c>
      <c r="AD95" s="3">
        <f t="shared" si="75"/>
        <v>93.35</v>
      </c>
      <c r="AE95" s="3">
        <f t="shared" si="75"/>
        <v>8.92</v>
      </c>
      <c r="AF95" s="3">
        <f t="shared" si="75"/>
        <v>296.56</v>
      </c>
      <c r="AG95" s="3">
        <f t="shared" si="75"/>
        <v>0</v>
      </c>
      <c r="AH95" s="3">
        <f t="shared" si="75"/>
        <v>22.298364918720001</v>
      </c>
      <c r="AI95" s="3">
        <f t="shared" si="75"/>
        <v>0</v>
      </c>
      <c r="AJ95" s="3">
        <f t="shared" si="75"/>
        <v>0</v>
      </c>
      <c r="AK95" s="3">
        <f t="shared" si="75"/>
        <v>332.15</v>
      </c>
      <c r="AL95" s="3">
        <f t="shared" si="75"/>
        <v>207.59</v>
      </c>
      <c r="AM95" s="3">
        <f t="shared" si="75"/>
        <v>0</v>
      </c>
      <c r="AN95" s="3">
        <f t="shared" si="75"/>
        <v>0</v>
      </c>
      <c r="AO95" s="3">
        <f t="shared" si="75"/>
        <v>0</v>
      </c>
      <c r="AP95" s="3">
        <f t="shared" si="75"/>
        <v>0</v>
      </c>
      <c r="AQ95" s="3">
        <f t="shared" si="75"/>
        <v>0</v>
      </c>
      <c r="AR95" s="3">
        <f t="shared" si="75"/>
        <v>5291.61</v>
      </c>
      <c r="AS95" s="3">
        <f t="shared" si="75"/>
        <v>0</v>
      </c>
      <c r="AT95" s="3">
        <f t="shared" si="75"/>
        <v>5291.61</v>
      </c>
      <c r="AU95" s="3">
        <f t="shared" ref="AU95:BZ95" si="76">AU134</f>
        <v>0</v>
      </c>
      <c r="AV95" s="3">
        <f t="shared" si="76"/>
        <v>4346.3500000000004</v>
      </c>
      <c r="AW95" s="3">
        <f t="shared" si="76"/>
        <v>4346.3500000000004</v>
      </c>
      <c r="AX95" s="3">
        <f t="shared" si="76"/>
        <v>0</v>
      </c>
      <c r="AY95" s="3">
        <f t="shared" si="76"/>
        <v>4346.3500000000004</v>
      </c>
      <c r="AZ95" s="3">
        <f t="shared" si="76"/>
        <v>0</v>
      </c>
      <c r="BA95" s="3">
        <f t="shared" si="76"/>
        <v>0</v>
      </c>
      <c r="BB95" s="3">
        <f t="shared" si="76"/>
        <v>0</v>
      </c>
      <c r="BC95" s="3">
        <f t="shared" si="76"/>
        <v>0</v>
      </c>
      <c r="BD95" s="3">
        <f t="shared" si="76"/>
        <v>0</v>
      </c>
      <c r="BE95" s="3">
        <f t="shared" si="76"/>
        <v>0</v>
      </c>
      <c r="BF95" s="3">
        <f t="shared" si="76"/>
        <v>0</v>
      </c>
      <c r="BG95" s="3">
        <f t="shared" si="76"/>
        <v>0</v>
      </c>
      <c r="BH95" s="3">
        <f t="shared" si="76"/>
        <v>0</v>
      </c>
      <c r="BI95" s="3">
        <f t="shared" si="76"/>
        <v>0</v>
      </c>
      <c r="BJ95" s="3">
        <f t="shared" si="76"/>
        <v>0</v>
      </c>
      <c r="BK95" s="3">
        <f t="shared" si="76"/>
        <v>0</v>
      </c>
      <c r="BL95" s="3">
        <f t="shared" si="76"/>
        <v>0</v>
      </c>
      <c r="BM95" s="3">
        <f t="shared" si="76"/>
        <v>0</v>
      </c>
      <c r="BN95" s="3">
        <f t="shared" si="76"/>
        <v>0</v>
      </c>
      <c r="BO95" s="3">
        <f t="shared" si="76"/>
        <v>0</v>
      </c>
      <c r="BP95" s="3">
        <f t="shared" si="76"/>
        <v>0</v>
      </c>
      <c r="BQ95" s="3">
        <f t="shared" si="76"/>
        <v>0</v>
      </c>
      <c r="BR95" s="3">
        <f t="shared" si="76"/>
        <v>0</v>
      </c>
      <c r="BS95" s="3">
        <f t="shared" si="76"/>
        <v>0</v>
      </c>
      <c r="BT95" s="3">
        <f t="shared" si="76"/>
        <v>0</v>
      </c>
      <c r="BU95" s="3">
        <f t="shared" si="76"/>
        <v>0</v>
      </c>
      <c r="BV95" s="3">
        <f t="shared" si="76"/>
        <v>0</v>
      </c>
      <c r="BW95" s="3">
        <f t="shared" si="76"/>
        <v>0</v>
      </c>
      <c r="BX95" s="3">
        <f t="shared" si="76"/>
        <v>0</v>
      </c>
      <c r="BY95" s="3">
        <f t="shared" si="76"/>
        <v>0</v>
      </c>
      <c r="BZ95" s="3">
        <f t="shared" si="76"/>
        <v>0</v>
      </c>
      <c r="CA95" s="3">
        <f t="shared" ref="CA95:DF95" si="77">CA134</f>
        <v>5291.61</v>
      </c>
      <c r="CB95" s="3">
        <f t="shared" si="77"/>
        <v>0</v>
      </c>
      <c r="CC95" s="3">
        <f t="shared" si="77"/>
        <v>5291.61</v>
      </c>
      <c r="CD95" s="3">
        <f t="shared" si="77"/>
        <v>0</v>
      </c>
      <c r="CE95" s="3">
        <f t="shared" si="77"/>
        <v>4346.3500000000004</v>
      </c>
      <c r="CF95" s="3">
        <f t="shared" si="77"/>
        <v>4346.3500000000004</v>
      </c>
      <c r="CG95" s="3">
        <f t="shared" si="77"/>
        <v>0</v>
      </c>
      <c r="CH95" s="3">
        <f t="shared" si="77"/>
        <v>4346.3500000000004</v>
      </c>
      <c r="CI95" s="3">
        <f t="shared" si="77"/>
        <v>0</v>
      </c>
      <c r="CJ95" s="3">
        <f t="shared" si="77"/>
        <v>0</v>
      </c>
      <c r="CK95" s="3">
        <f t="shared" si="77"/>
        <v>0</v>
      </c>
      <c r="CL95" s="3">
        <f t="shared" si="77"/>
        <v>0</v>
      </c>
      <c r="CM95" s="3">
        <f t="shared" si="77"/>
        <v>0</v>
      </c>
      <c r="CN95" s="3">
        <f t="shared" si="77"/>
        <v>0</v>
      </c>
      <c r="CO95" s="3">
        <f t="shared" si="77"/>
        <v>0</v>
      </c>
      <c r="CP95" s="3">
        <f t="shared" si="77"/>
        <v>0</v>
      </c>
      <c r="CQ95" s="3">
        <f t="shared" si="77"/>
        <v>0</v>
      </c>
      <c r="CR95" s="3">
        <f t="shared" si="77"/>
        <v>0</v>
      </c>
      <c r="CS95" s="3">
        <f t="shared" si="77"/>
        <v>0</v>
      </c>
      <c r="CT95" s="3">
        <f t="shared" si="77"/>
        <v>0</v>
      </c>
      <c r="CU95" s="3">
        <f t="shared" si="77"/>
        <v>0</v>
      </c>
      <c r="CV95" s="3">
        <f t="shared" si="77"/>
        <v>0</v>
      </c>
      <c r="CW95" s="3">
        <f t="shared" si="77"/>
        <v>0</v>
      </c>
      <c r="CX95" s="3">
        <f t="shared" si="77"/>
        <v>0</v>
      </c>
      <c r="CY95" s="3">
        <f t="shared" si="77"/>
        <v>0</v>
      </c>
      <c r="CZ95" s="3">
        <f t="shared" si="77"/>
        <v>0</v>
      </c>
      <c r="DA95" s="3">
        <f t="shared" si="77"/>
        <v>0</v>
      </c>
      <c r="DB95" s="3">
        <f t="shared" si="77"/>
        <v>0</v>
      </c>
      <c r="DC95" s="3">
        <f t="shared" si="77"/>
        <v>0</v>
      </c>
      <c r="DD95" s="3">
        <f t="shared" si="77"/>
        <v>0</v>
      </c>
      <c r="DE95" s="3">
        <f t="shared" si="77"/>
        <v>0</v>
      </c>
      <c r="DF95" s="3">
        <f t="shared" si="77"/>
        <v>0</v>
      </c>
      <c r="DG95" s="4">
        <f t="shared" ref="DG95:EL95" si="78">DG134</f>
        <v>38531.699999999997</v>
      </c>
      <c r="DH95" s="4">
        <f t="shared" si="78"/>
        <v>27520.33</v>
      </c>
      <c r="DI95" s="4">
        <f t="shared" si="78"/>
        <v>777.09</v>
      </c>
      <c r="DJ95" s="4">
        <f t="shared" si="78"/>
        <v>307.83</v>
      </c>
      <c r="DK95" s="4">
        <f t="shared" si="78"/>
        <v>10234.280000000001</v>
      </c>
      <c r="DL95" s="4">
        <f t="shared" si="78"/>
        <v>0</v>
      </c>
      <c r="DM95" s="4">
        <f t="shared" si="78"/>
        <v>22.298364918720001</v>
      </c>
      <c r="DN95" s="4">
        <f t="shared" si="78"/>
        <v>0</v>
      </c>
      <c r="DO95" s="4">
        <f t="shared" si="78"/>
        <v>0</v>
      </c>
      <c r="DP95" s="4">
        <f t="shared" si="78"/>
        <v>9415.5400000000009</v>
      </c>
      <c r="DQ95" s="4">
        <f t="shared" si="78"/>
        <v>4400.75</v>
      </c>
      <c r="DR95" s="4">
        <f t="shared" si="78"/>
        <v>0</v>
      </c>
      <c r="DS95" s="4">
        <f t="shared" si="78"/>
        <v>0</v>
      </c>
      <c r="DT95" s="4">
        <f t="shared" si="78"/>
        <v>38531.699999999997</v>
      </c>
      <c r="DU95" s="4">
        <f t="shared" si="78"/>
        <v>27520.33</v>
      </c>
      <c r="DV95" s="4">
        <f t="shared" si="78"/>
        <v>777.09</v>
      </c>
      <c r="DW95" s="4">
        <f t="shared" si="78"/>
        <v>307.83</v>
      </c>
      <c r="DX95" s="4">
        <f t="shared" si="78"/>
        <v>10234.280000000001</v>
      </c>
      <c r="DY95" s="4">
        <f t="shared" si="78"/>
        <v>0</v>
      </c>
      <c r="DZ95" s="4">
        <f t="shared" si="78"/>
        <v>22.298364918720001</v>
      </c>
      <c r="EA95" s="4">
        <f t="shared" si="78"/>
        <v>0</v>
      </c>
      <c r="EB95" s="4">
        <f t="shared" si="78"/>
        <v>0</v>
      </c>
      <c r="EC95" s="4">
        <f t="shared" si="78"/>
        <v>9415.5400000000009</v>
      </c>
      <c r="ED95" s="4">
        <f t="shared" si="78"/>
        <v>4400.75</v>
      </c>
      <c r="EE95" s="4">
        <f t="shared" si="78"/>
        <v>0</v>
      </c>
      <c r="EF95" s="4">
        <f t="shared" si="78"/>
        <v>0</v>
      </c>
      <c r="EG95" s="4">
        <f t="shared" si="78"/>
        <v>0</v>
      </c>
      <c r="EH95" s="4">
        <f t="shared" si="78"/>
        <v>0</v>
      </c>
      <c r="EI95" s="4">
        <f t="shared" si="78"/>
        <v>0</v>
      </c>
      <c r="EJ95" s="4">
        <f t="shared" si="78"/>
        <v>52840.53</v>
      </c>
      <c r="EK95" s="4">
        <f t="shared" si="78"/>
        <v>0</v>
      </c>
      <c r="EL95" s="4">
        <f t="shared" si="78"/>
        <v>52840.53</v>
      </c>
      <c r="EM95" s="4">
        <f t="shared" ref="EM95:FR95" si="79">EM134</f>
        <v>0</v>
      </c>
      <c r="EN95" s="4">
        <f t="shared" si="79"/>
        <v>27520.33</v>
      </c>
      <c r="EO95" s="4">
        <f t="shared" si="79"/>
        <v>27520.33</v>
      </c>
      <c r="EP95" s="4">
        <f t="shared" si="79"/>
        <v>0</v>
      </c>
      <c r="EQ95" s="4">
        <f t="shared" si="79"/>
        <v>27520.33</v>
      </c>
      <c r="ER95" s="4">
        <f t="shared" si="79"/>
        <v>0</v>
      </c>
      <c r="ES95" s="4">
        <f t="shared" si="79"/>
        <v>0</v>
      </c>
      <c r="ET95" s="4">
        <f t="shared" si="79"/>
        <v>0</v>
      </c>
      <c r="EU95" s="4">
        <f t="shared" si="79"/>
        <v>0</v>
      </c>
      <c r="EV95" s="4">
        <f t="shared" si="79"/>
        <v>0</v>
      </c>
      <c r="EW95" s="4">
        <f t="shared" si="79"/>
        <v>0</v>
      </c>
      <c r="EX95" s="4">
        <f t="shared" si="79"/>
        <v>0</v>
      </c>
      <c r="EY95" s="4">
        <f t="shared" si="79"/>
        <v>0</v>
      </c>
      <c r="EZ95" s="4">
        <f t="shared" si="79"/>
        <v>0</v>
      </c>
      <c r="FA95" s="4">
        <f t="shared" si="79"/>
        <v>0</v>
      </c>
      <c r="FB95" s="4">
        <f t="shared" si="79"/>
        <v>0</v>
      </c>
      <c r="FC95" s="4">
        <f t="shared" si="79"/>
        <v>0</v>
      </c>
      <c r="FD95" s="4">
        <f t="shared" si="79"/>
        <v>0</v>
      </c>
      <c r="FE95" s="4">
        <f t="shared" si="79"/>
        <v>0</v>
      </c>
      <c r="FF95" s="4">
        <f t="shared" si="79"/>
        <v>0</v>
      </c>
      <c r="FG95" s="4">
        <f t="shared" si="79"/>
        <v>0</v>
      </c>
      <c r="FH95" s="4">
        <f t="shared" si="79"/>
        <v>0</v>
      </c>
      <c r="FI95" s="4">
        <f t="shared" si="79"/>
        <v>0</v>
      </c>
      <c r="FJ95" s="4">
        <f t="shared" si="79"/>
        <v>0</v>
      </c>
      <c r="FK95" s="4">
        <f t="shared" si="79"/>
        <v>0</v>
      </c>
      <c r="FL95" s="4">
        <f t="shared" si="79"/>
        <v>0</v>
      </c>
      <c r="FM95" s="4">
        <f t="shared" si="79"/>
        <v>0</v>
      </c>
      <c r="FN95" s="4">
        <f t="shared" si="79"/>
        <v>0</v>
      </c>
      <c r="FO95" s="4">
        <f t="shared" si="79"/>
        <v>0</v>
      </c>
      <c r="FP95" s="4">
        <f t="shared" si="79"/>
        <v>0</v>
      </c>
      <c r="FQ95" s="4">
        <f t="shared" si="79"/>
        <v>0</v>
      </c>
      <c r="FR95" s="4">
        <f t="shared" si="79"/>
        <v>0</v>
      </c>
      <c r="FS95" s="4">
        <f t="shared" ref="FS95:GX95" si="80">FS134</f>
        <v>52840.53</v>
      </c>
      <c r="FT95" s="4">
        <f t="shared" si="80"/>
        <v>0</v>
      </c>
      <c r="FU95" s="4">
        <f t="shared" si="80"/>
        <v>52840.53</v>
      </c>
      <c r="FV95" s="4">
        <f t="shared" si="80"/>
        <v>0</v>
      </c>
      <c r="FW95" s="4">
        <f t="shared" si="80"/>
        <v>27520.33</v>
      </c>
      <c r="FX95" s="4">
        <f t="shared" si="80"/>
        <v>27520.33</v>
      </c>
      <c r="FY95" s="4">
        <f t="shared" si="80"/>
        <v>0</v>
      </c>
      <c r="FZ95" s="4">
        <f t="shared" si="80"/>
        <v>27520.33</v>
      </c>
      <c r="GA95" s="4">
        <f t="shared" si="80"/>
        <v>0</v>
      </c>
      <c r="GB95" s="4">
        <f t="shared" si="80"/>
        <v>0</v>
      </c>
      <c r="GC95" s="4">
        <f t="shared" si="80"/>
        <v>0</v>
      </c>
      <c r="GD95" s="4">
        <f t="shared" si="80"/>
        <v>0</v>
      </c>
      <c r="GE95" s="4">
        <f t="shared" si="80"/>
        <v>0</v>
      </c>
      <c r="GF95" s="4">
        <f t="shared" si="80"/>
        <v>0</v>
      </c>
      <c r="GG95" s="4">
        <f t="shared" si="80"/>
        <v>0</v>
      </c>
      <c r="GH95" s="4">
        <f t="shared" si="80"/>
        <v>0</v>
      </c>
      <c r="GI95" s="4">
        <f t="shared" si="80"/>
        <v>0</v>
      </c>
      <c r="GJ95" s="4">
        <f t="shared" si="80"/>
        <v>0</v>
      </c>
      <c r="GK95" s="4">
        <f t="shared" si="80"/>
        <v>0</v>
      </c>
      <c r="GL95" s="4">
        <f t="shared" si="80"/>
        <v>0</v>
      </c>
      <c r="GM95" s="4">
        <f t="shared" si="80"/>
        <v>0</v>
      </c>
      <c r="GN95" s="4">
        <f t="shared" si="80"/>
        <v>0</v>
      </c>
      <c r="GO95" s="4">
        <f t="shared" si="80"/>
        <v>0</v>
      </c>
      <c r="GP95" s="4">
        <f t="shared" si="80"/>
        <v>0</v>
      </c>
      <c r="GQ95" s="4">
        <f t="shared" si="80"/>
        <v>0</v>
      </c>
      <c r="GR95" s="4">
        <f t="shared" si="80"/>
        <v>0</v>
      </c>
      <c r="GS95" s="4">
        <f t="shared" si="80"/>
        <v>0</v>
      </c>
      <c r="GT95" s="4">
        <f t="shared" si="80"/>
        <v>0</v>
      </c>
      <c r="GU95" s="4">
        <f t="shared" si="80"/>
        <v>0</v>
      </c>
      <c r="GV95" s="4">
        <f t="shared" si="80"/>
        <v>0</v>
      </c>
      <c r="GW95" s="4">
        <f t="shared" si="80"/>
        <v>0</v>
      </c>
      <c r="GX95" s="4">
        <f t="shared" si="80"/>
        <v>0</v>
      </c>
    </row>
    <row r="97" spans="1:255" x14ac:dyDescent="0.2">
      <c r="A97" s="2">
        <v>17</v>
      </c>
      <c r="B97" s="2">
        <v>1</v>
      </c>
      <c r="C97" s="2">
        <f>ROW(SmtRes!A67)</f>
        <v>67</v>
      </c>
      <c r="D97" s="2">
        <f>ROW(EtalonRes!A105)</f>
        <v>105</v>
      </c>
      <c r="E97" s="2" t="s">
        <v>161</v>
      </c>
      <c r="F97" s="2" t="s">
        <v>162</v>
      </c>
      <c r="G97" s="2" t="s">
        <v>163</v>
      </c>
      <c r="H97" s="2" t="s">
        <v>164</v>
      </c>
      <c r="I97" s="2">
        <f>ROUND((36.72*0.3)/100,9)</f>
        <v>0.11015999999999999</v>
      </c>
      <c r="J97" s="2">
        <v>0</v>
      </c>
      <c r="K97" s="2">
        <f>ROUND((36.72*0.3)/100,9)</f>
        <v>0.11015999999999999</v>
      </c>
      <c r="L97" s="2"/>
      <c r="M97" s="2"/>
      <c r="N97" s="2"/>
      <c r="O97" s="2">
        <f t="shared" ref="O97:O132" si="81">ROUND(CP97,2)</f>
        <v>44.69</v>
      </c>
      <c r="P97" s="2">
        <f t="shared" ref="P97:P132" si="82">ROUND((ROUND((AC97*AW97*I97),2)*BC97),2)</f>
        <v>6.3</v>
      </c>
      <c r="Q97" s="2">
        <f>(ROUND((ROUND(((((ET97*1.1)*1.2))*AV97*I97),2)*BB97),2)+ROUND((ROUND(((AE97-(((EU97*1.1)*1.2)))*AV97*I97),2)*BS97),2))</f>
        <v>8.19</v>
      </c>
      <c r="R97" s="2">
        <f t="shared" ref="R97:R132" si="83">ROUND((ROUND((AE97*AV97*I97),2)*BS97),2)</f>
        <v>1</v>
      </c>
      <c r="S97" s="2">
        <f t="shared" ref="S97:S132" si="84">ROUND((ROUND((AF97*AV97*I97),2)*BA97),2)</f>
        <v>30.2</v>
      </c>
      <c r="T97" s="2">
        <f t="shared" ref="T97:T132" si="85">ROUND(CU97*I97,2)</f>
        <v>0</v>
      </c>
      <c r="U97" s="2">
        <f t="shared" ref="U97:U132" si="86">CV97*I97</f>
        <v>2.45142925632</v>
      </c>
      <c r="V97" s="2">
        <f t="shared" ref="V97:V132" si="87">CW97*I97</f>
        <v>0</v>
      </c>
      <c r="W97" s="2">
        <f t="shared" ref="W97:W132" si="88">ROUND(CX97*I97,2)</f>
        <v>0</v>
      </c>
      <c r="X97" s="2">
        <f t="shared" ref="X97:X132" si="89">ROUND(CY97,2)</f>
        <v>33.82</v>
      </c>
      <c r="Y97" s="2">
        <f t="shared" ref="Y97:Y132" si="90">ROUND(CZ97,2)</f>
        <v>21.14</v>
      </c>
      <c r="Z97" s="2"/>
      <c r="AA97" s="2">
        <v>56622523</v>
      </c>
      <c r="AB97" s="2">
        <f t="shared" ref="AB97:AB132" si="91">ROUND((AC97+AD97+AF97),6)</f>
        <v>379.5872</v>
      </c>
      <c r="AC97" s="2">
        <f>ROUND(((ES97*1)),6)</f>
        <v>52.94</v>
      </c>
      <c r="AD97" s="2">
        <f>ROUND((((((ET97*1.1)*1.2))-(((EU97*1.1)*1.2)))+AE97),6)</f>
        <v>69.695999999999998</v>
      </c>
      <c r="AE97" s="2">
        <f>ROUND((((EU97*1.1)*1.2)),6)</f>
        <v>8.5007999999999999</v>
      </c>
      <c r="AF97" s="2">
        <f>ROUND((((EV97*1.1)*1.2)),6)</f>
        <v>256.95119999999997</v>
      </c>
      <c r="AG97" s="2">
        <f t="shared" ref="AG97:AG132" si="92">ROUND((AP97),6)</f>
        <v>0</v>
      </c>
      <c r="AH97" s="2">
        <f>(((EW97*1.1)*1.2))</f>
        <v>20.856000000000002</v>
      </c>
      <c r="AI97" s="2">
        <f>(((EX97*1.1)*1.2))</f>
        <v>0</v>
      </c>
      <c r="AJ97" s="2">
        <f t="shared" ref="AJ97:AJ132" si="93">(AS97)</f>
        <v>0</v>
      </c>
      <c r="AK97" s="2">
        <v>300.39999999999998</v>
      </c>
      <c r="AL97" s="2">
        <v>52.94</v>
      </c>
      <c r="AM97" s="2">
        <v>52.8</v>
      </c>
      <c r="AN97" s="2">
        <v>6.44</v>
      </c>
      <c r="AO97" s="2">
        <v>194.66</v>
      </c>
      <c r="AP97" s="2">
        <v>0</v>
      </c>
      <c r="AQ97" s="2">
        <v>15.8</v>
      </c>
      <c r="AR97" s="2">
        <v>0</v>
      </c>
      <c r="AS97" s="2">
        <v>0</v>
      </c>
      <c r="AT97" s="2">
        <v>112</v>
      </c>
      <c r="AU97" s="2">
        <v>70</v>
      </c>
      <c r="AV97" s="2">
        <v>1.0669999999999999</v>
      </c>
      <c r="AW97" s="2">
        <v>1.081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165</v>
      </c>
      <c r="BK97" s="2"/>
      <c r="BL97" s="2"/>
      <c r="BM97" s="2">
        <v>318</v>
      </c>
      <c r="BN97" s="2">
        <v>0</v>
      </c>
      <c r="BO97" s="2" t="s">
        <v>3</v>
      </c>
      <c r="BP97" s="2">
        <v>0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112</v>
      </c>
      <c r="CA97" s="2">
        <v>70</v>
      </c>
      <c r="CB97" s="2" t="s">
        <v>3</v>
      </c>
      <c r="CC97" s="2"/>
      <c r="CD97" s="2"/>
      <c r="CE97" s="2">
        <v>30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692</v>
      </c>
      <c r="CO97" s="2">
        <v>0</v>
      </c>
      <c r="CP97" s="2">
        <f t="shared" ref="CP97:CP132" si="94">(P97+Q97+S97)</f>
        <v>44.69</v>
      </c>
      <c r="CQ97" s="2">
        <f t="shared" ref="CQ97:CQ132" si="95">ROUND((ROUND((AC97*AW97*1),2)*BC97),2)</f>
        <v>57.23</v>
      </c>
      <c r="CR97" s="2">
        <f>(ROUND((ROUND(((((ET97*1.1)*1.2))*AV97*1),2)*BB97),2)+ROUND((ROUND(((AE97-(((EU97*1.1)*1.2)))*AV97*1),2)*BS97),2))</f>
        <v>74.37</v>
      </c>
      <c r="CS97" s="2">
        <f t="shared" ref="CS97:CS132" si="96">ROUND((ROUND((AE97*AV97*1),2)*BS97),2)</f>
        <v>9.07</v>
      </c>
      <c r="CT97" s="2">
        <f t="shared" ref="CT97:CT132" si="97">ROUND((ROUND((AF97*AV97*1),2)*BA97),2)</f>
        <v>274.17</v>
      </c>
      <c r="CU97" s="2">
        <f t="shared" ref="CU97:CU132" si="98">AG97</f>
        <v>0</v>
      </c>
      <c r="CV97" s="2">
        <f t="shared" ref="CV97:CV132" si="99">(AH97*AV97)</f>
        <v>22.253352</v>
      </c>
      <c r="CW97" s="2">
        <f t="shared" ref="CW97:CW132" si="100">AI97</f>
        <v>0</v>
      </c>
      <c r="CX97" s="2">
        <f t="shared" ref="CX97:CX132" si="101">AJ97</f>
        <v>0</v>
      </c>
      <c r="CY97" s="2">
        <f>((S97*BZ97)/100)</f>
        <v>33.823999999999998</v>
      </c>
      <c r="CZ97" s="2">
        <f>((S97*CA97)/100)</f>
        <v>21.14</v>
      </c>
      <c r="DA97" s="2"/>
      <c r="DB97" s="2"/>
      <c r="DC97" s="2" t="s">
        <v>3</v>
      </c>
      <c r="DD97" s="2" t="s">
        <v>42</v>
      </c>
      <c r="DE97" s="2" t="s">
        <v>70</v>
      </c>
      <c r="DF97" s="2" t="s">
        <v>70</v>
      </c>
      <c r="DG97" s="2" t="s">
        <v>70</v>
      </c>
      <c r="DH97" s="2" t="s">
        <v>3</v>
      </c>
      <c r="DI97" s="2" t="s">
        <v>70</v>
      </c>
      <c r="DJ97" s="2" t="s">
        <v>70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164</v>
      </c>
      <c r="DW97" s="2" t="s">
        <v>164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51696357</v>
      </c>
      <c r="EF97" s="2">
        <v>40</v>
      </c>
      <c r="EG97" s="2" t="s">
        <v>166</v>
      </c>
      <c r="EH97" s="2">
        <v>0</v>
      </c>
      <c r="EI97" s="2" t="s">
        <v>3</v>
      </c>
      <c r="EJ97" s="2">
        <v>2</v>
      </c>
      <c r="EK97" s="2">
        <v>318</v>
      </c>
      <c r="EL97" s="2" t="s">
        <v>167</v>
      </c>
      <c r="EM97" s="2" t="s">
        <v>168</v>
      </c>
      <c r="EN97" s="2"/>
      <c r="EO97" s="2" t="s">
        <v>169</v>
      </c>
      <c r="EP97" s="2"/>
      <c r="EQ97" s="2">
        <v>131072</v>
      </c>
      <c r="ER97" s="2">
        <v>300.39999999999998</v>
      </c>
      <c r="ES97" s="2">
        <v>52.94</v>
      </c>
      <c r="ET97" s="2">
        <v>52.8</v>
      </c>
      <c r="EU97" s="2">
        <v>6.44</v>
      </c>
      <c r="EV97" s="2">
        <v>194.66</v>
      </c>
      <c r="EW97" s="2">
        <v>15.8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2</v>
      </c>
      <c r="FT97" s="2"/>
      <c r="FU97" s="2"/>
      <c r="FV97" s="2"/>
      <c r="FW97" s="2"/>
      <c r="FX97" s="2">
        <v>112</v>
      </c>
      <c r="FY97" s="2">
        <v>70</v>
      </c>
      <c r="FZ97" s="2"/>
      <c r="GA97" s="2" t="s">
        <v>3</v>
      </c>
      <c r="GB97" s="2"/>
      <c r="GC97" s="2"/>
      <c r="GD97" s="2">
        <v>0</v>
      </c>
      <c r="GE97" s="2"/>
      <c r="GF97" s="2">
        <v>2013852604</v>
      </c>
      <c r="GG97" s="2">
        <v>2</v>
      </c>
      <c r="GH97" s="2">
        <v>1</v>
      </c>
      <c r="GI97" s="2">
        <v>-2</v>
      </c>
      <c r="GJ97" s="2">
        <v>0</v>
      </c>
      <c r="GK97" s="2">
        <f>ROUND(R97*(R12)/100,2)</f>
        <v>1.75</v>
      </c>
      <c r="GL97" s="2">
        <f t="shared" ref="GL97:GL132" si="102">ROUND(IF(AND(BH97=3,BI97=3,FS97&lt;&gt;0),P97,0),2)</f>
        <v>0</v>
      </c>
      <c r="GM97" s="2">
        <f t="shared" ref="GM97:GM132" si="103">ROUND(O97+X97+Y97+GK97,2)+GX97</f>
        <v>101.4</v>
      </c>
      <c r="GN97" s="2">
        <f t="shared" ref="GN97:GN132" si="104">IF(OR(BI97=0,BI97=1),GM97-GX97,0)</f>
        <v>0</v>
      </c>
      <c r="GO97" s="2">
        <f t="shared" ref="GO97:GO132" si="105">IF(BI97=2,GM97-GX97,0)</f>
        <v>101.4</v>
      </c>
      <c r="GP97" s="2">
        <f t="shared" ref="GP97:GP132" si="106">IF(BI97=4,GM97-GX97,0)</f>
        <v>0</v>
      </c>
      <c r="GQ97" s="2"/>
      <c r="GR97" s="2">
        <v>0</v>
      </c>
      <c r="GS97" s="2">
        <v>0</v>
      </c>
      <c r="GT97" s="2">
        <v>0</v>
      </c>
      <c r="GU97" s="2" t="s">
        <v>3</v>
      </c>
      <c r="GV97" s="2">
        <f t="shared" ref="GV97:GV132" si="107">ROUND((GT97),6)</f>
        <v>0</v>
      </c>
      <c r="GW97" s="2">
        <v>1</v>
      </c>
      <c r="GX97" s="2">
        <f t="shared" ref="GX97:GX132" si="108">ROUND(HC97*I97,2)</f>
        <v>0</v>
      </c>
      <c r="GY97" s="2"/>
      <c r="GZ97" s="2"/>
      <c r="HA97" s="2">
        <v>0</v>
      </c>
      <c r="HB97" s="2">
        <v>0</v>
      </c>
      <c r="HC97" s="2">
        <f t="shared" ref="HC97:HC132" si="109">GV97*GW97</f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>
        <v>17</v>
      </c>
      <c r="B98">
        <v>1</v>
      </c>
      <c r="C98">
        <f>ROW(SmtRes!A78)</f>
        <v>78</v>
      </c>
      <c r="D98">
        <f>ROW(EtalonRes!A118)</f>
        <v>118</v>
      </c>
      <c r="E98" t="s">
        <v>161</v>
      </c>
      <c r="F98" t="s">
        <v>162</v>
      </c>
      <c r="G98" t="s">
        <v>163</v>
      </c>
      <c r="H98" t="s">
        <v>164</v>
      </c>
      <c r="I98">
        <f>ROUND((36.72*0.3)/100,9)</f>
        <v>0.11015999999999999</v>
      </c>
      <c r="J98">
        <v>0</v>
      </c>
      <c r="K98">
        <f>ROUND((36.72*0.3)/100,9)</f>
        <v>0.11015999999999999</v>
      </c>
      <c r="O98">
        <f t="shared" si="81"/>
        <v>1250.3</v>
      </c>
      <c r="P98">
        <f t="shared" si="82"/>
        <v>109.49</v>
      </c>
      <c r="Q98">
        <f>(ROUND((ROUND(((((ET98*1.1)*1.2))*AV98*I98),2)*BB98),2)+ROUND((ROUND(((AE98-(((EU98*1.1)*1.2)))*AV98*I98),2)*BS98),2))</f>
        <v>98.61</v>
      </c>
      <c r="R98">
        <f t="shared" si="83"/>
        <v>34.51</v>
      </c>
      <c r="S98">
        <f t="shared" si="84"/>
        <v>1042.2</v>
      </c>
      <c r="T98">
        <f t="shared" si="85"/>
        <v>0</v>
      </c>
      <c r="U98">
        <f t="shared" si="86"/>
        <v>2.45142925632</v>
      </c>
      <c r="V98">
        <f t="shared" si="87"/>
        <v>0</v>
      </c>
      <c r="W98">
        <f t="shared" si="88"/>
        <v>0</v>
      </c>
      <c r="X98">
        <f t="shared" si="89"/>
        <v>958.82</v>
      </c>
      <c r="Y98">
        <f t="shared" si="90"/>
        <v>448.15</v>
      </c>
      <c r="AA98">
        <v>56611490</v>
      </c>
      <c r="AB98">
        <f t="shared" si="91"/>
        <v>379.5872</v>
      </c>
      <c r="AC98">
        <f>ROUND(((ES98*1)),6)</f>
        <v>52.94</v>
      </c>
      <c r="AD98">
        <f>ROUND((((((ET98*1.1)*1.2))-(((EU98*1.1)*1.2)))+AE98),6)</f>
        <v>69.695999999999998</v>
      </c>
      <c r="AE98">
        <f>ROUND((((EU98*1.1)*1.2)),6)</f>
        <v>8.5007999999999999</v>
      </c>
      <c r="AF98">
        <f>ROUND((((EV98*1.1)*1.2)),6)</f>
        <v>256.95119999999997</v>
      </c>
      <c r="AG98">
        <f t="shared" si="92"/>
        <v>0</v>
      </c>
      <c r="AH98">
        <f>(((EW98*1.1)*1.2))</f>
        <v>20.856000000000002</v>
      </c>
      <c r="AI98">
        <f>(((EX98*1.1)*1.2))</f>
        <v>0</v>
      </c>
      <c r="AJ98">
        <f t="shared" si="93"/>
        <v>0</v>
      </c>
      <c r="AK98">
        <v>300.39999999999998</v>
      </c>
      <c r="AL98">
        <v>52.94</v>
      </c>
      <c r="AM98">
        <v>52.8</v>
      </c>
      <c r="AN98">
        <v>6.44</v>
      </c>
      <c r="AO98">
        <v>194.66</v>
      </c>
      <c r="AP98">
        <v>0</v>
      </c>
      <c r="AQ98">
        <v>15.8</v>
      </c>
      <c r="AR98">
        <v>0</v>
      </c>
      <c r="AS98">
        <v>0</v>
      </c>
      <c r="AT98">
        <v>92</v>
      </c>
      <c r="AU98">
        <v>43</v>
      </c>
      <c r="AV98">
        <v>1.0669999999999999</v>
      </c>
      <c r="AW98">
        <v>1.081</v>
      </c>
      <c r="AZ98">
        <v>1</v>
      </c>
      <c r="BA98">
        <v>34.51</v>
      </c>
      <c r="BB98">
        <v>12.04</v>
      </c>
      <c r="BC98">
        <v>17.38</v>
      </c>
      <c r="BD98" t="s">
        <v>3</v>
      </c>
      <c r="BE98" t="s">
        <v>3</v>
      </c>
      <c r="BF98" t="s">
        <v>3</v>
      </c>
      <c r="BG98" t="s">
        <v>3</v>
      </c>
      <c r="BH98">
        <v>0</v>
      </c>
      <c r="BI98">
        <v>2</v>
      </c>
      <c r="BJ98" t="s">
        <v>165</v>
      </c>
      <c r="BM98">
        <v>318</v>
      </c>
      <c r="BN98">
        <v>0</v>
      </c>
      <c r="BO98" t="s">
        <v>162</v>
      </c>
      <c r="BP98">
        <v>1</v>
      </c>
      <c r="BQ98">
        <v>40</v>
      </c>
      <c r="BR98">
        <v>0</v>
      </c>
      <c r="BS98">
        <v>34.51</v>
      </c>
      <c r="BT98">
        <v>1</v>
      </c>
      <c r="BU98">
        <v>1</v>
      </c>
      <c r="BV98">
        <v>1</v>
      </c>
      <c r="BW98">
        <v>1</v>
      </c>
      <c r="BX98">
        <v>1</v>
      </c>
      <c r="BY98" t="s">
        <v>3</v>
      </c>
      <c r="BZ98">
        <v>92</v>
      </c>
      <c r="CA98">
        <v>43</v>
      </c>
      <c r="CB98" t="s">
        <v>3</v>
      </c>
      <c r="CE98">
        <v>30</v>
      </c>
      <c r="CF98">
        <v>0</v>
      </c>
      <c r="CG98">
        <v>0</v>
      </c>
      <c r="CM98">
        <v>0</v>
      </c>
      <c r="CN98" t="s">
        <v>692</v>
      </c>
      <c r="CO98">
        <v>0</v>
      </c>
      <c r="CP98">
        <f t="shared" si="94"/>
        <v>1250.3</v>
      </c>
      <c r="CQ98">
        <f t="shared" si="95"/>
        <v>994.66</v>
      </c>
      <c r="CR98">
        <f>(ROUND((ROUND(((((ET98*1.1)*1.2))*AV98*1),2)*BB98),2)+ROUND((ROUND(((AE98-(((EU98*1.1)*1.2)))*AV98*1),2)*BS98),2))</f>
        <v>895.41</v>
      </c>
      <c r="CS98">
        <f t="shared" si="96"/>
        <v>313.01</v>
      </c>
      <c r="CT98">
        <f t="shared" si="97"/>
        <v>9461.61</v>
      </c>
      <c r="CU98">
        <f t="shared" si="98"/>
        <v>0</v>
      </c>
      <c r="CV98">
        <f t="shared" si="99"/>
        <v>22.253352</v>
      </c>
      <c r="CW98">
        <f t="shared" si="100"/>
        <v>0</v>
      </c>
      <c r="CX98">
        <f t="shared" si="101"/>
        <v>0</v>
      </c>
      <c r="CY98">
        <f>S98*(BZ98/100)</f>
        <v>958.82400000000007</v>
      </c>
      <c r="CZ98">
        <f>S98*(CA98/100)</f>
        <v>448.14600000000002</v>
      </c>
      <c r="DC98" t="s">
        <v>3</v>
      </c>
      <c r="DD98" t="s">
        <v>42</v>
      </c>
      <c r="DE98" t="s">
        <v>70</v>
      </c>
      <c r="DF98" t="s">
        <v>70</v>
      </c>
      <c r="DG98" t="s">
        <v>70</v>
      </c>
      <c r="DH98" t="s">
        <v>3</v>
      </c>
      <c r="DI98" t="s">
        <v>70</v>
      </c>
      <c r="DJ98" t="s">
        <v>70</v>
      </c>
      <c r="DK98" t="s">
        <v>3</v>
      </c>
      <c r="DL98" t="s">
        <v>3</v>
      </c>
      <c r="DM98" t="s">
        <v>3</v>
      </c>
      <c r="DN98">
        <v>112</v>
      </c>
      <c r="DO98">
        <v>70</v>
      </c>
      <c r="DP98">
        <v>1.0669999999999999</v>
      </c>
      <c r="DQ98">
        <v>1.081</v>
      </c>
      <c r="DU98">
        <v>1013</v>
      </c>
      <c r="DV98" t="s">
        <v>164</v>
      </c>
      <c r="DW98" t="s">
        <v>164</v>
      </c>
      <c r="DX98">
        <v>1</v>
      </c>
      <c r="DZ98" t="s">
        <v>3</v>
      </c>
      <c r="EA98" t="s">
        <v>3</v>
      </c>
      <c r="EB98" t="s">
        <v>3</v>
      </c>
      <c r="EC98" t="s">
        <v>3</v>
      </c>
      <c r="EE98">
        <v>51696357</v>
      </c>
      <c r="EF98">
        <v>40</v>
      </c>
      <c r="EG98" t="s">
        <v>166</v>
      </c>
      <c r="EH98">
        <v>0</v>
      </c>
      <c r="EI98" t="s">
        <v>3</v>
      </c>
      <c r="EJ98">
        <v>2</v>
      </c>
      <c r="EK98">
        <v>318</v>
      </c>
      <c r="EL98" t="s">
        <v>167</v>
      </c>
      <c r="EM98" t="s">
        <v>168</v>
      </c>
      <c r="EO98" t="s">
        <v>169</v>
      </c>
      <c r="EQ98">
        <v>131072</v>
      </c>
      <c r="ER98">
        <v>300.39999999999998</v>
      </c>
      <c r="ES98">
        <v>52.94</v>
      </c>
      <c r="ET98">
        <v>52.8</v>
      </c>
      <c r="EU98">
        <v>6.44</v>
      </c>
      <c r="EV98">
        <v>194.66</v>
      </c>
      <c r="EW98">
        <v>15.8</v>
      </c>
      <c r="EX98">
        <v>0</v>
      </c>
      <c r="EY98">
        <v>0</v>
      </c>
      <c r="FQ98">
        <v>0</v>
      </c>
      <c r="FR98">
        <v>0</v>
      </c>
      <c r="FS98">
        <v>2</v>
      </c>
      <c r="FX98">
        <v>112</v>
      </c>
      <c r="FY98">
        <v>70</v>
      </c>
      <c r="GA98" t="s">
        <v>3</v>
      </c>
      <c r="GD98">
        <v>0</v>
      </c>
      <c r="GF98">
        <v>2013852604</v>
      </c>
      <c r="GG98">
        <v>2</v>
      </c>
      <c r="GH98">
        <v>1</v>
      </c>
      <c r="GI98">
        <v>2</v>
      </c>
      <c r="GJ98">
        <v>0</v>
      </c>
      <c r="GK98">
        <f>ROUND(R98*(S12)/100,2)</f>
        <v>55.22</v>
      </c>
      <c r="GL98">
        <f t="shared" si="102"/>
        <v>0</v>
      </c>
      <c r="GM98">
        <f t="shared" si="103"/>
        <v>2712.49</v>
      </c>
      <c r="GN98">
        <f t="shared" si="104"/>
        <v>0</v>
      </c>
      <c r="GO98">
        <f t="shared" si="105"/>
        <v>2712.49</v>
      </c>
      <c r="GP98">
        <f t="shared" si="106"/>
        <v>0</v>
      </c>
      <c r="GR98">
        <v>0</v>
      </c>
      <c r="GS98">
        <v>3</v>
      </c>
      <c r="GT98">
        <v>0</v>
      </c>
      <c r="GU98" t="s">
        <v>3</v>
      </c>
      <c r="GV98">
        <f t="shared" si="107"/>
        <v>0</v>
      </c>
      <c r="GW98">
        <v>1</v>
      </c>
      <c r="GX98">
        <f t="shared" si="108"/>
        <v>0</v>
      </c>
      <c r="HA98">
        <v>0</v>
      </c>
      <c r="HB98">
        <v>0</v>
      </c>
      <c r="HC98">
        <f t="shared" si="109"/>
        <v>0</v>
      </c>
      <c r="HE98" t="s">
        <v>3</v>
      </c>
      <c r="HF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S98">
        <v>0</v>
      </c>
      <c r="IK98">
        <v>0</v>
      </c>
    </row>
    <row r="99" spans="1:255" x14ac:dyDescent="0.2">
      <c r="A99" s="2">
        <v>17</v>
      </c>
      <c r="B99" s="2">
        <v>1</v>
      </c>
      <c r="C99" s="2">
        <f>ROW(SmtRes!A89)</f>
        <v>89</v>
      </c>
      <c r="D99" s="2">
        <f>ROW(EtalonRes!A131)</f>
        <v>131</v>
      </c>
      <c r="E99" s="2" t="s">
        <v>170</v>
      </c>
      <c r="F99" s="2" t="s">
        <v>162</v>
      </c>
      <c r="G99" s="2" t="s">
        <v>163</v>
      </c>
      <c r="H99" s="2" t="s">
        <v>164</v>
      </c>
      <c r="I99" s="2">
        <f>ROUND(36.72*0.7/100,9)</f>
        <v>0.25703999999999999</v>
      </c>
      <c r="J99" s="2">
        <v>0</v>
      </c>
      <c r="K99" s="2">
        <f>ROUND(36.72*0.7/100,9)</f>
        <v>0.25703999999999999</v>
      </c>
      <c r="L99" s="2"/>
      <c r="M99" s="2"/>
      <c r="N99" s="2"/>
      <c r="O99" s="2">
        <f t="shared" si="81"/>
        <v>89.37</v>
      </c>
      <c r="P99" s="2">
        <f t="shared" si="82"/>
        <v>14.71</v>
      </c>
      <c r="Q99" s="2">
        <f>(ROUND((ROUND((((ET99*1.1))*AV99*I99),2)*BB99),2)+ROUND((ROUND(((AE99-((EU99*1.1)))*AV99*I99),2)*BS99),2))</f>
        <v>15.93</v>
      </c>
      <c r="R99" s="2">
        <f t="shared" si="83"/>
        <v>1.94</v>
      </c>
      <c r="S99" s="2">
        <f t="shared" si="84"/>
        <v>58.73</v>
      </c>
      <c r="T99" s="2">
        <f t="shared" si="85"/>
        <v>0</v>
      </c>
      <c r="U99" s="2">
        <f t="shared" si="86"/>
        <v>4.7666679984</v>
      </c>
      <c r="V99" s="2">
        <f t="shared" si="87"/>
        <v>0</v>
      </c>
      <c r="W99" s="2">
        <f t="shared" si="88"/>
        <v>0</v>
      </c>
      <c r="X99" s="2">
        <f t="shared" si="89"/>
        <v>65.78</v>
      </c>
      <c r="Y99" s="2">
        <f t="shared" si="90"/>
        <v>41.11</v>
      </c>
      <c r="Z99" s="2"/>
      <c r="AA99" s="2">
        <v>56622523</v>
      </c>
      <c r="AB99" s="2">
        <f t="shared" si="91"/>
        <v>325.14600000000002</v>
      </c>
      <c r="AC99" s="2">
        <f>ROUND((ES99),6)</f>
        <v>52.94</v>
      </c>
      <c r="AD99" s="2">
        <f>ROUND(((((ET99*1.1))-((EU99*1.1)))+AE99),6)</f>
        <v>58.08</v>
      </c>
      <c r="AE99" s="2">
        <f>ROUND(((EU99*1.1)),6)</f>
        <v>7.0839999999999996</v>
      </c>
      <c r="AF99" s="2">
        <f>ROUND(((EV99*1.1)),6)</f>
        <v>214.126</v>
      </c>
      <c r="AG99" s="2">
        <f t="shared" si="92"/>
        <v>0</v>
      </c>
      <c r="AH99" s="2">
        <f>((EW99*1.1))</f>
        <v>17.380000000000003</v>
      </c>
      <c r="AI99" s="2">
        <f>((EX99*1.1))</f>
        <v>0</v>
      </c>
      <c r="AJ99" s="2">
        <f t="shared" si="93"/>
        <v>0</v>
      </c>
      <c r="AK99" s="2">
        <v>300.39999999999998</v>
      </c>
      <c r="AL99" s="2">
        <v>52.94</v>
      </c>
      <c r="AM99" s="2">
        <v>52.8</v>
      </c>
      <c r="AN99" s="2">
        <v>6.44</v>
      </c>
      <c r="AO99" s="2">
        <v>194.66</v>
      </c>
      <c r="AP99" s="2">
        <v>0</v>
      </c>
      <c r="AQ99" s="2">
        <v>15.8</v>
      </c>
      <c r="AR99" s="2">
        <v>0</v>
      </c>
      <c r="AS99" s="2">
        <v>0</v>
      </c>
      <c r="AT99" s="2">
        <v>112</v>
      </c>
      <c r="AU99" s="2">
        <v>70</v>
      </c>
      <c r="AV99" s="2">
        <v>1.0669999999999999</v>
      </c>
      <c r="AW99" s="2">
        <v>1.081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165</v>
      </c>
      <c r="BK99" s="2"/>
      <c r="BL99" s="2"/>
      <c r="BM99" s="2">
        <v>318</v>
      </c>
      <c r="BN99" s="2">
        <v>0</v>
      </c>
      <c r="BO99" s="2" t="s">
        <v>3</v>
      </c>
      <c r="BP99" s="2">
        <v>0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112</v>
      </c>
      <c r="CA99" s="2">
        <v>70</v>
      </c>
      <c r="CB99" s="2" t="s">
        <v>3</v>
      </c>
      <c r="CC99" s="2"/>
      <c r="CD99" s="2"/>
      <c r="CE99" s="2">
        <v>30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689</v>
      </c>
      <c r="CO99" s="2">
        <v>0</v>
      </c>
      <c r="CP99" s="2">
        <f t="shared" si="94"/>
        <v>89.37</v>
      </c>
      <c r="CQ99" s="2">
        <f t="shared" si="95"/>
        <v>57.23</v>
      </c>
      <c r="CR99" s="2">
        <f>(ROUND((ROUND((((ET99*1.1))*AV99*1),2)*BB99),2)+ROUND((ROUND(((AE99-((EU99*1.1)))*AV99*1),2)*BS99),2))</f>
        <v>61.97</v>
      </c>
      <c r="CS99" s="2">
        <f t="shared" si="96"/>
        <v>7.56</v>
      </c>
      <c r="CT99" s="2">
        <f t="shared" si="97"/>
        <v>228.47</v>
      </c>
      <c r="CU99" s="2">
        <f t="shared" si="98"/>
        <v>0</v>
      </c>
      <c r="CV99" s="2">
        <f t="shared" si="99"/>
        <v>18.544460000000001</v>
      </c>
      <c r="CW99" s="2">
        <f t="shared" si="100"/>
        <v>0</v>
      </c>
      <c r="CX99" s="2">
        <f t="shared" si="101"/>
        <v>0</v>
      </c>
      <c r="CY99" s="2">
        <f>((S99*BZ99)/100)</f>
        <v>65.777599999999993</v>
      </c>
      <c r="CZ99" s="2">
        <f>((S99*CA99)/100)</f>
        <v>41.110999999999997</v>
      </c>
      <c r="DA99" s="2"/>
      <c r="DB99" s="2"/>
      <c r="DC99" s="2" t="s">
        <v>3</v>
      </c>
      <c r="DD99" s="2" t="s">
        <v>3</v>
      </c>
      <c r="DE99" s="2" t="s">
        <v>22</v>
      </c>
      <c r="DF99" s="2" t="s">
        <v>22</v>
      </c>
      <c r="DG99" s="2" t="s">
        <v>22</v>
      </c>
      <c r="DH99" s="2" t="s">
        <v>3</v>
      </c>
      <c r="DI99" s="2" t="s">
        <v>22</v>
      </c>
      <c r="DJ99" s="2" t="s">
        <v>22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164</v>
      </c>
      <c r="DW99" s="2" t="s">
        <v>164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51696357</v>
      </c>
      <c r="EF99" s="2">
        <v>40</v>
      </c>
      <c r="EG99" s="2" t="s">
        <v>166</v>
      </c>
      <c r="EH99" s="2">
        <v>0</v>
      </c>
      <c r="EI99" s="2" t="s">
        <v>3</v>
      </c>
      <c r="EJ99" s="2">
        <v>2</v>
      </c>
      <c r="EK99" s="2">
        <v>318</v>
      </c>
      <c r="EL99" s="2" t="s">
        <v>167</v>
      </c>
      <c r="EM99" s="2" t="s">
        <v>168</v>
      </c>
      <c r="EN99" s="2"/>
      <c r="EO99" s="2" t="s">
        <v>26</v>
      </c>
      <c r="EP99" s="2"/>
      <c r="EQ99" s="2">
        <v>131072</v>
      </c>
      <c r="ER99" s="2">
        <v>300.39999999999998</v>
      </c>
      <c r="ES99" s="2">
        <v>52.94</v>
      </c>
      <c r="ET99" s="2">
        <v>52.8</v>
      </c>
      <c r="EU99" s="2">
        <v>6.44</v>
      </c>
      <c r="EV99" s="2">
        <v>194.66</v>
      </c>
      <c r="EW99" s="2">
        <v>15.8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2</v>
      </c>
      <c r="FT99" s="2"/>
      <c r="FU99" s="2"/>
      <c r="FV99" s="2"/>
      <c r="FW99" s="2"/>
      <c r="FX99" s="2">
        <v>112</v>
      </c>
      <c r="FY99" s="2">
        <v>70</v>
      </c>
      <c r="FZ99" s="2"/>
      <c r="GA99" s="2" t="s">
        <v>3</v>
      </c>
      <c r="GB99" s="2"/>
      <c r="GC99" s="2"/>
      <c r="GD99" s="2">
        <v>0</v>
      </c>
      <c r="GE99" s="2"/>
      <c r="GF99" s="2">
        <v>2013852604</v>
      </c>
      <c r="GG99" s="2">
        <v>2</v>
      </c>
      <c r="GH99" s="2">
        <v>1</v>
      </c>
      <c r="GI99" s="2">
        <v>-2</v>
      </c>
      <c r="GJ99" s="2">
        <v>0</v>
      </c>
      <c r="GK99" s="2">
        <f>ROUND(R99*(R12)/100,2)</f>
        <v>3.4</v>
      </c>
      <c r="GL99" s="2">
        <f t="shared" si="102"/>
        <v>0</v>
      </c>
      <c r="GM99" s="2">
        <f t="shared" si="103"/>
        <v>199.66</v>
      </c>
      <c r="GN99" s="2">
        <f t="shared" si="104"/>
        <v>0</v>
      </c>
      <c r="GO99" s="2">
        <f t="shared" si="105"/>
        <v>199.66</v>
      </c>
      <c r="GP99" s="2">
        <f t="shared" si="106"/>
        <v>0</v>
      </c>
      <c r="GQ99" s="2"/>
      <c r="GR99" s="2">
        <v>0</v>
      </c>
      <c r="GS99" s="2">
        <v>0</v>
      </c>
      <c r="GT99" s="2">
        <v>0</v>
      </c>
      <c r="GU99" s="2" t="s">
        <v>3</v>
      </c>
      <c r="GV99" s="2">
        <f t="shared" si="107"/>
        <v>0</v>
      </c>
      <c r="GW99" s="2">
        <v>1</v>
      </c>
      <c r="GX99" s="2">
        <f t="shared" si="108"/>
        <v>0</v>
      </c>
      <c r="GY99" s="2"/>
      <c r="GZ99" s="2"/>
      <c r="HA99" s="2">
        <v>0</v>
      </c>
      <c r="HB99" s="2">
        <v>0</v>
      </c>
      <c r="HC99" s="2">
        <f t="shared" si="109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>
        <v>17</v>
      </c>
      <c r="B100">
        <v>1</v>
      </c>
      <c r="C100">
        <f>ROW(SmtRes!A100)</f>
        <v>100</v>
      </c>
      <c r="D100">
        <f>ROW(EtalonRes!A144)</f>
        <v>144</v>
      </c>
      <c r="E100" t="s">
        <v>170</v>
      </c>
      <c r="F100" t="s">
        <v>162</v>
      </c>
      <c r="G100" t="s">
        <v>163</v>
      </c>
      <c r="H100" t="s">
        <v>164</v>
      </c>
      <c r="I100">
        <f>ROUND(36.72*0.7/100,9)</f>
        <v>0.25703999999999999</v>
      </c>
      <c r="J100">
        <v>0</v>
      </c>
      <c r="K100">
        <f>ROUND(36.72*0.7/100,9)</f>
        <v>0.25703999999999999</v>
      </c>
      <c r="O100">
        <f t="shared" si="81"/>
        <v>2474.23</v>
      </c>
      <c r="P100">
        <f t="shared" si="82"/>
        <v>255.66</v>
      </c>
      <c r="Q100">
        <f>(ROUND((ROUND((((ET100*1.1))*AV100*I100),2)*BB100),2)+ROUND((ROUND(((AE100-((EU100*1.1)))*AV100*I100),2)*BS100),2))</f>
        <v>191.8</v>
      </c>
      <c r="R100">
        <f t="shared" si="83"/>
        <v>66.95</v>
      </c>
      <c r="S100">
        <f t="shared" si="84"/>
        <v>2026.77</v>
      </c>
      <c r="T100">
        <f t="shared" si="85"/>
        <v>0</v>
      </c>
      <c r="U100">
        <f t="shared" si="86"/>
        <v>4.7666679984</v>
      </c>
      <c r="V100">
        <f t="shared" si="87"/>
        <v>0</v>
      </c>
      <c r="W100">
        <f t="shared" si="88"/>
        <v>0</v>
      </c>
      <c r="X100">
        <f t="shared" si="89"/>
        <v>1864.63</v>
      </c>
      <c r="Y100">
        <f t="shared" si="90"/>
        <v>871.51</v>
      </c>
      <c r="AA100">
        <v>56611490</v>
      </c>
      <c r="AB100">
        <f t="shared" si="91"/>
        <v>325.14600000000002</v>
      </c>
      <c r="AC100">
        <f>ROUND((ES100),6)</f>
        <v>52.94</v>
      </c>
      <c r="AD100">
        <f>ROUND(((((ET100*1.1))-((EU100*1.1)))+AE100),6)</f>
        <v>58.08</v>
      </c>
      <c r="AE100">
        <f>ROUND(((EU100*1.1)),6)</f>
        <v>7.0839999999999996</v>
      </c>
      <c r="AF100">
        <f>ROUND(((EV100*1.1)),6)</f>
        <v>214.126</v>
      </c>
      <c r="AG100">
        <f t="shared" si="92"/>
        <v>0</v>
      </c>
      <c r="AH100">
        <f>((EW100*1.1))</f>
        <v>17.380000000000003</v>
      </c>
      <c r="AI100">
        <f>((EX100*1.1))</f>
        <v>0</v>
      </c>
      <c r="AJ100">
        <f t="shared" si="93"/>
        <v>0</v>
      </c>
      <c r="AK100">
        <v>300.39999999999998</v>
      </c>
      <c r="AL100">
        <v>52.94</v>
      </c>
      <c r="AM100">
        <v>52.8</v>
      </c>
      <c r="AN100">
        <v>6.44</v>
      </c>
      <c r="AO100">
        <v>194.66</v>
      </c>
      <c r="AP100">
        <v>0</v>
      </c>
      <c r="AQ100">
        <v>15.8</v>
      </c>
      <c r="AR100">
        <v>0</v>
      </c>
      <c r="AS100">
        <v>0</v>
      </c>
      <c r="AT100">
        <v>92</v>
      </c>
      <c r="AU100">
        <v>43</v>
      </c>
      <c r="AV100">
        <v>1.0669999999999999</v>
      </c>
      <c r="AW100">
        <v>1.081</v>
      </c>
      <c r="AZ100">
        <v>1</v>
      </c>
      <c r="BA100">
        <v>34.51</v>
      </c>
      <c r="BB100">
        <v>12.04</v>
      </c>
      <c r="BC100">
        <v>17.38</v>
      </c>
      <c r="BD100" t="s">
        <v>3</v>
      </c>
      <c r="BE100" t="s">
        <v>3</v>
      </c>
      <c r="BF100" t="s">
        <v>3</v>
      </c>
      <c r="BG100" t="s">
        <v>3</v>
      </c>
      <c r="BH100">
        <v>0</v>
      </c>
      <c r="BI100">
        <v>2</v>
      </c>
      <c r="BJ100" t="s">
        <v>165</v>
      </c>
      <c r="BM100">
        <v>318</v>
      </c>
      <c r="BN100">
        <v>0</v>
      </c>
      <c r="BO100" t="s">
        <v>162</v>
      </c>
      <c r="BP100">
        <v>1</v>
      </c>
      <c r="BQ100">
        <v>40</v>
      </c>
      <c r="BR100">
        <v>0</v>
      </c>
      <c r="BS100">
        <v>34.51</v>
      </c>
      <c r="BT100">
        <v>1</v>
      </c>
      <c r="BU100">
        <v>1</v>
      </c>
      <c r="BV100">
        <v>1</v>
      </c>
      <c r="BW100">
        <v>1</v>
      </c>
      <c r="BX100">
        <v>1</v>
      </c>
      <c r="BY100" t="s">
        <v>3</v>
      </c>
      <c r="BZ100">
        <v>92</v>
      </c>
      <c r="CA100">
        <v>43</v>
      </c>
      <c r="CB100" t="s">
        <v>3</v>
      </c>
      <c r="CE100">
        <v>30</v>
      </c>
      <c r="CF100">
        <v>0</v>
      </c>
      <c r="CG100">
        <v>0</v>
      </c>
      <c r="CM100">
        <v>0</v>
      </c>
      <c r="CN100" t="s">
        <v>689</v>
      </c>
      <c r="CO100">
        <v>0</v>
      </c>
      <c r="CP100">
        <f t="shared" si="94"/>
        <v>2474.23</v>
      </c>
      <c r="CQ100">
        <f t="shared" si="95"/>
        <v>994.66</v>
      </c>
      <c r="CR100">
        <f>(ROUND((ROUND((((ET100*1.1))*AV100*1),2)*BB100),2)+ROUND((ROUND(((AE100-((EU100*1.1)))*AV100*1),2)*BS100),2))</f>
        <v>746.12</v>
      </c>
      <c r="CS100">
        <f t="shared" si="96"/>
        <v>260.89999999999998</v>
      </c>
      <c r="CT100">
        <f t="shared" si="97"/>
        <v>7884.5</v>
      </c>
      <c r="CU100">
        <f t="shared" si="98"/>
        <v>0</v>
      </c>
      <c r="CV100">
        <f t="shared" si="99"/>
        <v>18.544460000000001</v>
      </c>
      <c r="CW100">
        <f t="shared" si="100"/>
        <v>0</v>
      </c>
      <c r="CX100">
        <f t="shared" si="101"/>
        <v>0</v>
      </c>
      <c r="CY100">
        <f>S100*(BZ100/100)</f>
        <v>1864.6284000000001</v>
      </c>
      <c r="CZ100">
        <f>S100*(CA100/100)</f>
        <v>871.51109999999994</v>
      </c>
      <c r="DC100" t="s">
        <v>3</v>
      </c>
      <c r="DD100" t="s">
        <v>3</v>
      </c>
      <c r="DE100" t="s">
        <v>22</v>
      </c>
      <c r="DF100" t="s">
        <v>22</v>
      </c>
      <c r="DG100" t="s">
        <v>22</v>
      </c>
      <c r="DH100" t="s">
        <v>3</v>
      </c>
      <c r="DI100" t="s">
        <v>22</v>
      </c>
      <c r="DJ100" t="s">
        <v>22</v>
      </c>
      <c r="DK100" t="s">
        <v>3</v>
      </c>
      <c r="DL100" t="s">
        <v>3</v>
      </c>
      <c r="DM100" t="s">
        <v>3</v>
      </c>
      <c r="DN100">
        <v>112</v>
      </c>
      <c r="DO100">
        <v>70</v>
      </c>
      <c r="DP100">
        <v>1.0669999999999999</v>
      </c>
      <c r="DQ100">
        <v>1.081</v>
      </c>
      <c r="DU100">
        <v>1013</v>
      </c>
      <c r="DV100" t="s">
        <v>164</v>
      </c>
      <c r="DW100" t="s">
        <v>164</v>
      </c>
      <c r="DX100">
        <v>1</v>
      </c>
      <c r="DZ100" t="s">
        <v>3</v>
      </c>
      <c r="EA100" t="s">
        <v>3</v>
      </c>
      <c r="EB100" t="s">
        <v>3</v>
      </c>
      <c r="EC100" t="s">
        <v>3</v>
      </c>
      <c r="EE100">
        <v>51696357</v>
      </c>
      <c r="EF100">
        <v>40</v>
      </c>
      <c r="EG100" t="s">
        <v>166</v>
      </c>
      <c r="EH100">
        <v>0</v>
      </c>
      <c r="EI100" t="s">
        <v>3</v>
      </c>
      <c r="EJ100">
        <v>2</v>
      </c>
      <c r="EK100">
        <v>318</v>
      </c>
      <c r="EL100" t="s">
        <v>167</v>
      </c>
      <c r="EM100" t="s">
        <v>168</v>
      </c>
      <c r="EO100" t="s">
        <v>26</v>
      </c>
      <c r="EQ100">
        <v>131072</v>
      </c>
      <c r="ER100">
        <v>300.39999999999998</v>
      </c>
      <c r="ES100">
        <v>52.94</v>
      </c>
      <c r="ET100">
        <v>52.8</v>
      </c>
      <c r="EU100">
        <v>6.44</v>
      </c>
      <c r="EV100">
        <v>194.66</v>
      </c>
      <c r="EW100">
        <v>15.8</v>
      </c>
      <c r="EX100">
        <v>0</v>
      </c>
      <c r="EY100">
        <v>0</v>
      </c>
      <c r="FQ100">
        <v>0</v>
      </c>
      <c r="FR100">
        <v>0</v>
      </c>
      <c r="FS100">
        <v>2</v>
      </c>
      <c r="FX100">
        <v>112</v>
      </c>
      <c r="FY100">
        <v>70</v>
      </c>
      <c r="GA100" t="s">
        <v>3</v>
      </c>
      <c r="GD100">
        <v>0</v>
      </c>
      <c r="GF100">
        <v>2013852604</v>
      </c>
      <c r="GG100">
        <v>2</v>
      </c>
      <c r="GH100">
        <v>1</v>
      </c>
      <c r="GI100">
        <v>2</v>
      </c>
      <c r="GJ100">
        <v>0</v>
      </c>
      <c r="GK100">
        <f>ROUND(R100*(S12)/100,2)</f>
        <v>107.12</v>
      </c>
      <c r="GL100">
        <f t="shared" si="102"/>
        <v>0</v>
      </c>
      <c r="GM100">
        <f t="shared" si="103"/>
        <v>5317.49</v>
      </c>
      <c r="GN100">
        <f t="shared" si="104"/>
        <v>0</v>
      </c>
      <c r="GO100">
        <f t="shared" si="105"/>
        <v>5317.49</v>
      </c>
      <c r="GP100">
        <f t="shared" si="106"/>
        <v>0</v>
      </c>
      <c r="GR100">
        <v>0</v>
      </c>
      <c r="GS100">
        <v>3</v>
      </c>
      <c r="GT100">
        <v>0</v>
      </c>
      <c r="GU100" t="s">
        <v>3</v>
      </c>
      <c r="GV100">
        <f t="shared" si="107"/>
        <v>0</v>
      </c>
      <c r="GW100">
        <v>1</v>
      </c>
      <c r="GX100">
        <f t="shared" si="108"/>
        <v>0</v>
      </c>
      <c r="HA100">
        <v>0</v>
      </c>
      <c r="HB100">
        <v>0</v>
      </c>
      <c r="HC100">
        <f t="shared" si="109"/>
        <v>0</v>
      </c>
      <c r="HE100" t="s">
        <v>3</v>
      </c>
      <c r="HF100" t="s">
        <v>3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S100">
        <v>0</v>
      </c>
      <c r="IK100">
        <v>0</v>
      </c>
    </row>
    <row r="101" spans="1:255" x14ac:dyDescent="0.2">
      <c r="A101" s="2">
        <v>17</v>
      </c>
      <c r="B101" s="2">
        <v>1</v>
      </c>
      <c r="C101" s="2">
        <f>ROW(SmtRes!A111)</f>
        <v>111</v>
      </c>
      <c r="D101" s="2">
        <f>ROW(EtalonRes!A157)</f>
        <v>157</v>
      </c>
      <c r="E101" s="2" t="s">
        <v>171</v>
      </c>
      <c r="F101" s="2" t="s">
        <v>172</v>
      </c>
      <c r="G101" s="2" t="s">
        <v>173</v>
      </c>
      <c r="H101" s="2" t="s">
        <v>164</v>
      </c>
      <c r="I101" s="2">
        <v>0</v>
      </c>
      <c r="J101" s="2">
        <v>0</v>
      </c>
      <c r="K101" s="2">
        <v>0</v>
      </c>
      <c r="L101" s="2"/>
      <c r="M101" s="2"/>
      <c r="N101" s="2"/>
      <c r="O101" s="2">
        <f t="shared" si="81"/>
        <v>0</v>
      </c>
      <c r="P101" s="2">
        <f t="shared" si="82"/>
        <v>0</v>
      </c>
      <c r="Q101" s="2">
        <f>(ROUND((ROUND(((((ET101*1.1)*1.2))*AV101*I101),2)*BB101),2)+ROUND((ROUND(((AE101-(((EU101*1.1)*1.2)))*AV101*I101),2)*BS101),2))</f>
        <v>0</v>
      </c>
      <c r="R101" s="2">
        <f t="shared" si="83"/>
        <v>0</v>
      </c>
      <c r="S101" s="2">
        <f t="shared" si="84"/>
        <v>0</v>
      </c>
      <c r="T101" s="2">
        <f t="shared" si="85"/>
        <v>0</v>
      </c>
      <c r="U101" s="2">
        <f t="shared" si="86"/>
        <v>0</v>
      </c>
      <c r="V101" s="2">
        <f t="shared" si="87"/>
        <v>0</v>
      </c>
      <c r="W101" s="2">
        <f t="shared" si="88"/>
        <v>0</v>
      </c>
      <c r="X101" s="2">
        <f t="shared" si="89"/>
        <v>0</v>
      </c>
      <c r="Y101" s="2">
        <f t="shared" si="90"/>
        <v>0</v>
      </c>
      <c r="Z101" s="2"/>
      <c r="AA101" s="2">
        <v>56622523</v>
      </c>
      <c r="AB101" s="2">
        <f t="shared" si="91"/>
        <v>230.0624</v>
      </c>
      <c r="AC101" s="2">
        <f>ROUND(((ES101*1)),6)</f>
        <v>53.75</v>
      </c>
      <c r="AD101" s="2">
        <f>ROUND((((((ET101*1.1)*1.2))-(((EU101*1.1)*1.2)))+AE101),6)</f>
        <v>60.205199999999998</v>
      </c>
      <c r="AE101" s="2">
        <f>ROUND((((EU101*1.1)*1.2)),6)</f>
        <v>8.1707999999999998</v>
      </c>
      <c r="AF101" s="2">
        <f>ROUND((((EV101*1.1)*1.2)),6)</f>
        <v>116.10720000000001</v>
      </c>
      <c r="AG101" s="2">
        <f t="shared" si="92"/>
        <v>0</v>
      </c>
      <c r="AH101" s="2">
        <f>(((EW101*1.1)*1.2))</f>
        <v>9.4247999999999994</v>
      </c>
      <c r="AI101" s="2">
        <f>(((EX101*1.1)*1.2))</f>
        <v>0</v>
      </c>
      <c r="AJ101" s="2">
        <f t="shared" si="93"/>
        <v>0</v>
      </c>
      <c r="AK101" s="2">
        <v>187.32</v>
      </c>
      <c r="AL101" s="2">
        <v>53.75</v>
      </c>
      <c r="AM101" s="2">
        <v>45.61</v>
      </c>
      <c r="AN101" s="2">
        <v>6.19</v>
      </c>
      <c r="AO101" s="2">
        <v>87.96</v>
      </c>
      <c r="AP101" s="2">
        <v>0</v>
      </c>
      <c r="AQ101" s="2">
        <v>7.14</v>
      </c>
      <c r="AR101" s="2">
        <v>0</v>
      </c>
      <c r="AS101" s="2">
        <v>0</v>
      </c>
      <c r="AT101" s="2">
        <v>112</v>
      </c>
      <c r="AU101" s="2">
        <v>70</v>
      </c>
      <c r="AV101" s="2">
        <v>1.0669999999999999</v>
      </c>
      <c r="AW101" s="2">
        <v>1.081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174</v>
      </c>
      <c r="BK101" s="2"/>
      <c r="BL101" s="2"/>
      <c r="BM101" s="2">
        <v>318</v>
      </c>
      <c r="BN101" s="2">
        <v>0</v>
      </c>
      <c r="BO101" s="2" t="s">
        <v>3</v>
      </c>
      <c r="BP101" s="2">
        <v>0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112</v>
      </c>
      <c r="CA101" s="2">
        <v>70</v>
      </c>
      <c r="CB101" s="2" t="s">
        <v>3</v>
      </c>
      <c r="CC101" s="2"/>
      <c r="CD101" s="2"/>
      <c r="CE101" s="2">
        <v>30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692</v>
      </c>
      <c r="CO101" s="2">
        <v>0</v>
      </c>
      <c r="CP101" s="2">
        <f t="shared" si="94"/>
        <v>0</v>
      </c>
      <c r="CQ101" s="2">
        <f t="shared" si="95"/>
        <v>58.1</v>
      </c>
      <c r="CR101" s="2">
        <f>(ROUND((ROUND(((((ET101*1.1)*1.2))*AV101*1),2)*BB101),2)+ROUND((ROUND(((AE101-(((EU101*1.1)*1.2)))*AV101*1),2)*BS101),2))</f>
        <v>64.239999999999995</v>
      </c>
      <c r="CS101" s="2">
        <f t="shared" si="96"/>
        <v>8.7200000000000006</v>
      </c>
      <c r="CT101" s="2">
        <f t="shared" si="97"/>
        <v>123.89</v>
      </c>
      <c r="CU101" s="2">
        <f t="shared" si="98"/>
        <v>0</v>
      </c>
      <c r="CV101" s="2">
        <f t="shared" si="99"/>
        <v>10.056261599999999</v>
      </c>
      <c r="CW101" s="2">
        <f t="shared" si="100"/>
        <v>0</v>
      </c>
      <c r="CX101" s="2">
        <f t="shared" si="101"/>
        <v>0</v>
      </c>
      <c r="CY101" s="2">
        <f>((S101*BZ101)/100)</f>
        <v>0</v>
      </c>
      <c r="CZ101" s="2">
        <f>((S101*CA101)/100)</f>
        <v>0</v>
      </c>
      <c r="DA101" s="2"/>
      <c r="DB101" s="2"/>
      <c r="DC101" s="2" t="s">
        <v>3</v>
      </c>
      <c r="DD101" s="2" t="s">
        <v>42</v>
      </c>
      <c r="DE101" s="2" t="s">
        <v>70</v>
      </c>
      <c r="DF101" s="2" t="s">
        <v>70</v>
      </c>
      <c r="DG101" s="2" t="s">
        <v>70</v>
      </c>
      <c r="DH101" s="2" t="s">
        <v>3</v>
      </c>
      <c r="DI101" s="2" t="s">
        <v>70</v>
      </c>
      <c r="DJ101" s="2" t="s">
        <v>70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164</v>
      </c>
      <c r="DW101" s="2" t="s">
        <v>164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51696357</v>
      </c>
      <c r="EF101" s="2">
        <v>40</v>
      </c>
      <c r="EG101" s="2" t="s">
        <v>166</v>
      </c>
      <c r="EH101" s="2">
        <v>0</v>
      </c>
      <c r="EI101" s="2" t="s">
        <v>3</v>
      </c>
      <c r="EJ101" s="2">
        <v>2</v>
      </c>
      <c r="EK101" s="2">
        <v>318</v>
      </c>
      <c r="EL101" s="2" t="s">
        <v>167</v>
      </c>
      <c r="EM101" s="2" t="s">
        <v>168</v>
      </c>
      <c r="EN101" s="2"/>
      <c r="EO101" s="2" t="s">
        <v>169</v>
      </c>
      <c r="EP101" s="2"/>
      <c r="EQ101" s="2">
        <v>131072</v>
      </c>
      <c r="ER101" s="2">
        <v>187.32</v>
      </c>
      <c r="ES101" s="2">
        <v>53.75</v>
      </c>
      <c r="ET101" s="2">
        <v>45.61</v>
      </c>
      <c r="EU101" s="2">
        <v>6.19</v>
      </c>
      <c r="EV101" s="2">
        <v>87.96</v>
      </c>
      <c r="EW101" s="2">
        <v>7.14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2</v>
      </c>
      <c r="FT101" s="2"/>
      <c r="FU101" s="2"/>
      <c r="FV101" s="2"/>
      <c r="FW101" s="2"/>
      <c r="FX101" s="2">
        <v>112</v>
      </c>
      <c r="FY101" s="2">
        <v>70</v>
      </c>
      <c r="FZ101" s="2"/>
      <c r="GA101" s="2" t="s">
        <v>3</v>
      </c>
      <c r="GB101" s="2"/>
      <c r="GC101" s="2"/>
      <c r="GD101" s="2">
        <v>0</v>
      </c>
      <c r="GE101" s="2"/>
      <c r="GF101" s="2">
        <v>-1470878467</v>
      </c>
      <c r="GG101" s="2">
        <v>2</v>
      </c>
      <c r="GH101" s="2">
        <v>1</v>
      </c>
      <c r="GI101" s="2">
        <v>-2</v>
      </c>
      <c r="GJ101" s="2">
        <v>0</v>
      </c>
      <c r="GK101" s="2">
        <f>ROUND(R101*(R12)/100,2)</f>
        <v>0</v>
      </c>
      <c r="GL101" s="2">
        <f t="shared" si="102"/>
        <v>0</v>
      </c>
      <c r="GM101" s="2">
        <f t="shared" si="103"/>
        <v>0</v>
      </c>
      <c r="GN101" s="2">
        <f t="shared" si="104"/>
        <v>0</v>
      </c>
      <c r="GO101" s="2">
        <f t="shared" si="105"/>
        <v>0</v>
      </c>
      <c r="GP101" s="2">
        <f t="shared" si="106"/>
        <v>0</v>
      </c>
      <c r="GQ101" s="2"/>
      <c r="GR101" s="2">
        <v>0</v>
      </c>
      <c r="GS101" s="2">
        <v>0</v>
      </c>
      <c r="GT101" s="2">
        <v>0</v>
      </c>
      <c r="GU101" s="2" t="s">
        <v>3</v>
      </c>
      <c r="GV101" s="2">
        <f t="shared" si="107"/>
        <v>0</v>
      </c>
      <c r="GW101" s="2">
        <v>1</v>
      </c>
      <c r="GX101" s="2">
        <f t="shared" si="108"/>
        <v>0</v>
      </c>
      <c r="GY101" s="2"/>
      <c r="GZ101" s="2"/>
      <c r="HA101" s="2">
        <v>0</v>
      </c>
      <c r="HB101" s="2">
        <v>0</v>
      </c>
      <c r="HC101" s="2">
        <f t="shared" si="109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>
        <v>17</v>
      </c>
      <c r="B102">
        <v>1</v>
      </c>
      <c r="C102">
        <f>ROW(SmtRes!A122)</f>
        <v>122</v>
      </c>
      <c r="D102">
        <f>ROW(EtalonRes!A170)</f>
        <v>170</v>
      </c>
      <c r="E102" t="s">
        <v>171</v>
      </c>
      <c r="F102" t="s">
        <v>172</v>
      </c>
      <c r="G102" t="s">
        <v>173</v>
      </c>
      <c r="H102" t="s">
        <v>164</v>
      </c>
      <c r="I102">
        <v>0</v>
      </c>
      <c r="J102">
        <v>0</v>
      </c>
      <c r="K102">
        <v>0</v>
      </c>
      <c r="O102">
        <f t="shared" si="81"/>
        <v>0</v>
      </c>
      <c r="P102">
        <f t="shared" si="82"/>
        <v>0</v>
      </c>
      <c r="Q102">
        <f>(ROUND((ROUND(((((ET102*1.1)*1.2))*AV102*I102),2)*BB102),2)+ROUND((ROUND(((AE102-(((EU102*1.1)*1.2)))*AV102*I102),2)*BS102),2))</f>
        <v>0</v>
      </c>
      <c r="R102">
        <f t="shared" si="83"/>
        <v>0</v>
      </c>
      <c r="S102">
        <f t="shared" si="84"/>
        <v>0</v>
      </c>
      <c r="T102">
        <f t="shared" si="85"/>
        <v>0</v>
      </c>
      <c r="U102">
        <f t="shared" si="86"/>
        <v>0</v>
      </c>
      <c r="V102">
        <f t="shared" si="87"/>
        <v>0</v>
      </c>
      <c r="W102">
        <f t="shared" si="88"/>
        <v>0</v>
      </c>
      <c r="X102">
        <f t="shared" si="89"/>
        <v>0</v>
      </c>
      <c r="Y102">
        <f t="shared" si="90"/>
        <v>0</v>
      </c>
      <c r="AA102">
        <v>56611490</v>
      </c>
      <c r="AB102">
        <f t="shared" si="91"/>
        <v>230.0624</v>
      </c>
      <c r="AC102">
        <f>ROUND(((ES102*1)),6)</f>
        <v>53.75</v>
      </c>
      <c r="AD102">
        <f>ROUND((((((ET102*1.1)*1.2))-(((EU102*1.1)*1.2)))+AE102),6)</f>
        <v>60.205199999999998</v>
      </c>
      <c r="AE102">
        <f>ROUND((((EU102*1.1)*1.2)),6)</f>
        <v>8.1707999999999998</v>
      </c>
      <c r="AF102">
        <f>ROUND((((EV102*1.1)*1.2)),6)</f>
        <v>116.10720000000001</v>
      </c>
      <c r="AG102">
        <f t="shared" si="92"/>
        <v>0</v>
      </c>
      <c r="AH102">
        <f>(((EW102*1.1)*1.2))</f>
        <v>9.4247999999999994</v>
      </c>
      <c r="AI102">
        <f>(((EX102*1.1)*1.2))</f>
        <v>0</v>
      </c>
      <c r="AJ102">
        <f t="shared" si="93"/>
        <v>0</v>
      </c>
      <c r="AK102">
        <v>187.32</v>
      </c>
      <c r="AL102">
        <v>53.75</v>
      </c>
      <c r="AM102">
        <v>45.61</v>
      </c>
      <c r="AN102">
        <v>6.19</v>
      </c>
      <c r="AO102">
        <v>87.96</v>
      </c>
      <c r="AP102">
        <v>0</v>
      </c>
      <c r="AQ102">
        <v>7.14</v>
      </c>
      <c r="AR102">
        <v>0</v>
      </c>
      <c r="AS102">
        <v>0</v>
      </c>
      <c r="AT102">
        <v>92</v>
      </c>
      <c r="AU102">
        <v>43</v>
      </c>
      <c r="AV102">
        <v>1.0669999999999999</v>
      </c>
      <c r="AW102">
        <v>1.081</v>
      </c>
      <c r="AZ102">
        <v>1</v>
      </c>
      <c r="BA102">
        <v>34.51</v>
      </c>
      <c r="BB102">
        <v>12.42</v>
      </c>
      <c r="BC102">
        <v>17.21</v>
      </c>
      <c r="BD102" t="s">
        <v>3</v>
      </c>
      <c r="BE102" t="s">
        <v>3</v>
      </c>
      <c r="BF102" t="s">
        <v>3</v>
      </c>
      <c r="BG102" t="s">
        <v>3</v>
      </c>
      <c r="BH102">
        <v>0</v>
      </c>
      <c r="BI102">
        <v>2</v>
      </c>
      <c r="BJ102" t="s">
        <v>174</v>
      </c>
      <c r="BM102">
        <v>318</v>
      </c>
      <c r="BN102">
        <v>0</v>
      </c>
      <c r="BO102" t="s">
        <v>172</v>
      </c>
      <c r="BP102">
        <v>1</v>
      </c>
      <c r="BQ102">
        <v>40</v>
      </c>
      <c r="BR102">
        <v>0</v>
      </c>
      <c r="BS102">
        <v>34.51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</v>
      </c>
      <c r="BZ102">
        <v>92</v>
      </c>
      <c r="CA102">
        <v>43</v>
      </c>
      <c r="CB102" t="s">
        <v>3</v>
      </c>
      <c r="CE102">
        <v>30</v>
      </c>
      <c r="CF102">
        <v>0</v>
      </c>
      <c r="CG102">
        <v>0</v>
      </c>
      <c r="CM102">
        <v>0</v>
      </c>
      <c r="CN102" t="s">
        <v>692</v>
      </c>
      <c r="CO102">
        <v>0</v>
      </c>
      <c r="CP102">
        <f t="shared" si="94"/>
        <v>0</v>
      </c>
      <c r="CQ102">
        <f t="shared" si="95"/>
        <v>999.9</v>
      </c>
      <c r="CR102">
        <f>(ROUND((ROUND(((((ET102*1.1)*1.2))*AV102*1),2)*BB102),2)+ROUND((ROUND(((AE102-(((EU102*1.1)*1.2)))*AV102*1),2)*BS102),2))</f>
        <v>797.86</v>
      </c>
      <c r="CS102">
        <f t="shared" si="96"/>
        <v>300.93</v>
      </c>
      <c r="CT102">
        <f t="shared" si="97"/>
        <v>4275.4399999999996</v>
      </c>
      <c r="CU102">
        <f t="shared" si="98"/>
        <v>0</v>
      </c>
      <c r="CV102">
        <f t="shared" si="99"/>
        <v>10.056261599999999</v>
      </c>
      <c r="CW102">
        <f t="shared" si="100"/>
        <v>0</v>
      </c>
      <c r="CX102">
        <f t="shared" si="101"/>
        <v>0</v>
      </c>
      <c r="CY102">
        <f>S102*(BZ102/100)</f>
        <v>0</v>
      </c>
      <c r="CZ102">
        <f>S102*(CA102/100)</f>
        <v>0</v>
      </c>
      <c r="DC102" t="s">
        <v>3</v>
      </c>
      <c r="DD102" t="s">
        <v>42</v>
      </c>
      <c r="DE102" t="s">
        <v>70</v>
      </c>
      <c r="DF102" t="s">
        <v>70</v>
      </c>
      <c r="DG102" t="s">
        <v>70</v>
      </c>
      <c r="DH102" t="s">
        <v>3</v>
      </c>
      <c r="DI102" t="s">
        <v>70</v>
      </c>
      <c r="DJ102" t="s">
        <v>70</v>
      </c>
      <c r="DK102" t="s">
        <v>3</v>
      </c>
      <c r="DL102" t="s">
        <v>3</v>
      </c>
      <c r="DM102" t="s">
        <v>3</v>
      </c>
      <c r="DN102">
        <v>112</v>
      </c>
      <c r="DO102">
        <v>70</v>
      </c>
      <c r="DP102">
        <v>1.0669999999999999</v>
      </c>
      <c r="DQ102">
        <v>1.081</v>
      </c>
      <c r="DU102">
        <v>1013</v>
      </c>
      <c r="DV102" t="s">
        <v>164</v>
      </c>
      <c r="DW102" t="s">
        <v>164</v>
      </c>
      <c r="DX102">
        <v>1</v>
      </c>
      <c r="DZ102" t="s">
        <v>3</v>
      </c>
      <c r="EA102" t="s">
        <v>3</v>
      </c>
      <c r="EB102" t="s">
        <v>3</v>
      </c>
      <c r="EC102" t="s">
        <v>3</v>
      </c>
      <c r="EE102">
        <v>51696357</v>
      </c>
      <c r="EF102">
        <v>40</v>
      </c>
      <c r="EG102" t="s">
        <v>166</v>
      </c>
      <c r="EH102">
        <v>0</v>
      </c>
      <c r="EI102" t="s">
        <v>3</v>
      </c>
      <c r="EJ102">
        <v>2</v>
      </c>
      <c r="EK102">
        <v>318</v>
      </c>
      <c r="EL102" t="s">
        <v>167</v>
      </c>
      <c r="EM102" t="s">
        <v>168</v>
      </c>
      <c r="EO102" t="s">
        <v>169</v>
      </c>
      <c r="EQ102">
        <v>131072</v>
      </c>
      <c r="ER102">
        <v>187.32</v>
      </c>
      <c r="ES102">
        <v>53.75</v>
      </c>
      <c r="ET102">
        <v>45.61</v>
      </c>
      <c r="EU102">
        <v>6.19</v>
      </c>
      <c r="EV102">
        <v>87.96</v>
      </c>
      <c r="EW102">
        <v>7.14</v>
      </c>
      <c r="EX102">
        <v>0</v>
      </c>
      <c r="EY102">
        <v>0</v>
      </c>
      <c r="FQ102">
        <v>0</v>
      </c>
      <c r="FR102">
        <v>0</v>
      </c>
      <c r="FS102">
        <v>2</v>
      </c>
      <c r="FX102">
        <v>112</v>
      </c>
      <c r="FY102">
        <v>70</v>
      </c>
      <c r="GA102" t="s">
        <v>3</v>
      </c>
      <c r="GD102">
        <v>0</v>
      </c>
      <c r="GF102">
        <v>-1470878467</v>
      </c>
      <c r="GG102">
        <v>2</v>
      </c>
      <c r="GH102">
        <v>1</v>
      </c>
      <c r="GI102">
        <v>2</v>
      </c>
      <c r="GJ102">
        <v>0</v>
      </c>
      <c r="GK102">
        <f>ROUND(R102*(S12)/100,2)</f>
        <v>0</v>
      </c>
      <c r="GL102">
        <f t="shared" si="102"/>
        <v>0</v>
      </c>
      <c r="GM102">
        <f t="shared" si="103"/>
        <v>0</v>
      </c>
      <c r="GN102">
        <f t="shared" si="104"/>
        <v>0</v>
      </c>
      <c r="GO102">
        <f t="shared" si="105"/>
        <v>0</v>
      </c>
      <c r="GP102">
        <f t="shared" si="106"/>
        <v>0</v>
      </c>
      <c r="GR102">
        <v>0</v>
      </c>
      <c r="GS102">
        <v>3</v>
      </c>
      <c r="GT102">
        <v>0</v>
      </c>
      <c r="GU102" t="s">
        <v>3</v>
      </c>
      <c r="GV102">
        <f t="shared" si="107"/>
        <v>0</v>
      </c>
      <c r="GW102">
        <v>1</v>
      </c>
      <c r="GX102">
        <f t="shared" si="108"/>
        <v>0</v>
      </c>
      <c r="HA102">
        <v>0</v>
      </c>
      <c r="HB102">
        <v>0</v>
      </c>
      <c r="HC102">
        <f t="shared" si="109"/>
        <v>0</v>
      </c>
      <c r="HE102" t="s">
        <v>3</v>
      </c>
      <c r="HF102" t="s">
        <v>3</v>
      </c>
      <c r="HM102" t="s">
        <v>3</v>
      </c>
      <c r="HN102" t="s">
        <v>3</v>
      </c>
      <c r="HO102" t="s">
        <v>3</v>
      </c>
      <c r="HP102" t="s">
        <v>3</v>
      </c>
      <c r="HQ102" t="s">
        <v>3</v>
      </c>
      <c r="HS102">
        <v>0</v>
      </c>
      <c r="IK102">
        <v>0</v>
      </c>
    </row>
    <row r="103" spans="1:255" x14ac:dyDescent="0.2">
      <c r="A103" s="2">
        <v>17</v>
      </c>
      <c r="B103" s="2">
        <v>1</v>
      </c>
      <c r="C103" s="2"/>
      <c r="D103" s="2"/>
      <c r="E103" s="2" t="s">
        <v>175</v>
      </c>
      <c r="F103" s="2" t="s">
        <v>176</v>
      </c>
      <c r="G103" s="2" t="s">
        <v>177</v>
      </c>
      <c r="H103" s="2" t="s">
        <v>178</v>
      </c>
      <c r="I103" s="2">
        <f>ROUND(37.45/1000,9)</f>
        <v>3.7449999999999997E-2</v>
      </c>
      <c r="J103" s="2">
        <v>0</v>
      </c>
      <c r="K103" s="2">
        <f>ROUND(37.45/1000,9)</f>
        <v>3.7449999999999997E-2</v>
      </c>
      <c r="L103" s="2"/>
      <c r="M103" s="2"/>
      <c r="N103" s="2"/>
      <c r="O103" s="2">
        <f t="shared" si="81"/>
        <v>3053.46</v>
      </c>
      <c r="P103" s="2">
        <f t="shared" si="82"/>
        <v>3053.46</v>
      </c>
      <c r="Q103" s="2">
        <f>(ROUND((ROUND(((ET103)*AV103*I103),2)*BB103),2)+ROUND((ROUND(((AE103-(EU103))*AV103*I103),2)*BS103),2))</f>
        <v>0</v>
      </c>
      <c r="R103" s="2">
        <f t="shared" si="83"/>
        <v>0</v>
      </c>
      <c r="S103" s="2">
        <f t="shared" si="84"/>
        <v>0</v>
      </c>
      <c r="T103" s="2">
        <f t="shared" si="85"/>
        <v>0</v>
      </c>
      <c r="U103" s="2">
        <f t="shared" si="86"/>
        <v>0</v>
      </c>
      <c r="V103" s="2">
        <f t="shared" si="87"/>
        <v>0</v>
      </c>
      <c r="W103" s="2">
        <f t="shared" si="88"/>
        <v>0</v>
      </c>
      <c r="X103" s="2">
        <f t="shared" si="89"/>
        <v>0</v>
      </c>
      <c r="Y103" s="2">
        <f t="shared" si="90"/>
        <v>0</v>
      </c>
      <c r="Z103" s="2"/>
      <c r="AA103" s="2">
        <v>56622523</v>
      </c>
      <c r="AB103" s="2">
        <f t="shared" si="91"/>
        <v>81534.37</v>
      </c>
      <c r="AC103" s="2">
        <f>ROUND((ES103),6)</f>
        <v>81534.37</v>
      </c>
      <c r="AD103" s="2">
        <f>ROUND((((ET103)-(EU103))+AE103),6)</f>
        <v>0</v>
      </c>
      <c r="AE103" s="2">
        <f>ROUND((EU103),6)</f>
        <v>0</v>
      </c>
      <c r="AF103" s="2">
        <f>ROUND((EV103),6)</f>
        <v>0</v>
      </c>
      <c r="AG103" s="2">
        <f t="shared" si="92"/>
        <v>0</v>
      </c>
      <c r="AH103" s="2">
        <f>(EW103)</f>
        <v>0</v>
      </c>
      <c r="AI103" s="2">
        <f>(EX103)</f>
        <v>0</v>
      </c>
      <c r="AJ103" s="2">
        <f t="shared" si="93"/>
        <v>0</v>
      </c>
      <c r="AK103" s="2">
        <v>81534.37</v>
      </c>
      <c r="AL103" s="2">
        <v>81534.37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2</v>
      </c>
      <c r="BJ103" s="2" t="s">
        <v>179</v>
      </c>
      <c r="BK103" s="2"/>
      <c r="BL103" s="2"/>
      <c r="BM103" s="2">
        <v>1618</v>
      </c>
      <c r="BN103" s="2">
        <v>0</v>
      </c>
      <c r="BO103" s="2" t="s">
        <v>3</v>
      </c>
      <c r="BP103" s="2">
        <v>0</v>
      </c>
      <c r="BQ103" s="2">
        <v>201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30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94"/>
        <v>3053.46</v>
      </c>
      <c r="CQ103" s="2">
        <f t="shared" si="95"/>
        <v>81534.37</v>
      </c>
      <c r="CR103" s="2">
        <f>(ROUND((ROUND(((ET103)*AV103*1),2)*BB103),2)+ROUND((ROUND(((AE103-(EU103))*AV103*1),2)*BS103),2))</f>
        <v>0</v>
      </c>
      <c r="CS103" s="2">
        <f t="shared" si="96"/>
        <v>0</v>
      </c>
      <c r="CT103" s="2">
        <f t="shared" si="97"/>
        <v>0</v>
      </c>
      <c r="CU103" s="2">
        <f t="shared" si="98"/>
        <v>0</v>
      </c>
      <c r="CV103" s="2">
        <f t="shared" si="99"/>
        <v>0</v>
      </c>
      <c r="CW103" s="2">
        <f t="shared" si="100"/>
        <v>0</v>
      </c>
      <c r="CX103" s="2">
        <f t="shared" si="101"/>
        <v>0</v>
      </c>
      <c r="CY103" s="2">
        <f>((S103*BZ103)/100)</f>
        <v>0</v>
      </c>
      <c r="CZ103" s="2">
        <f>((S103*CA103)/100)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1003</v>
      </c>
      <c r="DV103" s="2" t="s">
        <v>178</v>
      </c>
      <c r="DW103" s="2" t="s">
        <v>178</v>
      </c>
      <c r="DX103" s="2">
        <v>1000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51697657</v>
      </c>
      <c r="EF103" s="2">
        <v>201</v>
      </c>
      <c r="EG103" s="2" t="s">
        <v>180</v>
      </c>
      <c r="EH103" s="2">
        <v>0</v>
      </c>
      <c r="EI103" s="2" t="s">
        <v>3</v>
      </c>
      <c r="EJ103" s="2">
        <v>2</v>
      </c>
      <c r="EK103" s="2">
        <v>1618</v>
      </c>
      <c r="EL103" s="2" t="s">
        <v>181</v>
      </c>
      <c r="EM103" s="2" t="s">
        <v>182</v>
      </c>
      <c r="EN103" s="2"/>
      <c r="EO103" s="2" t="s">
        <v>3</v>
      </c>
      <c r="EP103" s="2"/>
      <c r="EQ103" s="2">
        <v>131072</v>
      </c>
      <c r="ER103" s="2">
        <v>81534.37</v>
      </c>
      <c r="ES103" s="2">
        <v>81534.37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3</v>
      </c>
      <c r="GB103" s="2"/>
      <c r="GC103" s="2"/>
      <c r="GD103" s="2">
        <v>0</v>
      </c>
      <c r="GE103" s="2"/>
      <c r="GF103" s="2">
        <v>61579043</v>
      </c>
      <c r="GG103" s="2">
        <v>2</v>
      </c>
      <c r="GH103" s="2">
        <v>1</v>
      </c>
      <c r="GI103" s="2">
        <v>-2</v>
      </c>
      <c r="GJ103" s="2">
        <v>0</v>
      </c>
      <c r="GK103" s="2">
        <f>ROUND(R103*(R12)/100,2)</f>
        <v>0</v>
      </c>
      <c r="GL103" s="2">
        <f t="shared" si="102"/>
        <v>0</v>
      </c>
      <c r="GM103" s="2">
        <f t="shared" si="103"/>
        <v>3053.46</v>
      </c>
      <c r="GN103" s="2">
        <f t="shared" si="104"/>
        <v>0</v>
      </c>
      <c r="GO103" s="2">
        <f t="shared" si="105"/>
        <v>3053.46</v>
      </c>
      <c r="GP103" s="2">
        <f t="shared" si="106"/>
        <v>0</v>
      </c>
      <c r="GQ103" s="2"/>
      <c r="GR103" s="2">
        <v>0</v>
      </c>
      <c r="GS103" s="2">
        <v>0</v>
      </c>
      <c r="GT103" s="2">
        <v>0</v>
      </c>
      <c r="GU103" s="2" t="s">
        <v>3</v>
      </c>
      <c r="GV103" s="2">
        <f t="shared" si="107"/>
        <v>0</v>
      </c>
      <c r="GW103" s="2">
        <v>1</v>
      </c>
      <c r="GX103" s="2">
        <f t="shared" si="108"/>
        <v>0</v>
      </c>
      <c r="GY103" s="2"/>
      <c r="GZ103" s="2"/>
      <c r="HA103" s="2">
        <v>0</v>
      </c>
      <c r="HB103" s="2">
        <v>0</v>
      </c>
      <c r="HC103" s="2">
        <f t="shared" si="109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>
        <v>17</v>
      </c>
      <c r="B104">
        <v>1</v>
      </c>
      <c r="E104" t="s">
        <v>175</v>
      </c>
      <c r="F104" t="s">
        <v>176</v>
      </c>
      <c r="G104" t="s">
        <v>177</v>
      </c>
      <c r="H104" t="s">
        <v>178</v>
      </c>
      <c r="I104">
        <f>ROUND(37.45/1000,9)</f>
        <v>3.7449999999999997E-2</v>
      </c>
      <c r="J104">
        <v>0</v>
      </c>
      <c r="K104">
        <f>ROUND(37.45/1000,9)</f>
        <v>3.7449999999999997E-2</v>
      </c>
      <c r="O104">
        <f t="shared" si="81"/>
        <v>24244.47</v>
      </c>
      <c r="P104">
        <f t="shared" si="82"/>
        <v>24244.47</v>
      </c>
      <c r="Q104">
        <f>(ROUND((ROUND(((ET104)*AV104*I104),2)*BB104),2)+ROUND((ROUND(((AE104-(EU104))*AV104*I104),2)*BS104),2))</f>
        <v>0</v>
      </c>
      <c r="R104">
        <f t="shared" si="83"/>
        <v>0</v>
      </c>
      <c r="S104">
        <f t="shared" si="84"/>
        <v>0</v>
      </c>
      <c r="T104">
        <f t="shared" si="85"/>
        <v>0</v>
      </c>
      <c r="U104">
        <f t="shared" si="86"/>
        <v>0</v>
      </c>
      <c r="V104">
        <f t="shared" si="87"/>
        <v>0</v>
      </c>
      <c r="W104">
        <f t="shared" si="88"/>
        <v>0</v>
      </c>
      <c r="X104">
        <f t="shared" si="89"/>
        <v>0</v>
      </c>
      <c r="Y104">
        <f t="shared" si="90"/>
        <v>0</v>
      </c>
      <c r="AA104">
        <v>56611490</v>
      </c>
      <c r="AB104">
        <f t="shared" si="91"/>
        <v>81534.37</v>
      </c>
      <c r="AC104">
        <f>ROUND((ES104),6)</f>
        <v>81534.37</v>
      </c>
      <c r="AD104">
        <f>ROUND((((ET104)-(EU104))+AE104),6)</f>
        <v>0</v>
      </c>
      <c r="AE104">
        <f>ROUND((EU104),6)</f>
        <v>0</v>
      </c>
      <c r="AF104">
        <f>ROUND((EV104),6)</f>
        <v>0</v>
      </c>
      <c r="AG104">
        <f t="shared" si="92"/>
        <v>0</v>
      </c>
      <c r="AH104">
        <f>(EW104)</f>
        <v>0</v>
      </c>
      <c r="AI104">
        <f>(EX104)</f>
        <v>0</v>
      </c>
      <c r="AJ104">
        <f t="shared" si="93"/>
        <v>0</v>
      </c>
      <c r="AK104">
        <v>81534.37</v>
      </c>
      <c r="AL104">
        <v>81534.37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1</v>
      </c>
      <c r="AZ104">
        <v>1</v>
      </c>
      <c r="BA104">
        <v>1</v>
      </c>
      <c r="BB104">
        <v>1</v>
      </c>
      <c r="BC104">
        <v>7.94</v>
      </c>
      <c r="BD104" t="s">
        <v>3</v>
      </c>
      <c r="BE104" t="s">
        <v>3</v>
      </c>
      <c r="BF104" t="s">
        <v>3</v>
      </c>
      <c r="BG104" t="s">
        <v>3</v>
      </c>
      <c r="BH104">
        <v>3</v>
      </c>
      <c r="BI104">
        <v>2</v>
      </c>
      <c r="BJ104" t="s">
        <v>179</v>
      </c>
      <c r="BM104">
        <v>1618</v>
      </c>
      <c r="BN104">
        <v>0</v>
      </c>
      <c r="BO104" t="s">
        <v>176</v>
      </c>
      <c r="BP104">
        <v>1</v>
      </c>
      <c r="BQ104">
        <v>201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 t="s">
        <v>3</v>
      </c>
      <c r="BZ104">
        <v>0</v>
      </c>
      <c r="CA104">
        <v>0</v>
      </c>
      <c r="CB104" t="s">
        <v>3</v>
      </c>
      <c r="CE104">
        <v>30</v>
      </c>
      <c r="CF104">
        <v>0</v>
      </c>
      <c r="CG104">
        <v>0</v>
      </c>
      <c r="CM104">
        <v>0</v>
      </c>
      <c r="CN104" t="s">
        <v>3</v>
      </c>
      <c r="CO104">
        <v>0</v>
      </c>
      <c r="CP104">
        <f t="shared" si="94"/>
        <v>24244.47</v>
      </c>
      <c r="CQ104">
        <f t="shared" si="95"/>
        <v>647382.9</v>
      </c>
      <c r="CR104">
        <f>(ROUND((ROUND(((ET104)*AV104*1),2)*BB104),2)+ROUND((ROUND(((AE104-(EU104))*AV104*1),2)*BS104),2))</f>
        <v>0</v>
      </c>
      <c r="CS104">
        <f t="shared" si="96"/>
        <v>0</v>
      </c>
      <c r="CT104">
        <f t="shared" si="97"/>
        <v>0</v>
      </c>
      <c r="CU104">
        <f t="shared" si="98"/>
        <v>0</v>
      </c>
      <c r="CV104">
        <f t="shared" si="99"/>
        <v>0</v>
      </c>
      <c r="CW104">
        <f t="shared" si="100"/>
        <v>0</v>
      </c>
      <c r="CX104">
        <f t="shared" si="101"/>
        <v>0</v>
      </c>
      <c r="CY104">
        <f>S104*(BZ104/100)</f>
        <v>0</v>
      </c>
      <c r="CZ104">
        <f>S104*(CA104/100)</f>
        <v>0</v>
      </c>
      <c r="DC104" t="s">
        <v>3</v>
      </c>
      <c r="DD104" t="s">
        <v>3</v>
      </c>
      <c r="DE104" t="s">
        <v>3</v>
      </c>
      <c r="DF104" t="s">
        <v>3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  <c r="DN104">
        <v>0</v>
      </c>
      <c r="DO104">
        <v>0</v>
      </c>
      <c r="DP104">
        <v>1</v>
      </c>
      <c r="DQ104">
        <v>1</v>
      </c>
      <c r="DU104">
        <v>1003</v>
      </c>
      <c r="DV104" t="s">
        <v>178</v>
      </c>
      <c r="DW104" t="s">
        <v>178</v>
      </c>
      <c r="DX104">
        <v>1000</v>
      </c>
      <c r="DZ104" t="s">
        <v>3</v>
      </c>
      <c r="EA104" t="s">
        <v>3</v>
      </c>
      <c r="EB104" t="s">
        <v>3</v>
      </c>
      <c r="EC104" t="s">
        <v>3</v>
      </c>
      <c r="EE104">
        <v>51697657</v>
      </c>
      <c r="EF104">
        <v>201</v>
      </c>
      <c r="EG104" t="s">
        <v>180</v>
      </c>
      <c r="EH104">
        <v>0</v>
      </c>
      <c r="EI104" t="s">
        <v>3</v>
      </c>
      <c r="EJ104">
        <v>2</v>
      </c>
      <c r="EK104">
        <v>1618</v>
      </c>
      <c r="EL104" t="s">
        <v>181</v>
      </c>
      <c r="EM104" t="s">
        <v>182</v>
      </c>
      <c r="EO104" t="s">
        <v>3</v>
      </c>
      <c r="EQ104">
        <v>131072</v>
      </c>
      <c r="ER104">
        <v>81534.37</v>
      </c>
      <c r="ES104">
        <v>81534.37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FQ104">
        <v>0</v>
      </c>
      <c r="FR104">
        <v>0</v>
      </c>
      <c r="FS104">
        <v>0</v>
      </c>
      <c r="FX104">
        <v>0</v>
      </c>
      <c r="FY104">
        <v>0</v>
      </c>
      <c r="GA104" t="s">
        <v>3</v>
      </c>
      <c r="GD104">
        <v>0</v>
      </c>
      <c r="GF104">
        <v>61579043</v>
      </c>
      <c r="GG104">
        <v>2</v>
      </c>
      <c r="GH104">
        <v>1</v>
      </c>
      <c r="GI104">
        <v>2</v>
      </c>
      <c r="GJ104">
        <v>0</v>
      </c>
      <c r="GK104">
        <f>ROUND(R104*(S12)/100,2)</f>
        <v>0</v>
      </c>
      <c r="GL104">
        <f t="shared" si="102"/>
        <v>0</v>
      </c>
      <c r="GM104">
        <f t="shared" si="103"/>
        <v>24244.47</v>
      </c>
      <c r="GN104">
        <f t="shared" si="104"/>
        <v>0</v>
      </c>
      <c r="GO104">
        <f t="shared" si="105"/>
        <v>24244.47</v>
      </c>
      <c r="GP104">
        <f t="shared" si="106"/>
        <v>0</v>
      </c>
      <c r="GR104">
        <v>0</v>
      </c>
      <c r="GS104">
        <v>3</v>
      </c>
      <c r="GT104">
        <v>0</v>
      </c>
      <c r="GU104" t="s">
        <v>3</v>
      </c>
      <c r="GV104">
        <f t="shared" si="107"/>
        <v>0</v>
      </c>
      <c r="GW104">
        <v>1</v>
      </c>
      <c r="GX104">
        <f t="shared" si="108"/>
        <v>0</v>
      </c>
      <c r="HA104">
        <v>0</v>
      </c>
      <c r="HB104">
        <v>0</v>
      </c>
      <c r="HC104">
        <f t="shared" si="109"/>
        <v>0</v>
      </c>
      <c r="HE104" t="s">
        <v>3</v>
      </c>
      <c r="HF104" t="s">
        <v>3</v>
      </c>
      <c r="HM104" t="s">
        <v>3</v>
      </c>
      <c r="HN104" t="s">
        <v>3</v>
      </c>
      <c r="HO104" t="s">
        <v>3</v>
      </c>
      <c r="HP104" t="s">
        <v>3</v>
      </c>
      <c r="HQ104" t="s">
        <v>3</v>
      </c>
      <c r="HS104">
        <v>0</v>
      </c>
      <c r="IK104">
        <v>0</v>
      </c>
    </row>
    <row r="105" spans="1:255" x14ac:dyDescent="0.2">
      <c r="A105" s="2">
        <v>17</v>
      </c>
      <c r="B105" s="2">
        <v>1</v>
      </c>
      <c r="C105" s="2"/>
      <c r="D105" s="2"/>
      <c r="E105" s="2" t="s">
        <v>183</v>
      </c>
      <c r="F105" s="2" t="s">
        <v>176</v>
      </c>
      <c r="G105" s="2" t="s">
        <v>177</v>
      </c>
      <c r="H105" s="2" t="s">
        <v>178</v>
      </c>
      <c r="I105" s="2">
        <v>0</v>
      </c>
      <c r="J105" s="2">
        <v>0</v>
      </c>
      <c r="K105" s="2">
        <v>0</v>
      </c>
      <c r="L105" s="2"/>
      <c r="M105" s="2"/>
      <c r="N105" s="2"/>
      <c r="O105" s="2">
        <f t="shared" si="81"/>
        <v>0</v>
      </c>
      <c r="P105" s="2">
        <f t="shared" si="82"/>
        <v>0</v>
      </c>
      <c r="Q105" s="2">
        <f>(ROUND((ROUND((((ET105*1.1))*AV105*I105),2)*BB105),2)+ROUND((ROUND(((AE105-((EU105*1.1)))*AV105*I105),2)*BS105),2))</f>
        <v>0</v>
      </c>
      <c r="R105" s="2">
        <f t="shared" si="83"/>
        <v>0</v>
      </c>
      <c r="S105" s="2">
        <f t="shared" si="84"/>
        <v>0</v>
      </c>
      <c r="T105" s="2">
        <f t="shared" si="85"/>
        <v>0</v>
      </c>
      <c r="U105" s="2">
        <f t="shared" si="86"/>
        <v>0</v>
      </c>
      <c r="V105" s="2">
        <f t="shared" si="87"/>
        <v>0</v>
      </c>
      <c r="W105" s="2">
        <f t="shared" si="88"/>
        <v>0</v>
      </c>
      <c r="X105" s="2">
        <f t="shared" si="89"/>
        <v>0</v>
      </c>
      <c r="Y105" s="2">
        <f t="shared" si="90"/>
        <v>0</v>
      </c>
      <c r="Z105" s="2"/>
      <c r="AA105" s="2">
        <v>56622523</v>
      </c>
      <c r="AB105" s="2">
        <f t="shared" si="91"/>
        <v>81534.37</v>
      </c>
      <c r="AC105" s="2">
        <f>ROUND((ES105),6)</f>
        <v>81534.37</v>
      </c>
      <c r="AD105" s="2">
        <f>ROUND(((((ET105*1.1))-((EU105*1.1)))+AE105),6)</f>
        <v>0</v>
      </c>
      <c r="AE105" s="2">
        <f>ROUND(((EU105*1.1)),6)</f>
        <v>0</v>
      </c>
      <c r="AF105" s="2">
        <f>ROUND(((EV105*1.1)),6)</f>
        <v>0</v>
      </c>
      <c r="AG105" s="2">
        <f t="shared" si="92"/>
        <v>0</v>
      </c>
      <c r="AH105" s="2">
        <f>((EW105*1.1))</f>
        <v>0</v>
      </c>
      <c r="AI105" s="2">
        <f>((EX105*1.1))</f>
        <v>0</v>
      </c>
      <c r="AJ105" s="2">
        <f t="shared" si="93"/>
        <v>0</v>
      </c>
      <c r="AK105" s="2">
        <v>81534.37</v>
      </c>
      <c r="AL105" s="2">
        <v>81534.37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2</v>
      </c>
      <c r="BJ105" s="2" t="s">
        <v>179</v>
      </c>
      <c r="BK105" s="2"/>
      <c r="BL105" s="2"/>
      <c r="BM105" s="2">
        <v>1618</v>
      </c>
      <c r="BN105" s="2">
        <v>0</v>
      </c>
      <c r="BO105" s="2" t="s">
        <v>3</v>
      </c>
      <c r="BP105" s="2">
        <v>0</v>
      </c>
      <c r="BQ105" s="2">
        <v>201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0</v>
      </c>
      <c r="CA105" s="2">
        <v>0</v>
      </c>
      <c r="CB105" s="2" t="s">
        <v>3</v>
      </c>
      <c r="CC105" s="2"/>
      <c r="CD105" s="2"/>
      <c r="CE105" s="2">
        <v>30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689</v>
      </c>
      <c r="CO105" s="2">
        <v>0</v>
      </c>
      <c r="CP105" s="2">
        <f t="shared" si="94"/>
        <v>0</v>
      </c>
      <c r="CQ105" s="2">
        <f t="shared" si="95"/>
        <v>81534.37</v>
      </c>
      <c r="CR105" s="2">
        <f>(ROUND((ROUND((((ET105*1.1))*AV105*1),2)*BB105),2)+ROUND((ROUND(((AE105-((EU105*1.1)))*AV105*1),2)*BS105),2))</f>
        <v>0</v>
      </c>
      <c r="CS105" s="2">
        <f t="shared" si="96"/>
        <v>0</v>
      </c>
      <c r="CT105" s="2">
        <f t="shared" si="97"/>
        <v>0</v>
      </c>
      <c r="CU105" s="2">
        <f t="shared" si="98"/>
        <v>0</v>
      </c>
      <c r="CV105" s="2">
        <f t="shared" si="99"/>
        <v>0</v>
      </c>
      <c r="CW105" s="2">
        <f t="shared" si="100"/>
        <v>0</v>
      </c>
      <c r="CX105" s="2">
        <f t="shared" si="101"/>
        <v>0</v>
      </c>
      <c r="CY105" s="2">
        <f>((S105*BZ105)/100)</f>
        <v>0</v>
      </c>
      <c r="CZ105" s="2">
        <f>((S105*CA105)/100)</f>
        <v>0</v>
      </c>
      <c r="DA105" s="2"/>
      <c r="DB105" s="2"/>
      <c r="DC105" s="2" t="s">
        <v>3</v>
      </c>
      <c r="DD105" s="2" t="s">
        <v>3</v>
      </c>
      <c r="DE105" s="2" t="s">
        <v>22</v>
      </c>
      <c r="DF105" s="2" t="s">
        <v>22</v>
      </c>
      <c r="DG105" s="2" t="s">
        <v>22</v>
      </c>
      <c r="DH105" s="2" t="s">
        <v>3</v>
      </c>
      <c r="DI105" s="2" t="s">
        <v>22</v>
      </c>
      <c r="DJ105" s="2" t="s">
        <v>22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1003</v>
      </c>
      <c r="DV105" s="2" t="s">
        <v>178</v>
      </c>
      <c r="DW105" s="2" t="s">
        <v>178</v>
      </c>
      <c r="DX105" s="2">
        <v>1000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51697657</v>
      </c>
      <c r="EF105" s="2">
        <v>201</v>
      </c>
      <c r="EG105" s="2" t="s">
        <v>180</v>
      </c>
      <c r="EH105" s="2">
        <v>0</v>
      </c>
      <c r="EI105" s="2" t="s">
        <v>3</v>
      </c>
      <c r="EJ105" s="2">
        <v>2</v>
      </c>
      <c r="EK105" s="2">
        <v>1618</v>
      </c>
      <c r="EL105" s="2" t="s">
        <v>181</v>
      </c>
      <c r="EM105" s="2" t="s">
        <v>182</v>
      </c>
      <c r="EN105" s="2"/>
      <c r="EO105" s="2" t="s">
        <v>26</v>
      </c>
      <c r="EP105" s="2"/>
      <c r="EQ105" s="2">
        <v>131072</v>
      </c>
      <c r="ER105" s="2">
        <v>81534.37</v>
      </c>
      <c r="ES105" s="2">
        <v>81534.37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0</v>
      </c>
      <c r="FY105" s="2">
        <v>0</v>
      </c>
      <c r="FZ105" s="2"/>
      <c r="GA105" s="2" t="s">
        <v>3</v>
      </c>
      <c r="GB105" s="2"/>
      <c r="GC105" s="2"/>
      <c r="GD105" s="2">
        <v>0</v>
      </c>
      <c r="GE105" s="2"/>
      <c r="GF105" s="2">
        <v>61579043</v>
      </c>
      <c r="GG105" s="2">
        <v>2</v>
      </c>
      <c r="GH105" s="2">
        <v>1</v>
      </c>
      <c r="GI105" s="2">
        <v>-2</v>
      </c>
      <c r="GJ105" s="2">
        <v>0</v>
      </c>
      <c r="GK105" s="2">
        <f>ROUND(R105*(R12)/100,2)</f>
        <v>0</v>
      </c>
      <c r="GL105" s="2">
        <f t="shared" si="102"/>
        <v>0</v>
      </c>
      <c r="GM105" s="2">
        <f t="shared" si="103"/>
        <v>0</v>
      </c>
      <c r="GN105" s="2">
        <f t="shared" si="104"/>
        <v>0</v>
      </c>
      <c r="GO105" s="2">
        <f t="shared" si="105"/>
        <v>0</v>
      </c>
      <c r="GP105" s="2">
        <f t="shared" si="106"/>
        <v>0</v>
      </c>
      <c r="GQ105" s="2"/>
      <c r="GR105" s="2">
        <v>0</v>
      </c>
      <c r="GS105" s="2">
        <v>0</v>
      </c>
      <c r="GT105" s="2">
        <v>0</v>
      </c>
      <c r="GU105" s="2" t="s">
        <v>3</v>
      </c>
      <c r="GV105" s="2">
        <f t="shared" si="107"/>
        <v>0</v>
      </c>
      <c r="GW105" s="2">
        <v>1</v>
      </c>
      <c r="GX105" s="2">
        <f t="shared" si="108"/>
        <v>0</v>
      </c>
      <c r="GY105" s="2"/>
      <c r="GZ105" s="2"/>
      <c r="HA105" s="2">
        <v>0</v>
      </c>
      <c r="HB105" s="2">
        <v>0</v>
      </c>
      <c r="HC105" s="2">
        <f t="shared" si="109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>
        <v>17</v>
      </c>
      <c r="B106">
        <v>1</v>
      </c>
      <c r="E106" t="s">
        <v>183</v>
      </c>
      <c r="F106" t="s">
        <v>176</v>
      </c>
      <c r="G106" t="s">
        <v>177</v>
      </c>
      <c r="H106" t="s">
        <v>178</v>
      </c>
      <c r="I106">
        <v>0</v>
      </c>
      <c r="J106">
        <v>0</v>
      </c>
      <c r="K106">
        <v>0</v>
      </c>
      <c r="O106">
        <f t="shared" si="81"/>
        <v>0</v>
      </c>
      <c r="P106">
        <f t="shared" si="82"/>
        <v>0</v>
      </c>
      <c r="Q106">
        <f>(ROUND((ROUND((((ET106*1.1))*AV106*I106),2)*BB106),2)+ROUND((ROUND(((AE106-((EU106*1.1)))*AV106*I106),2)*BS106),2))</f>
        <v>0</v>
      </c>
      <c r="R106">
        <f t="shared" si="83"/>
        <v>0</v>
      </c>
      <c r="S106">
        <f t="shared" si="84"/>
        <v>0</v>
      </c>
      <c r="T106">
        <f t="shared" si="85"/>
        <v>0</v>
      </c>
      <c r="U106">
        <f t="shared" si="86"/>
        <v>0</v>
      </c>
      <c r="V106">
        <f t="shared" si="87"/>
        <v>0</v>
      </c>
      <c r="W106">
        <f t="shared" si="88"/>
        <v>0</v>
      </c>
      <c r="X106">
        <f t="shared" si="89"/>
        <v>0</v>
      </c>
      <c r="Y106">
        <f t="shared" si="90"/>
        <v>0</v>
      </c>
      <c r="AA106">
        <v>56611490</v>
      </c>
      <c r="AB106">
        <f t="shared" si="91"/>
        <v>81534.37</v>
      </c>
      <c r="AC106">
        <f>ROUND((ES106),6)</f>
        <v>81534.37</v>
      </c>
      <c r="AD106">
        <f>ROUND(((((ET106*1.1))-((EU106*1.1)))+AE106),6)</f>
        <v>0</v>
      </c>
      <c r="AE106">
        <f>ROUND(((EU106*1.1)),6)</f>
        <v>0</v>
      </c>
      <c r="AF106">
        <f>ROUND(((EV106*1.1)),6)</f>
        <v>0</v>
      </c>
      <c r="AG106">
        <f t="shared" si="92"/>
        <v>0</v>
      </c>
      <c r="AH106">
        <f>((EW106*1.1))</f>
        <v>0</v>
      </c>
      <c r="AI106">
        <f>((EX106*1.1))</f>
        <v>0</v>
      </c>
      <c r="AJ106">
        <f t="shared" si="93"/>
        <v>0</v>
      </c>
      <c r="AK106">
        <v>81534.37</v>
      </c>
      <c r="AL106">
        <v>81534.37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Z106">
        <v>1</v>
      </c>
      <c r="BA106">
        <v>1</v>
      </c>
      <c r="BB106">
        <v>1</v>
      </c>
      <c r="BC106">
        <v>7.94</v>
      </c>
      <c r="BD106" t="s">
        <v>3</v>
      </c>
      <c r="BE106" t="s">
        <v>3</v>
      </c>
      <c r="BF106" t="s">
        <v>3</v>
      </c>
      <c r="BG106" t="s">
        <v>3</v>
      </c>
      <c r="BH106">
        <v>3</v>
      </c>
      <c r="BI106">
        <v>2</v>
      </c>
      <c r="BJ106" t="s">
        <v>179</v>
      </c>
      <c r="BM106">
        <v>1618</v>
      </c>
      <c r="BN106">
        <v>0</v>
      </c>
      <c r="BO106" t="s">
        <v>176</v>
      </c>
      <c r="BP106">
        <v>1</v>
      </c>
      <c r="BQ106">
        <v>201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</v>
      </c>
      <c r="BZ106">
        <v>0</v>
      </c>
      <c r="CA106">
        <v>0</v>
      </c>
      <c r="CB106" t="s">
        <v>3</v>
      </c>
      <c r="CE106">
        <v>30</v>
      </c>
      <c r="CF106">
        <v>0</v>
      </c>
      <c r="CG106">
        <v>0</v>
      </c>
      <c r="CM106">
        <v>0</v>
      </c>
      <c r="CN106" t="s">
        <v>689</v>
      </c>
      <c r="CO106">
        <v>0</v>
      </c>
      <c r="CP106">
        <f t="shared" si="94"/>
        <v>0</v>
      </c>
      <c r="CQ106">
        <f t="shared" si="95"/>
        <v>647382.9</v>
      </c>
      <c r="CR106">
        <f>(ROUND((ROUND((((ET106*1.1))*AV106*1),2)*BB106),2)+ROUND((ROUND(((AE106-((EU106*1.1)))*AV106*1),2)*BS106),2))</f>
        <v>0</v>
      </c>
      <c r="CS106">
        <f t="shared" si="96"/>
        <v>0</v>
      </c>
      <c r="CT106">
        <f t="shared" si="97"/>
        <v>0</v>
      </c>
      <c r="CU106">
        <f t="shared" si="98"/>
        <v>0</v>
      </c>
      <c r="CV106">
        <f t="shared" si="99"/>
        <v>0</v>
      </c>
      <c r="CW106">
        <f t="shared" si="100"/>
        <v>0</v>
      </c>
      <c r="CX106">
        <f t="shared" si="101"/>
        <v>0</v>
      </c>
      <c r="CY106">
        <f>S106*(BZ106/100)</f>
        <v>0</v>
      </c>
      <c r="CZ106">
        <f>S106*(CA106/100)</f>
        <v>0</v>
      </c>
      <c r="DC106" t="s">
        <v>3</v>
      </c>
      <c r="DD106" t="s">
        <v>3</v>
      </c>
      <c r="DE106" t="s">
        <v>22</v>
      </c>
      <c r="DF106" t="s">
        <v>22</v>
      </c>
      <c r="DG106" t="s">
        <v>22</v>
      </c>
      <c r="DH106" t="s">
        <v>3</v>
      </c>
      <c r="DI106" t="s">
        <v>22</v>
      </c>
      <c r="DJ106" t="s">
        <v>22</v>
      </c>
      <c r="DK106" t="s">
        <v>3</v>
      </c>
      <c r="DL106" t="s">
        <v>3</v>
      </c>
      <c r="DM106" t="s">
        <v>3</v>
      </c>
      <c r="DN106">
        <v>0</v>
      </c>
      <c r="DO106">
        <v>0</v>
      </c>
      <c r="DP106">
        <v>1</v>
      </c>
      <c r="DQ106">
        <v>1</v>
      </c>
      <c r="DU106">
        <v>1003</v>
      </c>
      <c r="DV106" t="s">
        <v>178</v>
      </c>
      <c r="DW106" t="s">
        <v>178</v>
      </c>
      <c r="DX106">
        <v>1000</v>
      </c>
      <c r="DZ106" t="s">
        <v>3</v>
      </c>
      <c r="EA106" t="s">
        <v>3</v>
      </c>
      <c r="EB106" t="s">
        <v>3</v>
      </c>
      <c r="EC106" t="s">
        <v>3</v>
      </c>
      <c r="EE106">
        <v>51697657</v>
      </c>
      <c r="EF106">
        <v>201</v>
      </c>
      <c r="EG106" t="s">
        <v>180</v>
      </c>
      <c r="EH106">
        <v>0</v>
      </c>
      <c r="EI106" t="s">
        <v>3</v>
      </c>
      <c r="EJ106">
        <v>2</v>
      </c>
      <c r="EK106">
        <v>1618</v>
      </c>
      <c r="EL106" t="s">
        <v>181</v>
      </c>
      <c r="EM106" t="s">
        <v>182</v>
      </c>
      <c r="EO106" t="s">
        <v>26</v>
      </c>
      <c r="EQ106">
        <v>131072</v>
      </c>
      <c r="ER106">
        <v>81534.37</v>
      </c>
      <c r="ES106">
        <v>81534.37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FQ106">
        <v>0</v>
      </c>
      <c r="FR106">
        <v>0</v>
      </c>
      <c r="FS106">
        <v>0</v>
      </c>
      <c r="FX106">
        <v>0</v>
      </c>
      <c r="FY106">
        <v>0</v>
      </c>
      <c r="GA106" t="s">
        <v>3</v>
      </c>
      <c r="GD106">
        <v>0</v>
      </c>
      <c r="GF106">
        <v>61579043</v>
      </c>
      <c r="GG106">
        <v>2</v>
      </c>
      <c r="GH106">
        <v>1</v>
      </c>
      <c r="GI106">
        <v>2</v>
      </c>
      <c r="GJ106">
        <v>0</v>
      </c>
      <c r="GK106">
        <f>ROUND(R106*(S12)/100,2)</f>
        <v>0</v>
      </c>
      <c r="GL106">
        <f t="shared" si="102"/>
        <v>0</v>
      </c>
      <c r="GM106">
        <f t="shared" si="103"/>
        <v>0</v>
      </c>
      <c r="GN106">
        <f t="shared" si="104"/>
        <v>0</v>
      </c>
      <c r="GO106">
        <f t="shared" si="105"/>
        <v>0</v>
      </c>
      <c r="GP106">
        <f t="shared" si="106"/>
        <v>0</v>
      </c>
      <c r="GR106">
        <v>0</v>
      </c>
      <c r="GS106">
        <v>3</v>
      </c>
      <c r="GT106">
        <v>0</v>
      </c>
      <c r="GU106" t="s">
        <v>3</v>
      </c>
      <c r="GV106">
        <f t="shared" si="107"/>
        <v>0</v>
      </c>
      <c r="GW106">
        <v>1</v>
      </c>
      <c r="GX106">
        <f t="shared" si="108"/>
        <v>0</v>
      </c>
      <c r="HA106">
        <v>0</v>
      </c>
      <c r="HB106">
        <v>0</v>
      </c>
      <c r="HC106">
        <f t="shared" si="109"/>
        <v>0</v>
      </c>
      <c r="HE106" t="s">
        <v>3</v>
      </c>
      <c r="HF106" t="s">
        <v>3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S106">
        <v>0</v>
      </c>
      <c r="IK106">
        <v>0</v>
      </c>
    </row>
    <row r="107" spans="1:255" x14ac:dyDescent="0.2">
      <c r="A107" s="2">
        <v>17</v>
      </c>
      <c r="B107" s="2">
        <v>1</v>
      </c>
      <c r="C107" s="2">
        <f>ROW(SmtRes!A126)</f>
        <v>126</v>
      </c>
      <c r="D107" s="2">
        <f>ROW(EtalonRes!A174)</f>
        <v>174</v>
      </c>
      <c r="E107" s="2" t="s">
        <v>184</v>
      </c>
      <c r="F107" s="2" t="s">
        <v>185</v>
      </c>
      <c r="G107" s="2" t="s">
        <v>186</v>
      </c>
      <c r="H107" s="2" t="s">
        <v>187</v>
      </c>
      <c r="I107" s="2">
        <v>0</v>
      </c>
      <c r="J107" s="2">
        <v>0</v>
      </c>
      <c r="K107" s="2">
        <v>0</v>
      </c>
      <c r="L107" s="2"/>
      <c r="M107" s="2"/>
      <c r="N107" s="2"/>
      <c r="O107" s="2">
        <f t="shared" si="81"/>
        <v>0</v>
      </c>
      <c r="P107" s="2">
        <f t="shared" si="82"/>
        <v>0</v>
      </c>
      <c r="Q107" s="2">
        <f>(ROUND((ROUND(((((ET107*1.1)*1.2))*AV107*I107),2)*BB107),2)+ROUND((ROUND(((AE107-(((EU107*1.1)*1.2)))*AV107*I107),2)*BS107),2))</f>
        <v>0</v>
      </c>
      <c r="R107" s="2">
        <f t="shared" si="83"/>
        <v>0</v>
      </c>
      <c r="S107" s="2">
        <f t="shared" si="84"/>
        <v>0</v>
      </c>
      <c r="T107" s="2">
        <f t="shared" si="85"/>
        <v>0</v>
      </c>
      <c r="U107" s="2">
        <f t="shared" si="86"/>
        <v>0</v>
      </c>
      <c r="V107" s="2">
        <f t="shared" si="87"/>
        <v>0</v>
      </c>
      <c r="W107" s="2">
        <f t="shared" si="88"/>
        <v>0</v>
      </c>
      <c r="X107" s="2">
        <f t="shared" si="89"/>
        <v>0</v>
      </c>
      <c r="Y107" s="2">
        <f t="shared" si="90"/>
        <v>0</v>
      </c>
      <c r="Z107" s="2"/>
      <c r="AA107" s="2">
        <v>56622523</v>
      </c>
      <c r="AB107" s="2">
        <f t="shared" si="91"/>
        <v>60.238</v>
      </c>
      <c r="AC107" s="2">
        <f>ROUND(((ES107*1)),6)</f>
        <v>1.96</v>
      </c>
      <c r="AD107" s="2">
        <f>ROUND((((((ET107*1.1)*1.2))-(((EU107*1.1)*1.2)))+AE107),6)</f>
        <v>1.32E-2</v>
      </c>
      <c r="AE107" s="2">
        <f>ROUND((((EU107*1.1)*1.2)),6)</f>
        <v>0</v>
      </c>
      <c r="AF107" s="2">
        <f>ROUND((((EV107*1.1)*1.2)),6)</f>
        <v>58.264800000000001</v>
      </c>
      <c r="AG107" s="2">
        <f t="shared" si="92"/>
        <v>0</v>
      </c>
      <c r="AH107" s="2">
        <f>(((EW107*1.1)*1.2))</f>
        <v>4.0128000000000004</v>
      </c>
      <c r="AI107" s="2">
        <f>(((EX107*1.1)*1.2))</f>
        <v>0</v>
      </c>
      <c r="AJ107" s="2">
        <f t="shared" si="93"/>
        <v>0</v>
      </c>
      <c r="AK107" s="2">
        <v>46.11</v>
      </c>
      <c r="AL107" s="2">
        <v>1.96</v>
      </c>
      <c r="AM107" s="2">
        <v>0.01</v>
      </c>
      <c r="AN107" s="2">
        <v>0</v>
      </c>
      <c r="AO107" s="2">
        <v>44.14</v>
      </c>
      <c r="AP107" s="2">
        <v>0</v>
      </c>
      <c r="AQ107" s="2">
        <v>3.04</v>
      </c>
      <c r="AR107" s="2">
        <v>0</v>
      </c>
      <c r="AS107" s="2">
        <v>0</v>
      </c>
      <c r="AT107" s="2">
        <v>112</v>
      </c>
      <c r="AU107" s="2">
        <v>70</v>
      </c>
      <c r="AV107" s="2">
        <v>1.0469999999999999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188</v>
      </c>
      <c r="BK107" s="2"/>
      <c r="BL107" s="2"/>
      <c r="BM107" s="2">
        <v>2135</v>
      </c>
      <c r="BN107" s="2">
        <v>0</v>
      </c>
      <c r="BO107" s="2" t="s">
        <v>3</v>
      </c>
      <c r="BP107" s="2">
        <v>0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112</v>
      </c>
      <c r="CA107" s="2">
        <v>70</v>
      </c>
      <c r="CB107" s="2" t="s">
        <v>3</v>
      </c>
      <c r="CC107" s="2"/>
      <c r="CD107" s="2"/>
      <c r="CE107" s="2">
        <v>30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692</v>
      </c>
      <c r="CO107" s="2">
        <v>0</v>
      </c>
      <c r="CP107" s="2">
        <f t="shared" si="94"/>
        <v>0</v>
      </c>
      <c r="CQ107" s="2">
        <f t="shared" si="95"/>
        <v>1.96</v>
      </c>
      <c r="CR107" s="2">
        <f>(ROUND((ROUND(((((ET107*1.1)*1.2))*AV107*1),2)*BB107),2)+ROUND((ROUND(((AE107-(((EU107*1.1)*1.2)))*AV107*1),2)*BS107),2))</f>
        <v>0.01</v>
      </c>
      <c r="CS107" s="2">
        <f t="shared" si="96"/>
        <v>0</v>
      </c>
      <c r="CT107" s="2">
        <f t="shared" si="97"/>
        <v>61</v>
      </c>
      <c r="CU107" s="2">
        <f t="shared" si="98"/>
        <v>0</v>
      </c>
      <c r="CV107" s="2">
        <f t="shared" si="99"/>
        <v>4.2014016000000005</v>
      </c>
      <c r="CW107" s="2">
        <f t="shared" si="100"/>
        <v>0</v>
      </c>
      <c r="CX107" s="2">
        <f t="shared" si="101"/>
        <v>0</v>
      </c>
      <c r="CY107" s="2">
        <f>((S107*BZ107)/100)</f>
        <v>0</v>
      </c>
      <c r="CZ107" s="2">
        <f>((S107*CA107)/100)</f>
        <v>0</v>
      </c>
      <c r="DA107" s="2"/>
      <c r="DB107" s="2"/>
      <c r="DC107" s="2" t="s">
        <v>3</v>
      </c>
      <c r="DD107" s="2" t="s">
        <v>42</v>
      </c>
      <c r="DE107" s="2" t="s">
        <v>70</v>
      </c>
      <c r="DF107" s="2" t="s">
        <v>70</v>
      </c>
      <c r="DG107" s="2" t="s">
        <v>70</v>
      </c>
      <c r="DH107" s="2" t="s">
        <v>3</v>
      </c>
      <c r="DI107" s="2" t="s">
        <v>70</v>
      </c>
      <c r="DJ107" s="2" t="s">
        <v>70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187</v>
      </c>
      <c r="DW107" s="2" t="s">
        <v>187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51698180</v>
      </c>
      <c r="EF107" s="2">
        <v>40</v>
      </c>
      <c r="EG107" s="2" t="s">
        <v>166</v>
      </c>
      <c r="EH107" s="2">
        <v>0</v>
      </c>
      <c r="EI107" s="2" t="s">
        <v>3</v>
      </c>
      <c r="EJ107" s="2">
        <v>2</v>
      </c>
      <c r="EK107" s="2">
        <v>2135</v>
      </c>
      <c r="EL107" s="2" t="s">
        <v>189</v>
      </c>
      <c r="EM107" s="2" t="s">
        <v>190</v>
      </c>
      <c r="EN107" s="2"/>
      <c r="EO107" s="2" t="s">
        <v>169</v>
      </c>
      <c r="EP107" s="2"/>
      <c r="EQ107" s="2">
        <v>131072</v>
      </c>
      <c r="ER107" s="2">
        <v>46.11</v>
      </c>
      <c r="ES107" s="2">
        <v>1.96</v>
      </c>
      <c r="ET107" s="2">
        <v>0.01</v>
      </c>
      <c r="EU107" s="2">
        <v>0</v>
      </c>
      <c r="EV107" s="2">
        <v>44.14</v>
      </c>
      <c r="EW107" s="2">
        <v>3.04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112</v>
      </c>
      <c r="FY107" s="2">
        <v>70</v>
      </c>
      <c r="FZ107" s="2"/>
      <c r="GA107" s="2" t="s">
        <v>3</v>
      </c>
      <c r="GB107" s="2"/>
      <c r="GC107" s="2"/>
      <c r="GD107" s="2">
        <v>0</v>
      </c>
      <c r="GE107" s="2"/>
      <c r="GF107" s="2">
        <v>202764041</v>
      </c>
      <c r="GG107" s="2">
        <v>2</v>
      </c>
      <c r="GH107" s="2">
        <v>1</v>
      </c>
      <c r="GI107" s="2">
        <v>-2</v>
      </c>
      <c r="GJ107" s="2">
        <v>0</v>
      </c>
      <c r="GK107" s="2">
        <f>ROUND(R107*(R12)/100,2)</f>
        <v>0</v>
      </c>
      <c r="GL107" s="2">
        <f t="shared" si="102"/>
        <v>0</v>
      </c>
      <c r="GM107" s="2">
        <f t="shared" si="103"/>
        <v>0</v>
      </c>
      <c r="GN107" s="2">
        <f t="shared" si="104"/>
        <v>0</v>
      </c>
      <c r="GO107" s="2">
        <f t="shared" si="105"/>
        <v>0</v>
      </c>
      <c r="GP107" s="2">
        <f t="shared" si="106"/>
        <v>0</v>
      </c>
      <c r="GQ107" s="2"/>
      <c r="GR107" s="2">
        <v>0</v>
      </c>
      <c r="GS107" s="2">
        <v>0</v>
      </c>
      <c r="GT107" s="2">
        <v>0</v>
      </c>
      <c r="GU107" s="2" t="s">
        <v>3</v>
      </c>
      <c r="GV107" s="2">
        <f t="shared" si="107"/>
        <v>0</v>
      </c>
      <c r="GW107" s="2">
        <v>1</v>
      </c>
      <c r="GX107" s="2">
        <f t="shared" si="108"/>
        <v>0</v>
      </c>
      <c r="GY107" s="2"/>
      <c r="GZ107" s="2"/>
      <c r="HA107" s="2">
        <v>0</v>
      </c>
      <c r="HB107" s="2">
        <v>0</v>
      </c>
      <c r="HC107" s="2">
        <f t="shared" si="109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>
        <v>17</v>
      </c>
      <c r="B108">
        <v>1</v>
      </c>
      <c r="C108">
        <f>ROW(SmtRes!A130)</f>
        <v>130</v>
      </c>
      <c r="D108">
        <f>ROW(EtalonRes!A178)</f>
        <v>178</v>
      </c>
      <c r="E108" t="s">
        <v>184</v>
      </c>
      <c r="F108" t="s">
        <v>185</v>
      </c>
      <c r="G108" t="s">
        <v>186</v>
      </c>
      <c r="H108" t="s">
        <v>187</v>
      </c>
      <c r="I108">
        <v>0</v>
      </c>
      <c r="J108">
        <v>0</v>
      </c>
      <c r="K108">
        <v>0</v>
      </c>
      <c r="O108">
        <f t="shared" si="81"/>
        <v>0</v>
      </c>
      <c r="P108">
        <f t="shared" si="82"/>
        <v>0</v>
      </c>
      <c r="Q108">
        <f>(ROUND((ROUND(((((ET108*1.1)*1.2))*AV108*I108),2)*BB108),2)+ROUND((ROUND(((AE108-(((EU108*1.1)*1.2)))*AV108*I108),2)*BS108),2))</f>
        <v>0</v>
      </c>
      <c r="R108">
        <f t="shared" si="83"/>
        <v>0</v>
      </c>
      <c r="S108">
        <f t="shared" si="84"/>
        <v>0</v>
      </c>
      <c r="T108">
        <f t="shared" si="85"/>
        <v>0</v>
      </c>
      <c r="U108">
        <f t="shared" si="86"/>
        <v>0</v>
      </c>
      <c r="V108">
        <f t="shared" si="87"/>
        <v>0</v>
      </c>
      <c r="W108">
        <f t="shared" si="88"/>
        <v>0</v>
      </c>
      <c r="X108">
        <f t="shared" si="89"/>
        <v>0</v>
      </c>
      <c r="Y108">
        <f t="shared" si="90"/>
        <v>0</v>
      </c>
      <c r="AA108">
        <v>56611490</v>
      </c>
      <c r="AB108">
        <f t="shared" si="91"/>
        <v>60.238</v>
      </c>
      <c r="AC108">
        <f>ROUND(((ES108*1)),6)</f>
        <v>1.96</v>
      </c>
      <c r="AD108">
        <f>ROUND((((((ET108*1.1)*1.2))-(((EU108*1.1)*1.2)))+AE108),6)</f>
        <v>1.32E-2</v>
      </c>
      <c r="AE108">
        <f>ROUND((((EU108*1.1)*1.2)),6)</f>
        <v>0</v>
      </c>
      <c r="AF108">
        <f>ROUND((((EV108*1.1)*1.2)),6)</f>
        <v>58.264800000000001</v>
      </c>
      <c r="AG108">
        <f t="shared" si="92"/>
        <v>0</v>
      </c>
      <c r="AH108">
        <f>(((EW108*1.1)*1.2))</f>
        <v>4.0128000000000004</v>
      </c>
      <c r="AI108">
        <f>(((EX108*1.1)*1.2))</f>
        <v>0</v>
      </c>
      <c r="AJ108">
        <f t="shared" si="93"/>
        <v>0</v>
      </c>
      <c r="AK108">
        <v>46.11</v>
      </c>
      <c r="AL108">
        <v>1.96</v>
      </c>
      <c r="AM108">
        <v>0.01</v>
      </c>
      <c r="AN108">
        <v>0</v>
      </c>
      <c r="AO108">
        <v>44.14</v>
      </c>
      <c r="AP108">
        <v>0</v>
      </c>
      <c r="AQ108">
        <v>3.04</v>
      </c>
      <c r="AR108">
        <v>0</v>
      </c>
      <c r="AS108">
        <v>0</v>
      </c>
      <c r="AT108">
        <v>92</v>
      </c>
      <c r="AU108">
        <v>43</v>
      </c>
      <c r="AV108">
        <v>1.0469999999999999</v>
      </c>
      <c r="AW108">
        <v>1</v>
      </c>
      <c r="AZ108">
        <v>1</v>
      </c>
      <c r="BA108">
        <v>34.51</v>
      </c>
      <c r="BB108">
        <v>10</v>
      </c>
      <c r="BC108">
        <v>10.130000000000001</v>
      </c>
      <c r="BD108" t="s">
        <v>3</v>
      </c>
      <c r="BE108" t="s">
        <v>3</v>
      </c>
      <c r="BF108" t="s">
        <v>3</v>
      </c>
      <c r="BG108" t="s">
        <v>3</v>
      </c>
      <c r="BH108">
        <v>0</v>
      </c>
      <c r="BI108">
        <v>2</v>
      </c>
      <c r="BJ108" t="s">
        <v>188</v>
      </c>
      <c r="BM108">
        <v>2135</v>
      </c>
      <c r="BN108">
        <v>0</v>
      </c>
      <c r="BO108" t="s">
        <v>185</v>
      </c>
      <c r="BP108">
        <v>1</v>
      </c>
      <c r="BQ108">
        <v>40</v>
      </c>
      <c r="BR108">
        <v>0</v>
      </c>
      <c r="BS108">
        <v>34.51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</v>
      </c>
      <c r="BZ108">
        <v>92</v>
      </c>
      <c r="CA108">
        <v>43</v>
      </c>
      <c r="CB108" t="s">
        <v>3</v>
      </c>
      <c r="CE108">
        <v>30</v>
      </c>
      <c r="CF108">
        <v>0</v>
      </c>
      <c r="CG108">
        <v>0</v>
      </c>
      <c r="CM108">
        <v>0</v>
      </c>
      <c r="CN108" t="s">
        <v>692</v>
      </c>
      <c r="CO108">
        <v>0</v>
      </c>
      <c r="CP108">
        <f t="shared" si="94"/>
        <v>0</v>
      </c>
      <c r="CQ108">
        <f t="shared" si="95"/>
        <v>19.850000000000001</v>
      </c>
      <c r="CR108">
        <f>(ROUND((ROUND(((((ET108*1.1)*1.2))*AV108*1),2)*BB108),2)+ROUND((ROUND(((AE108-(((EU108*1.1)*1.2)))*AV108*1),2)*BS108),2))</f>
        <v>0.1</v>
      </c>
      <c r="CS108">
        <f t="shared" si="96"/>
        <v>0</v>
      </c>
      <c r="CT108">
        <f t="shared" si="97"/>
        <v>2105.11</v>
      </c>
      <c r="CU108">
        <f t="shared" si="98"/>
        <v>0</v>
      </c>
      <c r="CV108">
        <f t="shared" si="99"/>
        <v>4.2014016000000005</v>
      </c>
      <c r="CW108">
        <f t="shared" si="100"/>
        <v>0</v>
      </c>
      <c r="CX108">
        <f t="shared" si="101"/>
        <v>0</v>
      </c>
      <c r="CY108">
        <f>S108*(BZ108/100)</f>
        <v>0</v>
      </c>
      <c r="CZ108">
        <f>S108*(CA108/100)</f>
        <v>0</v>
      </c>
      <c r="DC108" t="s">
        <v>3</v>
      </c>
      <c r="DD108" t="s">
        <v>42</v>
      </c>
      <c r="DE108" t="s">
        <v>70</v>
      </c>
      <c r="DF108" t="s">
        <v>70</v>
      </c>
      <c r="DG108" t="s">
        <v>70</v>
      </c>
      <c r="DH108" t="s">
        <v>3</v>
      </c>
      <c r="DI108" t="s">
        <v>70</v>
      </c>
      <c r="DJ108" t="s">
        <v>70</v>
      </c>
      <c r="DK108" t="s">
        <v>3</v>
      </c>
      <c r="DL108" t="s">
        <v>3</v>
      </c>
      <c r="DM108" t="s">
        <v>3</v>
      </c>
      <c r="DN108">
        <v>112</v>
      </c>
      <c r="DO108">
        <v>70</v>
      </c>
      <c r="DP108">
        <v>1.0469999999999999</v>
      </c>
      <c r="DQ108">
        <v>1</v>
      </c>
      <c r="DU108">
        <v>1013</v>
      </c>
      <c r="DV108" t="s">
        <v>187</v>
      </c>
      <c r="DW108" t="s">
        <v>187</v>
      </c>
      <c r="DX108">
        <v>1</v>
      </c>
      <c r="DZ108" t="s">
        <v>3</v>
      </c>
      <c r="EA108" t="s">
        <v>3</v>
      </c>
      <c r="EB108" t="s">
        <v>3</v>
      </c>
      <c r="EC108" t="s">
        <v>3</v>
      </c>
      <c r="EE108">
        <v>51698180</v>
      </c>
      <c r="EF108">
        <v>40</v>
      </c>
      <c r="EG108" t="s">
        <v>166</v>
      </c>
      <c r="EH108">
        <v>0</v>
      </c>
      <c r="EI108" t="s">
        <v>3</v>
      </c>
      <c r="EJ108">
        <v>2</v>
      </c>
      <c r="EK108">
        <v>2135</v>
      </c>
      <c r="EL108" t="s">
        <v>189</v>
      </c>
      <c r="EM108" t="s">
        <v>190</v>
      </c>
      <c r="EO108" t="s">
        <v>169</v>
      </c>
      <c r="EQ108">
        <v>131072</v>
      </c>
      <c r="ER108">
        <v>46.11</v>
      </c>
      <c r="ES108">
        <v>1.96</v>
      </c>
      <c r="ET108">
        <v>0.01</v>
      </c>
      <c r="EU108">
        <v>0</v>
      </c>
      <c r="EV108">
        <v>44.14</v>
      </c>
      <c r="EW108">
        <v>3.04</v>
      </c>
      <c r="EX108">
        <v>0</v>
      </c>
      <c r="EY108">
        <v>0</v>
      </c>
      <c r="FQ108">
        <v>0</v>
      </c>
      <c r="FR108">
        <v>0</v>
      </c>
      <c r="FS108">
        <v>0</v>
      </c>
      <c r="FX108">
        <v>112</v>
      </c>
      <c r="FY108">
        <v>70</v>
      </c>
      <c r="GA108" t="s">
        <v>3</v>
      </c>
      <c r="GD108">
        <v>0</v>
      </c>
      <c r="GF108">
        <v>202764041</v>
      </c>
      <c r="GG108">
        <v>2</v>
      </c>
      <c r="GH108">
        <v>1</v>
      </c>
      <c r="GI108">
        <v>2</v>
      </c>
      <c r="GJ108">
        <v>0</v>
      </c>
      <c r="GK108">
        <f>ROUND(R108*(S12)/100,2)</f>
        <v>0</v>
      </c>
      <c r="GL108">
        <f t="shared" si="102"/>
        <v>0</v>
      </c>
      <c r="GM108">
        <f t="shared" si="103"/>
        <v>0</v>
      </c>
      <c r="GN108">
        <f t="shared" si="104"/>
        <v>0</v>
      </c>
      <c r="GO108">
        <f t="shared" si="105"/>
        <v>0</v>
      </c>
      <c r="GP108">
        <f t="shared" si="106"/>
        <v>0</v>
      </c>
      <c r="GR108">
        <v>0</v>
      </c>
      <c r="GS108">
        <v>3</v>
      </c>
      <c r="GT108">
        <v>0</v>
      </c>
      <c r="GU108" t="s">
        <v>3</v>
      </c>
      <c r="GV108">
        <f t="shared" si="107"/>
        <v>0</v>
      </c>
      <c r="GW108">
        <v>1</v>
      </c>
      <c r="GX108">
        <f t="shared" si="108"/>
        <v>0</v>
      </c>
      <c r="HA108">
        <v>0</v>
      </c>
      <c r="HB108">
        <v>0</v>
      </c>
      <c r="HC108">
        <f t="shared" si="109"/>
        <v>0</v>
      </c>
      <c r="HE108" t="s">
        <v>3</v>
      </c>
      <c r="HF108" t="s">
        <v>3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S108">
        <v>0</v>
      </c>
      <c r="IK108">
        <v>0</v>
      </c>
    </row>
    <row r="109" spans="1:255" x14ac:dyDescent="0.2">
      <c r="A109" s="2">
        <v>18</v>
      </c>
      <c r="B109" s="2">
        <v>1</v>
      </c>
      <c r="C109" s="2">
        <v>126</v>
      </c>
      <c r="D109" s="2"/>
      <c r="E109" s="2" t="s">
        <v>191</v>
      </c>
      <c r="F109" s="2" t="s">
        <v>192</v>
      </c>
      <c r="G109" s="2" t="s">
        <v>193</v>
      </c>
      <c r="H109" s="2" t="s">
        <v>194</v>
      </c>
      <c r="I109" s="2">
        <f>I107*J109</f>
        <v>0</v>
      </c>
      <c r="J109" s="2">
        <v>1</v>
      </c>
      <c r="K109" s="2">
        <v>1</v>
      </c>
      <c r="L109" s="2"/>
      <c r="M109" s="2"/>
      <c r="N109" s="2"/>
      <c r="O109" s="2">
        <f t="shared" si="81"/>
        <v>0</v>
      </c>
      <c r="P109" s="2">
        <f t="shared" si="82"/>
        <v>0</v>
      </c>
      <c r="Q109" s="2">
        <f>(ROUND((ROUND(((ET109)*AV109*I109),2)*BB109),2)+ROUND((ROUND(((AE109-(EU109))*AV109*I109),2)*BS109),2))</f>
        <v>0</v>
      </c>
      <c r="R109" s="2">
        <f t="shared" si="83"/>
        <v>0</v>
      </c>
      <c r="S109" s="2">
        <f t="shared" si="84"/>
        <v>0</v>
      </c>
      <c r="T109" s="2">
        <f t="shared" si="85"/>
        <v>0</v>
      </c>
      <c r="U109" s="2">
        <f t="shared" si="86"/>
        <v>0</v>
      </c>
      <c r="V109" s="2">
        <f t="shared" si="87"/>
        <v>0</v>
      </c>
      <c r="W109" s="2">
        <f t="shared" si="88"/>
        <v>0</v>
      </c>
      <c r="X109" s="2">
        <f t="shared" si="89"/>
        <v>0</v>
      </c>
      <c r="Y109" s="2">
        <f t="shared" si="90"/>
        <v>0</v>
      </c>
      <c r="Z109" s="2"/>
      <c r="AA109" s="2">
        <v>56622523</v>
      </c>
      <c r="AB109" s="2">
        <f t="shared" si="91"/>
        <v>3237.24</v>
      </c>
      <c r="AC109" s="2">
        <f t="shared" ref="AC109:AC118" si="110">ROUND((ES109),6)</f>
        <v>3237.24</v>
      </c>
      <c r="AD109" s="2">
        <f>ROUND((((ET109)-(EU109))+AE109),6)</f>
        <v>0</v>
      </c>
      <c r="AE109" s="2">
        <f>ROUND((EU109),6)</f>
        <v>0</v>
      </c>
      <c r="AF109" s="2">
        <f>ROUND((EV109),6)</f>
        <v>0</v>
      </c>
      <c r="AG109" s="2">
        <f t="shared" si="92"/>
        <v>0</v>
      </c>
      <c r="AH109" s="2">
        <f>(EW109)</f>
        <v>0</v>
      </c>
      <c r="AI109" s="2">
        <f>(EX109)</f>
        <v>0</v>
      </c>
      <c r="AJ109" s="2">
        <f t="shared" si="93"/>
        <v>0</v>
      </c>
      <c r="AK109" s="2">
        <v>3237.24</v>
      </c>
      <c r="AL109" s="2">
        <v>3237.24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112</v>
      </c>
      <c r="AU109" s="2">
        <v>70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2</v>
      </c>
      <c r="BJ109" s="2" t="s">
        <v>195</v>
      </c>
      <c r="BK109" s="2"/>
      <c r="BL109" s="2"/>
      <c r="BM109" s="2">
        <v>2135</v>
      </c>
      <c r="BN109" s="2">
        <v>0</v>
      </c>
      <c r="BO109" s="2" t="s">
        <v>3</v>
      </c>
      <c r="BP109" s="2">
        <v>0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112</v>
      </c>
      <c r="CA109" s="2">
        <v>70</v>
      </c>
      <c r="CB109" s="2" t="s">
        <v>3</v>
      </c>
      <c r="CC109" s="2"/>
      <c r="CD109" s="2"/>
      <c r="CE109" s="2">
        <v>30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693</v>
      </c>
      <c r="CO109" s="2">
        <v>0</v>
      </c>
      <c r="CP109" s="2">
        <f t="shared" si="94"/>
        <v>0</v>
      </c>
      <c r="CQ109" s="2">
        <f t="shared" si="95"/>
        <v>3237.24</v>
      </c>
      <c r="CR109" s="2">
        <f>(ROUND((ROUND(((ET109)*AV109*1),2)*BB109),2)+ROUND((ROUND(((AE109-(EU109))*AV109*1),2)*BS109),2))</f>
        <v>0</v>
      </c>
      <c r="CS109" s="2">
        <f t="shared" si="96"/>
        <v>0</v>
      </c>
      <c r="CT109" s="2">
        <f t="shared" si="97"/>
        <v>0</v>
      </c>
      <c r="CU109" s="2">
        <f t="shared" si="98"/>
        <v>0</v>
      </c>
      <c r="CV109" s="2">
        <f t="shared" si="99"/>
        <v>0</v>
      </c>
      <c r="CW109" s="2">
        <f t="shared" si="100"/>
        <v>0</v>
      </c>
      <c r="CX109" s="2">
        <f t="shared" si="101"/>
        <v>0</v>
      </c>
      <c r="CY109" s="2">
        <f>((S109*BZ109)/100)</f>
        <v>0</v>
      </c>
      <c r="CZ109" s="2">
        <f>((S109*CA109)/100)</f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194</v>
      </c>
      <c r="DW109" s="2" t="s">
        <v>194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51698180</v>
      </c>
      <c r="EF109" s="2">
        <v>40</v>
      </c>
      <c r="EG109" s="2" t="s">
        <v>166</v>
      </c>
      <c r="EH109" s="2">
        <v>0</v>
      </c>
      <c r="EI109" s="2" t="s">
        <v>3</v>
      </c>
      <c r="EJ109" s="2">
        <v>2</v>
      </c>
      <c r="EK109" s="2">
        <v>2135</v>
      </c>
      <c r="EL109" s="2" t="s">
        <v>189</v>
      </c>
      <c r="EM109" s="2" t="s">
        <v>190</v>
      </c>
      <c r="EN109" s="2"/>
      <c r="EO109" s="2" t="s">
        <v>196</v>
      </c>
      <c r="EP109" s="2"/>
      <c r="EQ109" s="2">
        <v>0</v>
      </c>
      <c r="ER109" s="2">
        <v>3237.24</v>
      </c>
      <c r="ES109" s="2">
        <v>3237.24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112</v>
      </c>
      <c r="FY109" s="2">
        <v>70</v>
      </c>
      <c r="FZ109" s="2"/>
      <c r="GA109" s="2" t="s">
        <v>3</v>
      </c>
      <c r="GB109" s="2"/>
      <c r="GC109" s="2"/>
      <c r="GD109" s="2">
        <v>0</v>
      </c>
      <c r="GE109" s="2"/>
      <c r="GF109" s="2">
        <v>-1891565108</v>
      </c>
      <c r="GG109" s="2">
        <v>2</v>
      </c>
      <c r="GH109" s="2">
        <v>1</v>
      </c>
      <c r="GI109" s="2">
        <v>-2</v>
      </c>
      <c r="GJ109" s="2">
        <v>0</v>
      </c>
      <c r="GK109" s="2">
        <f>ROUND(R109*(R12)/100,2)</f>
        <v>0</v>
      </c>
      <c r="GL109" s="2">
        <f t="shared" si="102"/>
        <v>0</v>
      </c>
      <c r="GM109" s="2">
        <f t="shared" si="103"/>
        <v>0</v>
      </c>
      <c r="GN109" s="2">
        <f t="shared" si="104"/>
        <v>0</v>
      </c>
      <c r="GO109" s="2">
        <f t="shared" si="105"/>
        <v>0</v>
      </c>
      <c r="GP109" s="2">
        <f t="shared" si="106"/>
        <v>0</v>
      </c>
      <c r="GQ109" s="2"/>
      <c r="GR109" s="2">
        <v>0</v>
      </c>
      <c r="GS109" s="2">
        <v>0</v>
      </c>
      <c r="GT109" s="2">
        <v>0</v>
      </c>
      <c r="GU109" s="2" t="s">
        <v>3</v>
      </c>
      <c r="GV109" s="2">
        <f t="shared" si="107"/>
        <v>0</v>
      </c>
      <c r="GW109" s="2">
        <v>1</v>
      </c>
      <c r="GX109" s="2">
        <f t="shared" si="108"/>
        <v>0</v>
      </c>
      <c r="GY109" s="2"/>
      <c r="GZ109" s="2"/>
      <c r="HA109" s="2">
        <v>0</v>
      </c>
      <c r="HB109" s="2">
        <v>0</v>
      </c>
      <c r="HC109" s="2">
        <f t="shared" si="109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42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>
        <v>18</v>
      </c>
      <c r="B110">
        <v>1</v>
      </c>
      <c r="C110">
        <v>130</v>
      </c>
      <c r="E110" t="s">
        <v>191</v>
      </c>
      <c r="F110" t="s">
        <v>192</v>
      </c>
      <c r="G110" t="s">
        <v>193</v>
      </c>
      <c r="H110" t="s">
        <v>194</v>
      </c>
      <c r="I110">
        <f>I108*J110</f>
        <v>0</v>
      </c>
      <c r="J110">
        <v>1</v>
      </c>
      <c r="K110">
        <v>1</v>
      </c>
      <c r="O110">
        <f t="shared" si="81"/>
        <v>0</v>
      </c>
      <c r="P110">
        <f t="shared" si="82"/>
        <v>0</v>
      </c>
      <c r="Q110">
        <f>(ROUND((ROUND(((ET110)*AV110*I110),2)*BB110),2)+ROUND((ROUND(((AE110-(EU110))*AV110*I110),2)*BS110),2))</f>
        <v>0</v>
      </c>
      <c r="R110">
        <f t="shared" si="83"/>
        <v>0</v>
      </c>
      <c r="S110">
        <f t="shared" si="84"/>
        <v>0</v>
      </c>
      <c r="T110">
        <f t="shared" si="85"/>
        <v>0</v>
      </c>
      <c r="U110">
        <f t="shared" si="86"/>
        <v>0</v>
      </c>
      <c r="V110">
        <f t="shared" si="87"/>
        <v>0</v>
      </c>
      <c r="W110">
        <f t="shared" si="88"/>
        <v>0</v>
      </c>
      <c r="X110">
        <f t="shared" si="89"/>
        <v>0</v>
      </c>
      <c r="Y110">
        <f t="shared" si="90"/>
        <v>0</v>
      </c>
      <c r="AA110">
        <v>56611490</v>
      </c>
      <c r="AB110">
        <f t="shared" si="91"/>
        <v>3237.24</v>
      </c>
      <c r="AC110">
        <f t="shared" si="110"/>
        <v>3237.24</v>
      </c>
      <c r="AD110">
        <f>ROUND((((ET110)-(EU110))+AE110),6)</f>
        <v>0</v>
      </c>
      <c r="AE110">
        <f>ROUND((EU110),6)</f>
        <v>0</v>
      </c>
      <c r="AF110">
        <f>ROUND((EV110),6)</f>
        <v>0</v>
      </c>
      <c r="AG110">
        <f t="shared" si="92"/>
        <v>0</v>
      </c>
      <c r="AH110">
        <f>(EW110)</f>
        <v>0</v>
      </c>
      <c r="AI110">
        <f>(EX110)</f>
        <v>0</v>
      </c>
      <c r="AJ110">
        <f t="shared" si="93"/>
        <v>0</v>
      </c>
      <c r="AK110">
        <v>3237.24</v>
      </c>
      <c r="AL110">
        <v>3237.24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1</v>
      </c>
      <c r="AZ110">
        <v>1</v>
      </c>
      <c r="BA110">
        <v>1</v>
      </c>
      <c r="BB110">
        <v>1</v>
      </c>
      <c r="BC110">
        <v>6.08</v>
      </c>
      <c r="BD110" t="s">
        <v>3</v>
      </c>
      <c r="BE110" t="s">
        <v>3</v>
      </c>
      <c r="BF110" t="s">
        <v>3</v>
      </c>
      <c r="BG110" t="s">
        <v>3</v>
      </c>
      <c r="BH110">
        <v>3</v>
      </c>
      <c r="BI110">
        <v>2</v>
      </c>
      <c r="BJ110" t="s">
        <v>195</v>
      </c>
      <c r="BM110">
        <v>2135</v>
      </c>
      <c r="BN110">
        <v>0</v>
      </c>
      <c r="BO110" t="s">
        <v>192</v>
      </c>
      <c r="BP110">
        <v>1</v>
      </c>
      <c r="BQ110">
        <v>40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0</v>
      </c>
      <c r="CA110">
        <v>0</v>
      </c>
      <c r="CB110" t="s">
        <v>3</v>
      </c>
      <c r="CE110">
        <v>30</v>
      </c>
      <c r="CF110">
        <v>0</v>
      </c>
      <c r="CG110">
        <v>0</v>
      </c>
      <c r="CM110">
        <v>0</v>
      </c>
      <c r="CN110" t="s">
        <v>693</v>
      </c>
      <c r="CO110">
        <v>0</v>
      </c>
      <c r="CP110">
        <f t="shared" si="94"/>
        <v>0</v>
      </c>
      <c r="CQ110">
        <f t="shared" si="95"/>
        <v>19682.419999999998</v>
      </c>
      <c r="CR110">
        <f>(ROUND((ROUND(((ET110)*AV110*1),2)*BB110),2)+ROUND((ROUND(((AE110-(EU110))*AV110*1),2)*BS110),2))</f>
        <v>0</v>
      </c>
      <c r="CS110">
        <f t="shared" si="96"/>
        <v>0</v>
      </c>
      <c r="CT110">
        <f t="shared" si="97"/>
        <v>0</v>
      </c>
      <c r="CU110">
        <f t="shared" si="98"/>
        <v>0</v>
      </c>
      <c r="CV110">
        <f t="shared" si="99"/>
        <v>0</v>
      </c>
      <c r="CW110">
        <f t="shared" si="100"/>
        <v>0</v>
      </c>
      <c r="CX110">
        <f t="shared" si="101"/>
        <v>0</v>
      </c>
      <c r="CY110">
        <f>S110*(BZ110/100)</f>
        <v>0</v>
      </c>
      <c r="CZ110">
        <f>S110*(CA110/100)</f>
        <v>0</v>
      </c>
      <c r="DC110" t="s">
        <v>3</v>
      </c>
      <c r="DD110" t="s">
        <v>3</v>
      </c>
      <c r="DE110" t="s">
        <v>3</v>
      </c>
      <c r="DF110" t="s">
        <v>3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  <c r="DN110">
        <v>112</v>
      </c>
      <c r="DO110">
        <v>70</v>
      </c>
      <c r="DP110">
        <v>1.0469999999999999</v>
      </c>
      <c r="DQ110">
        <v>1</v>
      </c>
      <c r="DU110">
        <v>1013</v>
      </c>
      <c r="DV110" t="s">
        <v>194</v>
      </c>
      <c r="DW110" t="s">
        <v>194</v>
      </c>
      <c r="DX110">
        <v>1</v>
      </c>
      <c r="DZ110" t="s">
        <v>3</v>
      </c>
      <c r="EA110" t="s">
        <v>3</v>
      </c>
      <c r="EB110" t="s">
        <v>3</v>
      </c>
      <c r="EC110" t="s">
        <v>3</v>
      </c>
      <c r="EE110">
        <v>51698180</v>
      </c>
      <c r="EF110">
        <v>40</v>
      </c>
      <c r="EG110" t="s">
        <v>166</v>
      </c>
      <c r="EH110">
        <v>0</v>
      </c>
      <c r="EI110" t="s">
        <v>3</v>
      </c>
      <c r="EJ110">
        <v>2</v>
      </c>
      <c r="EK110">
        <v>2135</v>
      </c>
      <c r="EL110" t="s">
        <v>189</v>
      </c>
      <c r="EM110" t="s">
        <v>190</v>
      </c>
      <c r="EO110" t="s">
        <v>196</v>
      </c>
      <c r="EQ110">
        <v>0</v>
      </c>
      <c r="ER110">
        <v>3237.24</v>
      </c>
      <c r="ES110">
        <v>3237.24</v>
      </c>
      <c r="ET110">
        <v>0</v>
      </c>
      <c r="EU110">
        <v>0</v>
      </c>
      <c r="EV110">
        <v>0</v>
      </c>
      <c r="EW110">
        <v>0</v>
      </c>
      <c r="EX110">
        <v>0</v>
      </c>
      <c r="FQ110">
        <v>0</v>
      </c>
      <c r="FR110">
        <v>0</v>
      </c>
      <c r="FS110">
        <v>0</v>
      </c>
      <c r="FX110">
        <v>112</v>
      </c>
      <c r="FY110">
        <v>70</v>
      </c>
      <c r="GA110" t="s">
        <v>3</v>
      </c>
      <c r="GD110">
        <v>0</v>
      </c>
      <c r="GF110">
        <v>-1891565108</v>
      </c>
      <c r="GG110">
        <v>2</v>
      </c>
      <c r="GH110">
        <v>1</v>
      </c>
      <c r="GI110">
        <v>2</v>
      </c>
      <c r="GJ110">
        <v>0</v>
      </c>
      <c r="GK110">
        <f>ROUND(R110*(S12)/100,2)</f>
        <v>0</v>
      </c>
      <c r="GL110">
        <f t="shared" si="102"/>
        <v>0</v>
      </c>
      <c r="GM110">
        <f t="shared" si="103"/>
        <v>0</v>
      </c>
      <c r="GN110">
        <f t="shared" si="104"/>
        <v>0</v>
      </c>
      <c r="GO110">
        <f t="shared" si="105"/>
        <v>0</v>
      </c>
      <c r="GP110">
        <f t="shared" si="106"/>
        <v>0</v>
      </c>
      <c r="GR110">
        <v>0</v>
      </c>
      <c r="GS110">
        <v>3</v>
      </c>
      <c r="GT110">
        <v>0</v>
      </c>
      <c r="GU110" t="s">
        <v>3</v>
      </c>
      <c r="GV110">
        <f t="shared" si="107"/>
        <v>0</v>
      </c>
      <c r="GW110">
        <v>1</v>
      </c>
      <c r="GX110">
        <f t="shared" si="108"/>
        <v>0</v>
      </c>
      <c r="HA110">
        <v>0</v>
      </c>
      <c r="HB110">
        <v>0</v>
      </c>
      <c r="HC110">
        <f t="shared" si="109"/>
        <v>0</v>
      </c>
      <c r="HE110" t="s">
        <v>3</v>
      </c>
      <c r="HF110" t="s">
        <v>3</v>
      </c>
      <c r="HM110" t="s">
        <v>42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2">
      <c r="A111" s="2">
        <v>17</v>
      </c>
      <c r="B111" s="2">
        <v>1</v>
      </c>
      <c r="C111" s="2">
        <f>ROW(SmtRes!A134)</f>
        <v>134</v>
      </c>
      <c r="D111" s="2">
        <f>ROW(EtalonRes!A182)</f>
        <v>182</v>
      </c>
      <c r="E111" s="2" t="s">
        <v>197</v>
      </c>
      <c r="F111" s="2" t="s">
        <v>198</v>
      </c>
      <c r="G111" s="2" t="s">
        <v>199</v>
      </c>
      <c r="H111" s="2" t="s">
        <v>187</v>
      </c>
      <c r="I111" s="2">
        <v>0</v>
      </c>
      <c r="J111" s="2">
        <v>0</v>
      </c>
      <c r="K111" s="2">
        <v>0</v>
      </c>
      <c r="L111" s="2"/>
      <c r="M111" s="2"/>
      <c r="N111" s="2"/>
      <c r="O111" s="2">
        <f t="shared" si="81"/>
        <v>0</v>
      </c>
      <c r="P111" s="2">
        <f t="shared" si="82"/>
        <v>0</v>
      </c>
      <c r="Q111" s="2">
        <f>(ROUND((ROUND((((ET111*1.1))*AV111*I111),2)*BB111),2)+ROUND((ROUND(((AE111-((EU111*1.1)))*AV111*I111),2)*BS111),2))</f>
        <v>0</v>
      </c>
      <c r="R111" s="2">
        <f t="shared" si="83"/>
        <v>0</v>
      </c>
      <c r="S111" s="2">
        <f t="shared" si="84"/>
        <v>0</v>
      </c>
      <c r="T111" s="2">
        <f t="shared" si="85"/>
        <v>0</v>
      </c>
      <c r="U111" s="2">
        <f t="shared" si="86"/>
        <v>0</v>
      </c>
      <c r="V111" s="2">
        <f t="shared" si="87"/>
        <v>0</v>
      </c>
      <c r="W111" s="2">
        <f t="shared" si="88"/>
        <v>0</v>
      </c>
      <c r="X111" s="2">
        <f t="shared" si="89"/>
        <v>0</v>
      </c>
      <c r="Y111" s="2">
        <f t="shared" si="90"/>
        <v>0</v>
      </c>
      <c r="Z111" s="2"/>
      <c r="AA111" s="2">
        <v>56622523</v>
      </c>
      <c r="AB111" s="2">
        <f t="shared" si="91"/>
        <v>59.12</v>
      </c>
      <c r="AC111" s="2">
        <f t="shared" si="110"/>
        <v>2.4700000000000002</v>
      </c>
      <c r="AD111" s="2">
        <f>ROUND(((((ET111*1.1))-((EU111*1.1)))+AE111),6)</f>
        <v>2.1999999999999999E-2</v>
      </c>
      <c r="AE111" s="2">
        <f>ROUND(((EU111*1.1)),6)</f>
        <v>0</v>
      </c>
      <c r="AF111" s="2">
        <f>ROUND(((EV111*1.1)),6)</f>
        <v>56.628</v>
      </c>
      <c r="AG111" s="2">
        <f t="shared" si="92"/>
        <v>0</v>
      </c>
      <c r="AH111" s="2">
        <f>((EW111*1.1))</f>
        <v>3.8940000000000006</v>
      </c>
      <c r="AI111" s="2">
        <f>((EX111*1.1))</f>
        <v>0</v>
      </c>
      <c r="AJ111" s="2">
        <f t="shared" si="93"/>
        <v>0</v>
      </c>
      <c r="AK111" s="2">
        <v>53.97</v>
      </c>
      <c r="AL111" s="2">
        <v>2.4700000000000002</v>
      </c>
      <c r="AM111" s="2">
        <v>0.02</v>
      </c>
      <c r="AN111" s="2">
        <v>0</v>
      </c>
      <c r="AO111" s="2">
        <v>51.48</v>
      </c>
      <c r="AP111" s="2">
        <v>0</v>
      </c>
      <c r="AQ111" s="2">
        <v>3.54</v>
      </c>
      <c r="AR111" s="2">
        <v>0</v>
      </c>
      <c r="AS111" s="2">
        <v>0</v>
      </c>
      <c r="AT111" s="2">
        <v>112</v>
      </c>
      <c r="AU111" s="2">
        <v>70</v>
      </c>
      <c r="AV111" s="2">
        <v>1.0469999999999999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2</v>
      </c>
      <c r="BJ111" s="2" t="s">
        <v>200</v>
      </c>
      <c r="BK111" s="2"/>
      <c r="BL111" s="2"/>
      <c r="BM111" s="2">
        <v>2135</v>
      </c>
      <c r="BN111" s="2">
        <v>0</v>
      </c>
      <c r="BO111" s="2" t="s">
        <v>3</v>
      </c>
      <c r="BP111" s="2">
        <v>0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112</v>
      </c>
      <c r="CA111" s="2">
        <v>70</v>
      </c>
      <c r="CB111" s="2" t="s">
        <v>3</v>
      </c>
      <c r="CC111" s="2"/>
      <c r="CD111" s="2"/>
      <c r="CE111" s="2">
        <v>30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689</v>
      </c>
      <c r="CO111" s="2">
        <v>0</v>
      </c>
      <c r="CP111" s="2">
        <f t="shared" si="94"/>
        <v>0</v>
      </c>
      <c r="CQ111" s="2">
        <f t="shared" si="95"/>
        <v>2.4700000000000002</v>
      </c>
      <c r="CR111" s="2">
        <f>(ROUND((ROUND((((ET111*1.1))*AV111*1),2)*BB111),2)+ROUND((ROUND(((AE111-((EU111*1.1)))*AV111*1),2)*BS111),2))</f>
        <v>0.02</v>
      </c>
      <c r="CS111" s="2">
        <f t="shared" si="96"/>
        <v>0</v>
      </c>
      <c r="CT111" s="2">
        <f t="shared" si="97"/>
        <v>59.29</v>
      </c>
      <c r="CU111" s="2">
        <f t="shared" si="98"/>
        <v>0</v>
      </c>
      <c r="CV111" s="2">
        <f t="shared" si="99"/>
        <v>4.0770180000000007</v>
      </c>
      <c r="CW111" s="2">
        <f t="shared" si="100"/>
        <v>0</v>
      </c>
      <c r="CX111" s="2">
        <f t="shared" si="101"/>
        <v>0</v>
      </c>
      <c r="CY111" s="2">
        <f>((S111*BZ111)/100)</f>
        <v>0</v>
      </c>
      <c r="CZ111" s="2">
        <f>((S111*CA111)/100)</f>
        <v>0</v>
      </c>
      <c r="DA111" s="2"/>
      <c r="DB111" s="2"/>
      <c r="DC111" s="2" t="s">
        <v>3</v>
      </c>
      <c r="DD111" s="2" t="s">
        <v>3</v>
      </c>
      <c r="DE111" s="2" t="s">
        <v>22</v>
      </c>
      <c r="DF111" s="2" t="s">
        <v>22</v>
      </c>
      <c r="DG111" s="2" t="s">
        <v>22</v>
      </c>
      <c r="DH111" s="2" t="s">
        <v>3</v>
      </c>
      <c r="DI111" s="2" t="s">
        <v>22</v>
      </c>
      <c r="DJ111" s="2" t="s">
        <v>22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187</v>
      </c>
      <c r="DW111" s="2" t="s">
        <v>187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51698180</v>
      </c>
      <c r="EF111" s="2">
        <v>40</v>
      </c>
      <c r="EG111" s="2" t="s">
        <v>166</v>
      </c>
      <c r="EH111" s="2">
        <v>0</v>
      </c>
      <c r="EI111" s="2" t="s">
        <v>3</v>
      </c>
      <c r="EJ111" s="2">
        <v>2</v>
      </c>
      <c r="EK111" s="2">
        <v>2135</v>
      </c>
      <c r="EL111" s="2" t="s">
        <v>189</v>
      </c>
      <c r="EM111" s="2" t="s">
        <v>190</v>
      </c>
      <c r="EN111" s="2"/>
      <c r="EO111" s="2" t="s">
        <v>26</v>
      </c>
      <c r="EP111" s="2"/>
      <c r="EQ111" s="2">
        <v>131072</v>
      </c>
      <c r="ER111" s="2">
        <v>53.97</v>
      </c>
      <c r="ES111" s="2">
        <v>2.4700000000000002</v>
      </c>
      <c r="ET111" s="2">
        <v>0.02</v>
      </c>
      <c r="EU111" s="2">
        <v>0</v>
      </c>
      <c r="EV111" s="2">
        <v>51.48</v>
      </c>
      <c r="EW111" s="2">
        <v>3.54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112</v>
      </c>
      <c r="FY111" s="2">
        <v>70</v>
      </c>
      <c r="FZ111" s="2"/>
      <c r="GA111" s="2" t="s">
        <v>3</v>
      </c>
      <c r="GB111" s="2"/>
      <c r="GC111" s="2"/>
      <c r="GD111" s="2">
        <v>0</v>
      </c>
      <c r="GE111" s="2"/>
      <c r="GF111" s="2">
        <v>585218542</v>
      </c>
      <c r="GG111" s="2">
        <v>2</v>
      </c>
      <c r="GH111" s="2">
        <v>1</v>
      </c>
      <c r="GI111" s="2">
        <v>-2</v>
      </c>
      <c r="GJ111" s="2">
        <v>0</v>
      </c>
      <c r="GK111" s="2">
        <f>ROUND(R111*(R12)/100,2)</f>
        <v>0</v>
      </c>
      <c r="GL111" s="2">
        <f t="shared" si="102"/>
        <v>0</v>
      </c>
      <c r="GM111" s="2">
        <f t="shared" si="103"/>
        <v>0</v>
      </c>
      <c r="GN111" s="2">
        <f t="shared" si="104"/>
        <v>0</v>
      </c>
      <c r="GO111" s="2">
        <f t="shared" si="105"/>
        <v>0</v>
      </c>
      <c r="GP111" s="2">
        <f t="shared" si="106"/>
        <v>0</v>
      </c>
      <c r="GQ111" s="2"/>
      <c r="GR111" s="2">
        <v>0</v>
      </c>
      <c r="GS111" s="2">
        <v>0</v>
      </c>
      <c r="GT111" s="2">
        <v>0</v>
      </c>
      <c r="GU111" s="2" t="s">
        <v>3</v>
      </c>
      <c r="GV111" s="2">
        <f t="shared" si="107"/>
        <v>0</v>
      </c>
      <c r="GW111" s="2">
        <v>1</v>
      </c>
      <c r="GX111" s="2">
        <f t="shared" si="108"/>
        <v>0</v>
      </c>
      <c r="GY111" s="2"/>
      <c r="GZ111" s="2"/>
      <c r="HA111" s="2">
        <v>0</v>
      </c>
      <c r="HB111" s="2">
        <v>0</v>
      </c>
      <c r="HC111" s="2">
        <f t="shared" si="109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>
        <v>17</v>
      </c>
      <c r="B112">
        <v>1</v>
      </c>
      <c r="C112">
        <f>ROW(SmtRes!A138)</f>
        <v>138</v>
      </c>
      <c r="D112">
        <f>ROW(EtalonRes!A186)</f>
        <v>186</v>
      </c>
      <c r="E112" t="s">
        <v>197</v>
      </c>
      <c r="F112" t="s">
        <v>198</v>
      </c>
      <c r="G112" t="s">
        <v>199</v>
      </c>
      <c r="H112" t="s">
        <v>187</v>
      </c>
      <c r="I112">
        <v>0</v>
      </c>
      <c r="J112">
        <v>0</v>
      </c>
      <c r="K112">
        <v>0</v>
      </c>
      <c r="O112">
        <f t="shared" si="81"/>
        <v>0</v>
      </c>
      <c r="P112">
        <f t="shared" si="82"/>
        <v>0</v>
      </c>
      <c r="Q112">
        <f>(ROUND((ROUND((((ET112*1.1))*AV112*I112),2)*BB112),2)+ROUND((ROUND(((AE112-((EU112*1.1)))*AV112*I112),2)*BS112),2))</f>
        <v>0</v>
      </c>
      <c r="R112">
        <f t="shared" si="83"/>
        <v>0</v>
      </c>
      <c r="S112">
        <f t="shared" si="84"/>
        <v>0</v>
      </c>
      <c r="T112">
        <f t="shared" si="85"/>
        <v>0</v>
      </c>
      <c r="U112">
        <f t="shared" si="86"/>
        <v>0</v>
      </c>
      <c r="V112">
        <f t="shared" si="87"/>
        <v>0</v>
      </c>
      <c r="W112">
        <f t="shared" si="88"/>
        <v>0</v>
      </c>
      <c r="X112">
        <f t="shared" si="89"/>
        <v>0</v>
      </c>
      <c r="Y112">
        <f t="shared" si="90"/>
        <v>0</v>
      </c>
      <c r="AA112">
        <v>56611490</v>
      </c>
      <c r="AB112">
        <f t="shared" si="91"/>
        <v>59.12</v>
      </c>
      <c r="AC112">
        <f t="shared" si="110"/>
        <v>2.4700000000000002</v>
      </c>
      <c r="AD112">
        <f>ROUND(((((ET112*1.1))-((EU112*1.1)))+AE112),6)</f>
        <v>2.1999999999999999E-2</v>
      </c>
      <c r="AE112">
        <f>ROUND(((EU112*1.1)),6)</f>
        <v>0</v>
      </c>
      <c r="AF112">
        <f>ROUND(((EV112*1.1)),6)</f>
        <v>56.628</v>
      </c>
      <c r="AG112">
        <f t="shared" si="92"/>
        <v>0</v>
      </c>
      <c r="AH112">
        <f>((EW112*1.1))</f>
        <v>3.8940000000000006</v>
      </c>
      <c r="AI112">
        <f>((EX112*1.1))</f>
        <v>0</v>
      </c>
      <c r="AJ112">
        <f t="shared" si="93"/>
        <v>0</v>
      </c>
      <c r="AK112">
        <v>53.97</v>
      </c>
      <c r="AL112">
        <v>2.4700000000000002</v>
      </c>
      <c r="AM112">
        <v>0.02</v>
      </c>
      <c r="AN112">
        <v>0</v>
      </c>
      <c r="AO112">
        <v>51.48</v>
      </c>
      <c r="AP112">
        <v>0</v>
      </c>
      <c r="AQ112">
        <v>3.54</v>
      </c>
      <c r="AR112">
        <v>0</v>
      </c>
      <c r="AS112">
        <v>0</v>
      </c>
      <c r="AT112">
        <v>92</v>
      </c>
      <c r="AU112">
        <v>43</v>
      </c>
      <c r="AV112">
        <v>1.0469999999999999</v>
      </c>
      <c r="AW112">
        <v>1</v>
      </c>
      <c r="AZ112">
        <v>1</v>
      </c>
      <c r="BA112">
        <v>34.51</v>
      </c>
      <c r="BB112">
        <v>6.5</v>
      </c>
      <c r="BC112">
        <v>10.14</v>
      </c>
      <c r="BD112" t="s">
        <v>3</v>
      </c>
      <c r="BE112" t="s">
        <v>3</v>
      </c>
      <c r="BF112" t="s">
        <v>3</v>
      </c>
      <c r="BG112" t="s">
        <v>3</v>
      </c>
      <c r="BH112">
        <v>0</v>
      </c>
      <c r="BI112">
        <v>2</v>
      </c>
      <c r="BJ112" t="s">
        <v>200</v>
      </c>
      <c r="BM112">
        <v>2135</v>
      </c>
      <c r="BN112">
        <v>0</v>
      </c>
      <c r="BO112" t="s">
        <v>198</v>
      </c>
      <c r="BP112">
        <v>1</v>
      </c>
      <c r="BQ112">
        <v>40</v>
      </c>
      <c r="BR112">
        <v>0</v>
      </c>
      <c r="BS112">
        <v>34.51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92</v>
      </c>
      <c r="CA112">
        <v>43</v>
      </c>
      <c r="CB112" t="s">
        <v>3</v>
      </c>
      <c r="CE112">
        <v>30</v>
      </c>
      <c r="CF112">
        <v>0</v>
      </c>
      <c r="CG112">
        <v>0</v>
      </c>
      <c r="CM112">
        <v>0</v>
      </c>
      <c r="CN112" t="s">
        <v>689</v>
      </c>
      <c r="CO112">
        <v>0</v>
      </c>
      <c r="CP112">
        <f t="shared" si="94"/>
        <v>0</v>
      </c>
      <c r="CQ112">
        <f t="shared" si="95"/>
        <v>25.05</v>
      </c>
      <c r="CR112">
        <f>(ROUND((ROUND((((ET112*1.1))*AV112*1),2)*BB112),2)+ROUND((ROUND(((AE112-((EU112*1.1)))*AV112*1),2)*BS112),2))</f>
        <v>0.13</v>
      </c>
      <c r="CS112">
        <f t="shared" si="96"/>
        <v>0</v>
      </c>
      <c r="CT112">
        <f t="shared" si="97"/>
        <v>2046.1</v>
      </c>
      <c r="CU112">
        <f t="shared" si="98"/>
        <v>0</v>
      </c>
      <c r="CV112">
        <f t="shared" si="99"/>
        <v>4.0770180000000007</v>
      </c>
      <c r="CW112">
        <f t="shared" si="100"/>
        <v>0</v>
      </c>
      <c r="CX112">
        <f t="shared" si="101"/>
        <v>0</v>
      </c>
      <c r="CY112">
        <f>S112*(BZ112/100)</f>
        <v>0</v>
      </c>
      <c r="CZ112">
        <f>S112*(CA112/100)</f>
        <v>0</v>
      </c>
      <c r="DC112" t="s">
        <v>3</v>
      </c>
      <c r="DD112" t="s">
        <v>3</v>
      </c>
      <c r="DE112" t="s">
        <v>22</v>
      </c>
      <c r="DF112" t="s">
        <v>22</v>
      </c>
      <c r="DG112" t="s">
        <v>22</v>
      </c>
      <c r="DH112" t="s">
        <v>3</v>
      </c>
      <c r="DI112" t="s">
        <v>22</v>
      </c>
      <c r="DJ112" t="s">
        <v>22</v>
      </c>
      <c r="DK112" t="s">
        <v>3</v>
      </c>
      <c r="DL112" t="s">
        <v>3</v>
      </c>
      <c r="DM112" t="s">
        <v>3</v>
      </c>
      <c r="DN112">
        <v>112</v>
      </c>
      <c r="DO112">
        <v>70</v>
      </c>
      <c r="DP112">
        <v>1.0469999999999999</v>
      </c>
      <c r="DQ112">
        <v>1</v>
      </c>
      <c r="DU112">
        <v>1013</v>
      </c>
      <c r="DV112" t="s">
        <v>187</v>
      </c>
      <c r="DW112" t="s">
        <v>187</v>
      </c>
      <c r="DX112">
        <v>1</v>
      </c>
      <c r="DZ112" t="s">
        <v>3</v>
      </c>
      <c r="EA112" t="s">
        <v>3</v>
      </c>
      <c r="EB112" t="s">
        <v>3</v>
      </c>
      <c r="EC112" t="s">
        <v>3</v>
      </c>
      <c r="EE112">
        <v>51698180</v>
      </c>
      <c r="EF112">
        <v>40</v>
      </c>
      <c r="EG112" t="s">
        <v>166</v>
      </c>
      <c r="EH112">
        <v>0</v>
      </c>
      <c r="EI112" t="s">
        <v>3</v>
      </c>
      <c r="EJ112">
        <v>2</v>
      </c>
      <c r="EK112">
        <v>2135</v>
      </c>
      <c r="EL112" t="s">
        <v>189</v>
      </c>
      <c r="EM112" t="s">
        <v>190</v>
      </c>
      <c r="EO112" t="s">
        <v>26</v>
      </c>
      <c r="EQ112">
        <v>131072</v>
      </c>
      <c r="ER112">
        <v>53.97</v>
      </c>
      <c r="ES112">
        <v>2.4700000000000002</v>
      </c>
      <c r="ET112">
        <v>0.02</v>
      </c>
      <c r="EU112">
        <v>0</v>
      </c>
      <c r="EV112">
        <v>51.48</v>
      </c>
      <c r="EW112">
        <v>3.54</v>
      </c>
      <c r="EX112">
        <v>0</v>
      </c>
      <c r="EY112">
        <v>0</v>
      </c>
      <c r="FQ112">
        <v>0</v>
      </c>
      <c r="FR112">
        <v>0</v>
      </c>
      <c r="FS112">
        <v>0</v>
      </c>
      <c r="FX112">
        <v>112</v>
      </c>
      <c r="FY112">
        <v>70</v>
      </c>
      <c r="GA112" t="s">
        <v>3</v>
      </c>
      <c r="GD112">
        <v>0</v>
      </c>
      <c r="GF112">
        <v>585218542</v>
      </c>
      <c r="GG112">
        <v>2</v>
      </c>
      <c r="GH112">
        <v>1</v>
      </c>
      <c r="GI112">
        <v>2</v>
      </c>
      <c r="GJ112">
        <v>0</v>
      </c>
      <c r="GK112">
        <f>ROUND(R112*(S12)/100,2)</f>
        <v>0</v>
      </c>
      <c r="GL112">
        <f t="shared" si="102"/>
        <v>0</v>
      </c>
      <c r="GM112">
        <f t="shared" si="103"/>
        <v>0</v>
      </c>
      <c r="GN112">
        <f t="shared" si="104"/>
        <v>0</v>
      </c>
      <c r="GO112">
        <f t="shared" si="105"/>
        <v>0</v>
      </c>
      <c r="GP112">
        <f t="shared" si="106"/>
        <v>0</v>
      </c>
      <c r="GR112">
        <v>0</v>
      </c>
      <c r="GS112">
        <v>3</v>
      </c>
      <c r="GT112">
        <v>0</v>
      </c>
      <c r="GU112" t="s">
        <v>3</v>
      </c>
      <c r="GV112">
        <f t="shared" si="107"/>
        <v>0</v>
      </c>
      <c r="GW112">
        <v>1</v>
      </c>
      <c r="GX112">
        <f t="shared" si="108"/>
        <v>0</v>
      </c>
      <c r="HA112">
        <v>0</v>
      </c>
      <c r="HB112">
        <v>0</v>
      </c>
      <c r="HC112">
        <f t="shared" si="109"/>
        <v>0</v>
      </c>
      <c r="HE112" t="s">
        <v>3</v>
      </c>
      <c r="HF112" t="s">
        <v>3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3" spans="1:255" x14ac:dyDescent="0.2">
      <c r="A113" s="2">
        <v>18</v>
      </c>
      <c r="B113" s="2">
        <v>1</v>
      </c>
      <c r="C113" s="2">
        <v>134</v>
      </c>
      <c r="D113" s="2"/>
      <c r="E113" s="2" t="s">
        <v>201</v>
      </c>
      <c r="F113" s="2" t="s">
        <v>192</v>
      </c>
      <c r="G113" s="2" t="s">
        <v>193</v>
      </c>
      <c r="H113" s="2" t="s">
        <v>194</v>
      </c>
      <c r="I113" s="2">
        <f>I111*J113</f>
        <v>0</v>
      </c>
      <c r="J113" s="2">
        <v>1</v>
      </c>
      <c r="K113" s="2">
        <v>1</v>
      </c>
      <c r="L113" s="2"/>
      <c r="M113" s="2"/>
      <c r="N113" s="2"/>
      <c r="O113" s="2">
        <f t="shared" si="81"/>
        <v>0</v>
      </c>
      <c r="P113" s="2">
        <f t="shared" si="82"/>
        <v>0</v>
      </c>
      <c r="Q113" s="2">
        <f>(ROUND((ROUND(((ET113)*AV113*I113),2)*BB113),2)+ROUND((ROUND(((AE113-(EU113))*AV113*I113),2)*BS113),2))</f>
        <v>0</v>
      </c>
      <c r="R113" s="2">
        <f t="shared" si="83"/>
        <v>0</v>
      </c>
      <c r="S113" s="2">
        <f t="shared" si="84"/>
        <v>0</v>
      </c>
      <c r="T113" s="2">
        <f t="shared" si="85"/>
        <v>0</v>
      </c>
      <c r="U113" s="2">
        <f t="shared" si="86"/>
        <v>0</v>
      </c>
      <c r="V113" s="2">
        <f t="shared" si="87"/>
        <v>0</v>
      </c>
      <c r="W113" s="2">
        <f t="shared" si="88"/>
        <v>0</v>
      </c>
      <c r="X113" s="2">
        <f t="shared" si="89"/>
        <v>0</v>
      </c>
      <c r="Y113" s="2">
        <f t="shared" si="90"/>
        <v>0</v>
      </c>
      <c r="Z113" s="2"/>
      <c r="AA113" s="2">
        <v>56622523</v>
      </c>
      <c r="AB113" s="2">
        <f t="shared" si="91"/>
        <v>3237.24</v>
      </c>
      <c r="AC113" s="2">
        <f t="shared" si="110"/>
        <v>3237.24</v>
      </c>
      <c r="AD113" s="2">
        <f>ROUND((((ET113)-(EU113))+AE113),6)</f>
        <v>0</v>
      </c>
      <c r="AE113" s="2">
        <f>ROUND((EU113),6)</f>
        <v>0</v>
      </c>
      <c r="AF113" s="2">
        <f>ROUND((EV113),6)</f>
        <v>0</v>
      </c>
      <c r="AG113" s="2">
        <f t="shared" si="92"/>
        <v>0</v>
      </c>
      <c r="AH113" s="2">
        <f>(EW113)</f>
        <v>0</v>
      </c>
      <c r="AI113" s="2">
        <f>(EX113)</f>
        <v>0</v>
      </c>
      <c r="AJ113" s="2">
        <f t="shared" si="93"/>
        <v>0</v>
      </c>
      <c r="AK113" s="2">
        <v>3237.24</v>
      </c>
      <c r="AL113" s="2">
        <v>3237.24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112</v>
      </c>
      <c r="AU113" s="2">
        <v>70</v>
      </c>
      <c r="AV113" s="2">
        <v>1.0469999999999999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2</v>
      </c>
      <c r="BJ113" s="2" t="s">
        <v>195</v>
      </c>
      <c r="BK113" s="2"/>
      <c r="BL113" s="2"/>
      <c r="BM113" s="2">
        <v>2135</v>
      </c>
      <c r="BN113" s="2">
        <v>0</v>
      </c>
      <c r="BO113" s="2" t="s">
        <v>3</v>
      </c>
      <c r="BP113" s="2">
        <v>0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112</v>
      </c>
      <c r="CA113" s="2">
        <v>70</v>
      </c>
      <c r="CB113" s="2" t="s">
        <v>3</v>
      </c>
      <c r="CC113" s="2"/>
      <c r="CD113" s="2"/>
      <c r="CE113" s="2">
        <v>30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94"/>
        <v>0</v>
      </c>
      <c r="CQ113" s="2">
        <f t="shared" si="95"/>
        <v>3237.24</v>
      </c>
      <c r="CR113" s="2">
        <f>(ROUND((ROUND(((ET113)*AV113*1),2)*BB113),2)+ROUND((ROUND(((AE113-(EU113))*AV113*1),2)*BS113),2))</f>
        <v>0</v>
      </c>
      <c r="CS113" s="2">
        <f t="shared" si="96"/>
        <v>0</v>
      </c>
      <c r="CT113" s="2">
        <f t="shared" si="97"/>
        <v>0</v>
      </c>
      <c r="CU113" s="2">
        <f t="shared" si="98"/>
        <v>0</v>
      </c>
      <c r="CV113" s="2">
        <f t="shared" si="99"/>
        <v>0</v>
      </c>
      <c r="CW113" s="2">
        <f t="shared" si="100"/>
        <v>0</v>
      </c>
      <c r="CX113" s="2">
        <f t="shared" si="101"/>
        <v>0</v>
      </c>
      <c r="CY113" s="2">
        <f>((S113*BZ113)/100)</f>
        <v>0</v>
      </c>
      <c r="CZ113" s="2">
        <f>((S113*CA113)/100)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194</v>
      </c>
      <c r="DW113" s="2" t="s">
        <v>194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51698180</v>
      </c>
      <c r="EF113" s="2">
        <v>40</v>
      </c>
      <c r="EG113" s="2" t="s">
        <v>166</v>
      </c>
      <c r="EH113" s="2">
        <v>0</v>
      </c>
      <c r="EI113" s="2" t="s">
        <v>3</v>
      </c>
      <c r="EJ113" s="2">
        <v>2</v>
      </c>
      <c r="EK113" s="2">
        <v>2135</v>
      </c>
      <c r="EL113" s="2" t="s">
        <v>189</v>
      </c>
      <c r="EM113" s="2" t="s">
        <v>190</v>
      </c>
      <c r="EN113" s="2"/>
      <c r="EO113" s="2" t="s">
        <v>3</v>
      </c>
      <c r="EP113" s="2"/>
      <c r="EQ113" s="2">
        <v>0</v>
      </c>
      <c r="ER113" s="2">
        <v>3237.24</v>
      </c>
      <c r="ES113" s="2">
        <v>3237.24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112</v>
      </c>
      <c r="FY113" s="2">
        <v>70</v>
      </c>
      <c r="FZ113" s="2"/>
      <c r="GA113" s="2" t="s">
        <v>3</v>
      </c>
      <c r="GB113" s="2"/>
      <c r="GC113" s="2"/>
      <c r="GD113" s="2">
        <v>0</v>
      </c>
      <c r="GE113" s="2"/>
      <c r="GF113" s="2">
        <v>-1891565108</v>
      </c>
      <c r="GG113" s="2">
        <v>2</v>
      </c>
      <c r="GH113" s="2">
        <v>1</v>
      </c>
      <c r="GI113" s="2">
        <v>-2</v>
      </c>
      <c r="GJ113" s="2">
        <v>0</v>
      </c>
      <c r="GK113" s="2">
        <f>ROUND(R113*(R12)/100,2)</f>
        <v>0</v>
      </c>
      <c r="GL113" s="2">
        <f t="shared" si="102"/>
        <v>0</v>
      </c>
      <c r="GM113" s="2">
        <f t="shared" si="103"/>
        <v>0</v>
      </c>
      <c r="GN113" s="2">
        <f t="shared" si="104"/>
        <v>0</v>
      </c>
      <c r="GO113" s="2">
        <f t="shared" si="105"/>
        <v>0</v>
      </c>
      <c r="GP113" s="2">
        <f t="shared" si="106"/>
        <v>0</v>
      </c>
      <c r="GQ113" s="2"/>
      <c r="GR113" s="2">
        <v>0</v>
      </c>
      <c r="GS113" s="2">
        <v>0</v>
      </c>
      <c r="GT113" s="2">
        <v>0</v>
      </c>
      <c r="GU113" s="2" t="s">
        <v>3</v>
      </c>
      <c r="GV113" s="2">
        <f t="shared" si="107"/>
        <v>0</v>
      </c>
      <c r="GW113" s="2">
        <v>1</v>
      </c>
      <c r="GX113" s="2">
        <f t="shared" si="108"/>
        <v>0</v>
      </c>
      <c r="GY113" s="2"/>
      <c r="GZ113" s="2"/>
      <c r="HA113" s="2">
        <v>0</v>
      </c>
      <c r="HB113" s="2">
        <v>0</v>
      </c>
      <c r="HC113" s="2">
        <f t="shared" si="109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>
        <v>18</v>
      </c>
      <c r="B114">
        <v>1</v>
      </c>
      <c r="C114">
        <v>138</v>
      </c>
      <c r="E114" t="s">
        <v>201</v>
      </c>
      <c r="F114" t="s">
        <v>192</v>
      </c>
      <c r="G114" t="s">
        <v>193</v>
      </c>
      <c r="H114" t="s">
        <v>194</v>
      </c>
      <c r="I114">
        <f>I112*J114</f>
        <v>0</v>
      </c>
      <c r="J114">
        <v>1</v>
      </c>
      <c r="K114">
        <v>1</v>
      </c>
      <c r="O114">
        <f t="shared" si="81"/>
        <v>0</v>
      </c>
      <c r="P114">
        <f t="shared" si="82"/>
        <v>0</v>
      </c>
      <c r="Q114">
        <f>(ROUND((ROUND(((ET114)*AV114*I114),2)*BB114),2)+ROUND((ROUND(((AE114-(EU114))*AV114*I114),2)*BS114),2))</f>
        <v>0</v>
      </c>
      <c r="R114">
        <f t="shared" si="83"/>
        <v>0</v>
      </c>
      <c r="S114">
        <f t="shared" si="84"/>
        <v>0</v>
      </c>
      <c r="T114">
        <f t="shared" si="85"/>
        <v>0</v>
      </c>
      <c r="U114">
        <f t="shared" si="86"/>
        <v>0</v>
      </c>
      <c r="V114">
        <f t="shared" si="87"/>
        <v>0</v>
      </c>
      <c r="W114">
        <f t="shared" si="88"/>
        <v>0</v>
      </c>
      <c r="X114">
        <f t="shared" si="89"/>
        <v>0</v>
      </c>
      <c r="Y114">
        <f t="shared" si="90"/>
        <v>0</v>
      </c>
      <c r="AA114">
        <v>56611490</v>
      </c>
      <c r="AB114">
        <f t="shared" si="91"/>
        <v>3237.24</v>
      </c>
      <c r="AC114">
        <f t="shared" si="110"/>
        <v>3237.24</v>
      </c>
      <c r="AD114">
        <f>ROUND((((ET114)-(EU114))+AE114),6)</f>
        <v>0</v>
      </c>
      <c r="AE114">
        <f>ROUND((EU114),6)</f>
        <v>0</v>
      </c>
      <c r="AF114">
        <f>ROUND((EV114),6)</f>
        <v>0</v>
      </c>
      <c r="AG114">
        <f t="shared" si="92"/>
        <v>0</v>
      </c>
      <c r="AH114">
        <f>(EW114)</f>
        <v>0</v>
      </c>
      <c r="AI114">
        <f>(EX114)</f>
        <v>0</v>
      </c>
      <c r="AJ114">
        <f t="shared" si="93"/>
        <v>0</v>
      </c>
      <c r="AK114">
        <v>3237.24</v>
      </c>
      <c r="AL114">
        <v>3237.24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1</v>
      </c>
      <c r="AZ114">
        <v>1</v>
      </c>
      <c r="BA114">
        <v>1</v>
      </c>
      <c r="BB114">
        <v>1</v>
      </c>
      <c r="BC114">
        <v>6.08</v>
      </c>
      <c r="BD114" t="s">
        <v>3</v>
      </c>
      <c r="BE114" t="s">
        <v>3</v>
      </c>
      <c r="BF114" t="s">
        <v>3</v>
      </c>
      <c r="BG114" t="s">
        <v>3</v>
      </c>
      <c r="BH114">
        <v>3</v>
      </c>
      <c r="BI114">
        <v>2</v>
      </c>
      <c r="BJ114" t="s">
        <v>195</v>
      </c>
      <c r="BM114">
        <v>2135</v>
      </c>
      <c r="BN114">
        <v>0</v>
      </c>
      <c r="BO114" t="s">
        <v>192</v>
      </c>
      <c r="BP114">
        <v>1</v>
      </c>
      <c r="BQ114">
        <v>40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0</v>
      </c>
      <c r="CA114">
        <v>0</v>
      </c>
      <c r="CB114" t="s">
        <v>3</v>
      </c>
      <c r="CE114">
        <v>30</v>
      </c>
      <c r="CF114">
        <v>0</v>
      </c>
      <c r="CG114">
        <v>0</v>
      </c>
      <c r="CM114">
        <v>0</v>
      </c>
      <c r="CN114" t="s">
        <v>3</v>
      </c>
      <c r="CO114">
        <v>0</v>
      </c>
      <c r="CP114">
        <f t="shared" si="94"/>
        <v>0</v>
      </c>
      <c r="CQ114">
        <f t="shared" si="95"/>
        <v>19682.419999999998</v>
      </c>
      <c r="CR114">
        <f>(ROUND((ROUND(((ET114)*AV114*1),2)*BB114),2)+ROUND((ROUND(((AE114-(EU114))*AV114*1),2)*BS114),2))</f>
        <v>0</v>
      </c>
      <c r="CS114">
        <f t="shared" si="96"/>
        <v>0</v>
      </c>
      <c r="CT114">
        <f t="shared" si="97"/>
        <v>0</v>
      </c>
      <c r="CU114">
        <f t="shared" si="98"/>
        <v>0</v>
      </c>
      <c r="CV114">
        <f t="shared" si="99"/>
        <v>0</v>
      </c>
      <c r="CW114">
        <f t="shared" si="100"/>
        <v>0</v>
      </c>
      <c r="CX114">
        <f t="shared" si="101"/>
        <v>0</v>
      </c>
      <c r="CY114">
        <f>S114*(BZ114/100)</f>
        <v>0</v>
      </c>
      <c r="CZ114">
        <f>S114*(CA114/100)</f>
        <v>0</v>
      </c>
      <c r="DC114" t="s">
        <v>3</v>
      </c>
      <c r="DD114" t="s">
        <v>3</v>
      </c>
      <c r="DE114" t="s">
        <v>3</v>
      </c>
      <c r="DF114" t="s">
        <v>3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3</v>
      </c>
      <c r="DM114" t="s">
        <v>3</v>
      </c>
      <c r="DN114">
        <v>112</v>
      </c>
      <c r="DO114">
        <v>70</v>
      </c>
      <c r="DP114">
        <v>1.0469999999999999</v>
      </c>
      <c r="DQ114">
        <v>1</v>
      </c>
      <c r="DU114">
        <v>1013</v>
      </c>
      <c r="DV114" t="s">
        <v>194</v>
      </c>
      <c r="DW114" t="s">
        <v>194</v>
      </c>
      <c r="DX114">
        <v>1</v>
      </c>
      <c r="DZ114" t="s">
        <v>3</v>
      </c>
      <c r="EA114" t="s">
        <v>3</v>
      </c>
      <c r="EB114" t="s">
        <v>3</v>
      </c>
      <c r="EC114" t="s">
        <v>3</v>
      </c>
      <c r="EE114">
        <v>51698180</v>
      </c>
      <c r="EF114">
        <v>40</v>
      </c>
      <c r="EG114" t="s">
        <v>166</v>
      </c>
      <c r="EH114">
        <v>0</v>
      </c>
      <c r="EI114" t="s">
        <v>3</v>
      </c>
      <c r="EJ114">
        <v>2</v>
      </c>
      <c r="EK114">
        <v>2135</v>
      </c>
      <c r="EL114" t="s">
        <v>189</v>
      </c>
      <c r="EM114" t="s">
        <v>190</v>
      </c>
      <c r="EO114" t="s">
        <v>3</v>
      </c>
      <c r="EQ114">
        <v>0</v>
      </c>
      <c r="ER114">
        <v>3237.24</v>
      </c>
      <c r="ES114">
        <v>3237.24</v>
      </c>
      <c r="ET114">
        <v>0</v>
      </c>
      <c r="EU114">
        <v>0</v>
      </c>
      <c r="EV114">
        <v>0</v>
      </c>
      <c r="EW114">
        <v>0</v>
      </c>
      <c r="EX114">
        <v>0</v>
      </c>
      <c r="FQ114">
        <v>0</v>
      </c>
      <c r="FR114">
        <v>0</v>
      </c>
      <c r="FS114">
        <v>0</v>
      </c>
      <c r="FX114">
        <v>112</v>
      </c>
      <c r="FY114">
        <v>70</v>
      </c>
      <c r="GA114" t="s">
        <v>3</v>
      </c>
      <c r="GD114">
        <v>0</v>
      </c>
      <c r="GF114">
        <v>-1891565108</v>
      </c>
      <c r="GG114">
        <v>2</v>
      </c>
      <c r="GH114">
        <v>1</v>
      </c>
      <c r="GI114">
        <v>2</v>
      </c>
      <c r="GJ114">
        <v>0</v>
      </c>
      <c r="GK114">
        <f>ROUND(R114*(S12)/100,2)</f>
        <v>0</v>
      </c>
      <c r="GL114">
        <f t="shared" si="102"/>
        <v>0</v>
      </c>
      <c r="GM114">
        <f t="shared" si="103"/>
        <v>0</v>
      </c>
      <c r="GN114">
        <f t="shared" si="104"/>
        <v>0</v>
      </c>
      <c r="GO114">
        <f t="shared" si="105"/>
        <v>0</v>
      </c>
      <c r="GP114">
        <f t="shared" si="106"/>
        <v>0</v>
      </c>
      <c r="GR114">
        <v>0</v>
      </c>
      <c r="GS114">
        <v>3</v>
      </c>
      <c r="GT114">
        <v>0</v>
      </c>
      <c r="GU114" t="s">
        <v>3</v>
      </c>
      <c r="GV114">
        <f t="shared" si="107"/>
        <v>0</v>
      </c>
      <c r="GW114">
        <v>1</v>
      </c>
      <c r="GX114">
        <f t="shared" si="108"/>
        <v>0</v>
      </c>
      <c r="HA114">
        <v>0</v>
      </c>
      <c r="HB114">
        <v>0</v>
      </c>
      <c r="HC114">
        <f t="shared" si="109"/>
        <v>0</v>
      </c>
      <c r="HE114" t="s">
        <v>3</v>
      </c>
      <c r="HF114" t="s">
        <v>3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5" spans="1:255" x14ac:dyDescent="0.2">
      <c r="A115" s="2">
        <v>17</v>
      </c>
      <c r="B115" s="2">
        <v>1</v>
      </c>
      <c r="C115" s="2">
        <f>ROW(SmtRes!A149)</f>
        <v>149</v>
      </c>
      <c r="D115" s="2">
        <f>ROW(EtalonRes!A197)</f>
        <v>197</v>
      </c>
      <c r="E115" s="2" t="s">
        <v>202</v>
      </c>
      <c r="F115" s="2" t="s">
        <v>203</v>
      </c>
      <c r="G115" s="2" t="s">
        <v>204</v>
      </c>
      <c r="H115" s="2" t="s">
        <v>187</v>
      </c>
      <c r="I115" s="2">
        <v>0</v>
      </c>
      <c r="J115" s="2">
        <v>0</v>
      </c>
      <c r="K115" s="2">
        <v>0</v>
      </c>
      <c r="L115" s="2"/>
      <c r="M115" s="2"/>
      <c r="N115" s="2"/>
      <c r="O115" s="2">
        <f t="shared" si="81"/>
        <v>0</v>
      </c>
      <c r="P115" s="2">
        <f t="shared" si="82"/>
        <v>0</v>
      </c>
      <c r="Q115" s="2">
        <f>(ROUND((ROUND((((ET115*1.1))*AV115*I115),2)*BB115),2)+ROUND((ROUND(((AE115-((EU115*1.1)))*AV115*I115),2)*BS115),2))</f>
        <v>0</v>
      </c>
      <c r="R115" s="2">
        <f t="shared" si="83"/>
        <v>0</v>
      </c>
      <c r="S115" s="2">
        <f t="shared" si="84"/>
        <v>0</v>
      </c>
      <c r="T115" s="2">
        <f t="shared" si="85"/>
        <v>0</v>
      </c>
      <c r="U115" s="2">
        <f t="shared" si="86"/>
        <v>0</v>
      </c>
      <c r="V115" s="2">
        <f t="shared" si="87"/>
        <v>0</v>
      </c>
      <c r="W115" s="2">
        <f t="shared" si="88"/>
        <v>0</v>
      </c>
      <c r="X115" s="2">
        <f t="shared" si="89"/>
        <v>0</v>
      </c>
      <c r="Y115" s="2">
        <f t="shared" si="90"/>
        <v>0</v>
      </c>
      <c r="Z115" s="2"/>
      <c r="AA115" s="2">
        <v>56622523</v>
      </c>
      <c r="AB115" s="2">
        <f t="shared" si="91"/>
        <v>339.94900000000001</v>
      </c>
      <c r="AC115" s="2">
        <f t="shared" si="110"/>
        <v>43.84</v>
      </c>
      <c r="AD115" s="2">
        <f>ROUND(((((ET115*1.1))-((EU115*1.1)))+AE115),6)</f>
        <v>65.241</v>
      </c>
      <c r="AE115" s="2">
        <f>ROUND(((EU115*1.1)),6)</f>
        <v>5.665</v>
      </c>
      <c r="AF115" s="2">
        <f>ROUND(((EV115*1.1)),6)</f>
        <v>230.86799999999999</v>
      </c>
      <c r="AG115" s="2">
        <f t="shared" si="92"/>
        <v>0</v>
      </c>
      <c r="AH115" s="2">
        <f>((EW115*1.1))</f>
        <v>17.501000000000001</v>
      </c>
      <c r="AI115" s="2">
        <f>((EX115*1.1))</f>
        <v>0</v>
      </c>
      <c r="AJ115" s="2">
        <f t="shared" si="93"/>
        <v>0</v>
      </c>
      <c r="AK115" s="2">
        <v>313.02999999999997</v>
      </c>
      <c r="AL115" s="2">
        <v>43.84</v>
      </c>
      <c r="AM115" s="2">
        <v>59.31</v>
      </c>
      <c r="AN115" s="2">
        <v>5.15</v>
      </c>
      <c r="AO115" s="2">
        <v>209.88</v>
      </c>
      <c r="AP115" s="2">
        <v>0</v>
      </c>
      <c r="AQ115" s="2">
        <v>15.91</v>
      </c>
      <c r="AR115" s="2">
        <v>0</v>
      </c>
      <c r="AS115" s="2">
        <v>0</v>
      </c>
      <c r="AT115" s="2">
        <v>112</v>
      </c>
      <c r="AU115" s="2">
        <v>70</v>
      </c>
      <c r="AV115" s="2">
        <v>1.0469999999999999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2</v>
      </c>
      <c r="BJ115" s="2" t="s">
        <v>205</v>
      </c>
      <c r="BK115" s="2"/>
      <c r="BL115" s="2"/>
      <c r="BM115" s="2">
        <v>1726</v>
      </c>
      <c r="BN115" s="2">
        <v>0</v>
      </c>
      <c r="BO115" s="2" t="s">
        <v>3</v>
      </c>
      <c r="BP115" s="2">
        <v>0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112</v>
      </c>
      <c r="CA115" s="2">
        <v>70</v>
      </c>
      <c r="CB115" s="2" t="s">
        <v>3</v>
      </c>
      <c r="CC115" s="2"/>
      <c r="CD115" s="2"/>
      <c r="CE115" s="2">
        <v>30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689</v>
      </c>
      <c r="CO115" s="2">
        <v>0</v>
      </c>
      <c r="CP115" s="2">
        <f t="shared" si="94"/>
        <v>0</v>
      </c>
      <c r="CQ115" s="2">
        <f t="shared" si="95"/>
        <v>43.84</v>
      </c>
      <c r="CR115" s="2">
        <f>(ROUND((ROUND((((ET115*1.1))*AV115*1),2)*BB115),2)+ROUND((ROUND(((AE115-((EU115*1.1)))*AV115*1),2)*BS115),2))</f>
        <v>68.31</v>
      </c>
      <c r="CS115" s="2">
        <f t="shared" si="96"/>
        <v>5.93</v>
      </c>
      <c r="CT115" s="2">
        <f t="shared" si="97"/>
        <v>241.72</v>
      </c>
      <c r="CU115" s="2">
        <f t="shared" si="98"/>
        <v>0</v>
      </c>
      <c r="CV115" s="2">
        <f t="shared" si="99"/>
        <v>18.323547000000001</v>
      </c>
      <c r="CW115" s="2">
        <f t="shared" si="100"/>
        <v>0</v>
      </c>
      <c r="CX115" s="2">
        <f t="shared" si="101"/>
        <v>0</v>
      </c>
      <c r="CY115" s="2">
        <f>((S115*BZ115)/100)</f>
        <v>0</v>
      </c>
      <c r="CZ115" s="2">
        <f>((S115*CA115)/100)</f>
        <v>0</v>
      </c>
      <c r="DA115" s="2"/>
      <c r="DB115" s="2"/>
      <c r="DC115" s="2" t="s">
        <v>3</v>
      </c>
      <c r="DD115" s="2" t="s">
        <v>3</v>
      </c>
      <c r="DE115" s="2" t="s">
        <v>22</v>
      </c>
      <c r="DF115" s="2" t="s">
        <v>22</v>
      </c>
      <c r="DG115" s="2" t="s">
        <v>22</v>
      </c>
      <c r="DH115" s="2" t="s">
        <v>3</v>
      </c>
      <c r="DI115" s="2" t="s">
        <v>22</v>
      </c>
      <c r="DJ115" s="2" t="s">
        <v>22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187</v>
      </c>
      <c r="DW115" s="2" t="s">
        <v>187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51697765</v>
      </c>
      <c r="EF115" s="2">
        <v>40</v>
      </c>
      <c r="EG115" s="2" t="s">
        <v>166</v>
      </c>
      <c r="EH115" s="2">
        <v>0</v>
      </c>
      <c r="EI115" s="2" t="s">
        <v>3</v>
      </c>
      <c r="EJ115" s="2">
        <v>2</v>
      </c>
      <c r="EK115" s="2">
        <v>1726</v>
      </c>
      <c r="EL115" s="2" t="s">
        <v>206</v>
      </c>
      <c r="EM115" s="2" t="s">
        <v>207</v>
      </c>
      <c r="EN115" s="2"/>
      <c r="EO115" s="2" t="s">
        <v>26</v>
      </c>
      <c r="EP115" s="2"/>
      <c r="EQ115" s="2">
        <v>131072</v>
      </c>
      <c r="ER115" s="2">
        <v>313.02999999999997</v>
      </c>
      <c r="ES115" s="2">
        <v>43.84</v>
      </c>
      <c r="ET115" s="2">
        <v>59.31</v>
      </c>
      <c r="EU115" s="2">
        <v>5.15</v>
      </c>
      <c r="EV115" s="2">
        <v>209.88</v>
      </c>
      <c r="EW115" s="2">
        <v>15.91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112</v>
      </c>
      <c r="FY115" s="2">
        <v>70</v>
      </c>
      <c r="FZ115" s="2"/>
      <c r="GA115" s="2" t="s">
        <v>3</v>
      </c>
      <c r="GB115" s="2"/>
      <c r="GC115" s="2"/>
      <c r="GD115" s="2">
        <v>0</v>
      </c>
      <c r="GE115" s="2"/>
      <c r="GF115" s="2">
        <v>1162884858</v>
      </c>
      <c r="GG115" s="2">
        <v>2</v>
      </c>
      <c r="GH115" s="2">
        <v>1</v>
      </c>
      <c r="GI115" s="2">
        <v>-2</v>
      </c>
      <c r="GJ115" s="2">
        <v>0</v>
      </c>
      <c r="GK115" s="2">
        <f>ROUND(R115*(R12)/100,2)</f>
        <v>0</v>
      </c>
      <c r="GL115" s="2">
        <f t="shared" si="102"/>
        <v>0</v>
      </c>
      <c r="GM115" s="2">
        <f t="shared" si="103"/>
        <v>0</v>
      </c>
      <c r="GN115" s="2">
        <f t="shared" si="104"/>
        <v>0</v>
      </c>
      <c r="GO115" s="2">
        <f t="shared" si="105"/>
        <v>0</v>
      </c>
      <c r="GP115" s="2">
        <f t="shared" si="106"/>
        <v>0</v>
      </c>
      <c r="GQ115" s="2"/>
      <c r="GR115" s="2">
        <v>0</v>
      </c>
      <c r="GS115" s="2">
        <v>0</v>
      </c>
      <c r="GT115" s="2">
        <v>0</v>
      </c>
      <c r="GU115" s="2" t="s">
        <v>3</v>
      </c>
      <c r="GV115" s="2">
        <f t="shared" si="107"/>
        <v>0</v>
      </c>
      <c r="GW115" s="2">
        <v>1</v>
      </c>
      <c r="GX115" s="2">
        <f t="shared" si="108"/>
        <v>0</v>
      </c>
      <c r="GY115" s="2"/>
      <c r="GZ115" s="2"/>
      <c r="HA115" s="2">
        <v>0</v>
      </c>
      <c r="HB115" s="2">
        <v>0</v>
      </c>
      <c r="HC115" s="2">
        <f t="shared" si="109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>
        <v>17</v>
      </c>
      <c r="B116">
        <v>1</v>
      </c>
      <c r="C116">
        <f>ROW(SmtRes!A160)</f>
        <v>160</v>
      </c>
      <c r="D116">
        <f>ROW(EtalonRes!A208)</f>
        <v>208</v>
      </c>
      <c r="E116" t="s">
        <v>202</v>
      </c>
      <c r="F116" t="s">
        <v>203</v>
      </c>
      <c r="G116" t="s">
        <v>204</v>
      </c>
      <c r="H116" t="s">
        <v>187</v>
      </c>
      <c r="I116">
        <v>0</v>
      </c>
      <c r="J116">
        <v>0</v>
      </c>
      <c r="K116">
        <v>0</v>
      </c>
      <c r="O116">
        <f t="shared" si="81"/>
        <v>0</v>
      </c>
      <c r="P116">
        <f t="shared" si="82"/>
        <v>0</v>
      </c>
      <c r="Q116">
        <f>(ROUND((ROUND((((ET116*1.1))*AV116*I116),2)*BB116),2)+ROUND((ROUND(((AE116-((EU116*1.1)))*AV116*I116),2)*BS116),2))</f>
        <v>0</v>
      </c>
      <c r="R116">
        <f t="shared" si="83"/>
        <v>0</v>
      </c>
      <c r="S116">
        <f t="shared" si="84"/>
        <v>0</v>
      </c>
      <c r="T116">
        <f t="shared" si="85"/>
        <v>0</v>
      </c>
      <c r="U116">
        <f t="shared" si="86"/>
        <v>0</v>
      </c>
      <c r="V116">
        <f t="shared" si="87"/>
        <v>0</v>
      </c>
      <c r="W116">
        <f t="shared" si="88"/>
        <v>0</v>
      </c>
      <c r="X116">
        <f t="shared" si="89"/>
        <v>0</v>
      </c>
      <c r="Y116">
        <f t="shared" si="90"/>
        <v>0</v>
      </c>
      <c r="AA116">
        <v>56611490</v>
      </c>
      <c r="AB116">
        <f t="shared" si="91"/>
        <v>339.94900000000001</v>
      </c>
      <c r="AC116">
        <f t="shared" si="110"/>
        <v>43.84</v>
      </c>
      <c r="AD116">
        <f>ROUND(((((ET116*1.1))-((EU116*1.1)))+AE116),6)</f>
        <v>65.241</v>
      </c>
      <c r="AE116">
        <f>ROUND(((EU116*1.1)),6)</f>
        <v>5.665</v>
      </c>
      <c r="AF116">
        <f>ROUND(((EV116*1.1)),6)</f>
        <v>230.86799999999999</v>
      </c>
      <c r="AG116">
        <f t="shared" si="92"/>
        <v>0</v>
      </c>
      <c r="AH116">
        <f>((EW116*1.1))</f>
        <v>17.501000000000001</v>
      </c>
      <c r="AI116">
        <f>((EX116*1.1))</f>
        <v>0</v>
      </c>
      <c r="AJ116">
        <f t="shared" si="93"/>
        <v>0</v>
      </c>
      <c r="AK116">
        <v>313.02999999999997</v>
      </c>
      <c r="AL116">
        <v>43.84</v>
      </c>
      <c r="AM116">
        <v>59.31</v>
      </c>
      <c r="AN116">
        <v>5.15</v>
      </c>
      <c r="AO116">
        <v>209.88</v>
      </c>
      <c r="AP116">
        <v>0</v>
      </c>
      <c r="AQ116">
        <v>15.91</v>
      </c>
      <c r="AR116">
        <v>0</v>
      </c>
      <c r="AS116">
        <v>0</v>
      </c>
      <c r="AT116">
        <v>92</v>
      </c>
      <c r="AU116">
        <v>43</v>
      </c>
      <c r="AV116">
        <v>1.0469999999999999</v>
      </c>
      <c r="AW116">
        <v>1</v>
      </c>
      <c r="AZ116">
        <v>1</v>
      </c>
      <c r="BA116">
        <v>34.51</v>
      </c>
      <c r="BB116">
        <v>7.08</v>
      </c>
      <c r="BC116">
        <v>8.33</v>
      </c>
      <c r="BD116" t="s">
        <v>3</v>
      </c>
      <c r="BE116" t="s">
        <v>3</v>
      </c>
      <c r="BF116" t="s">
        <v>3</v>
      </c>
      <c r="BG116" t="s">
        <v>3</v>
      </c>
      <c r="BH116">
        <v>0</v>
      </c>
      <c r="BI116">
        <v>2</v>
      </c>
      <c r="BJ116" t="s">
        <v>205</v>
      </c>
      <c r="BM116">
        <v>1726</v>
      </c>
      <c r="BN116">
        <v>0</v>
      </c>
      <c r="BO116" t="s">
        <v>203</v>
      </c>
      <c r="BP116">
        <v>1</v>
      </c>
      <c r="BQ116">
        <v>40</v>
      </c>
      <c r="BR116">
        <v>0</v>
      </c>
      <c r="BS116">
        <v>34.51</v>
      </c>
      <c r="BT116">
        <v>1</v>
      </c>
      <c r="BU116">
        <v>1</v>
      </c>
      <c r="BV116">
        <v>1</v>
      </c>
      <c r="BW116">
        <v>1</v>
      </c>
      <c r="BX116">
        <v>1</v>
      </c>
      <c r="BY116" t="s">
        <v>3</v>
      </c>
      <c r="BZ116">
        <v>92</v>
      </c>
      <c r="CA116">
        <v>43</v>
      </c>
      <c r="CB116" t="s">
        <v>3</v>
      </c>
      <c r="CE116">
        <v>30</v>
      </c>
      <c r="CF116">
        <v>0</v>
      </c>
      <c r="CG116">
        <v>0</v>
      </c>
      <c r="CM116">
        <v>0</v>
      </c>
      <c r="CN116" t="s">
        <v>689</v>
      </c>
      <c r="CO116">
        <v>0</v>
      </c>
      <c r="CP116">
        <f t="shared" si="94"/>
        <v>0</v>
      </c>
      <c r="CQ116">
        <f t="shared" si="95"/>
        <v>365.19</v>
      </c>
      <c r="CR116">
        <f>(ROUND((ROUND((((ET116*1.1))*AV116*1),2)*BB116),2)+ROUND((ROUND(((AE116-((EU116*1.1)))*AV116*1),2)*BS116),2))</f>
        <v>483.63</v>
      </c>
      <c r="CS116">
        <f t="shared" si="96"/>
        <v>204.64</v>
      </c>
      <c r="CT116">
        <f t="shared" si="97"/>
        <v>8341.76</v>
      </c>
      <c r="CU116">
        <f t="shared" si="98"/>
        <v>0</v>
      </c>
      <c r="CV116">
        <f t="shared" si="99"/>
        <v>18.323547000000001</v>
      </c>
      <c r="CW116">
        <f t="shared" si="100"/>
        <v>0</v>
      </c>
      <c r="CX116">
        <f t="shared" si="101"/>
        <v>0</v>
      </c>
      <c r="CY116">
        <f>S116*(BZ116/100)</f>
        <v>0</v>
      </c>
      <c r="CZ116">
        <f>S116*(CA116/100)</f>
        <v>0</v>
      </c>
      <c r="DC116" t="s">
        <v>3</v>
      </c>
      <c r="DD116" t="s">
        <v>3</v>
      </c>
      <c r="DE116" t="s">
        <v>22</v>
      </c>
      <c r="DF116" t="s">
        <v>22</v>
      </c>
      <c r="DG116" t="s">
        <v>22</v>
      </c>
      <c r="DH116" t="s">
        <v>3</v>
      </c>
      <c r="DI116" t="s">
        <v>22</v>
      </c>
      <c r="DJ116" t="s">
        <v>22</v>
      </c>
      <c r="DK116" t="s">
        <v>3</v>
      </c>
      <c r="DL116" t="s">
        <v>3</v>
      </c>
      <c r="DM116" t="s">
        <v>3</v>
      </c>
      <c r="DN116">
        <v>112</v>
      </c>
      <c r="DO116">
        <v>70</v>
      </c>
      <c r="DP116">
        <v>1.0469999999999999</v>
      </c>
      <c r="DQ116">
        <v>1</v>
      </c>
      <c r="DU116">
        <v>1013</v>
      </c>
      <c r="DV116" t="s">
        <v>187</v>
      </c>
      <c r="DW116" t="s">
        <v>187</v>
      </c>
      <c r="DX116">
        <v>1</v>
      </c>
      <c r="DZ116" t="s">
        <v>3</v>
      </c>
      <c r="EA116" t="s">
        <v>3</v>
      </c>
      <c r="EB116" t="s">
        <v>3</v>
      </c>
      <c r="EC116" t="s">
        <v>3</v>
      </c>
      <c r="EE116">
        <v>51697765</v>
      </c>
      <c r="EF116">
        <v>40</v>
      </c>
      <c r="EG116" t="s">
        <v>166</v>
      </c>
      <c r="EH116">
        <v>0</v>
      </c>
      <c r="EI116" t="s">
        <v>3</v>
      </c>
      <c r="EJ116">
        <v>2</v>
      </c>
      <c r="EK116">
        <v>1726</v>
      </c>
      <c r="EL116" t="s">
        <v>206</v>
      </c>
      <c r="EM116" t="s">
        <v>207</v>
      </c>
      <c r="EO116" t="s">
        <v>26</v>
      </c>
      <c r="EQ116">
        <v>131072</v>
      </c>
      <c r="ER116">
        <v>313.02999999999997</v>
      </c>
      <c r="ES116">
        <v>43.84</v>
      </c>
      <c r="ET116">
        <v>59.31</v>
      </c>
      <c r="EU116">
        <v>5.15</v>
      </c>
      <c r="EV116">
        <v>209.88</v>
      </c>
      <c r="EW116">
        <v>15.91</v>
      </c>
      <c r="EX116">
        <v>0</v>
      </c>
      <c r="EY116">
        <v>0</v>
      </c>
      <c r="FQ116">
        <v>0</v>
      </c>
      <c r="FR116">
        <v>0</v>
      </c>
      <c r="FS116">
        <v>0</v>
      </c>
      <c r="FX116">
        <v>112</v>
      </c>
      <c r="FY116">
        <v>70</v>
      </c>
      <c r="GA116" t="s">
        <v>3</v>
      </c>
      <c r="GD116">
        <v>0</v>
      </c>
      <c r="GF116">
        <v>1162884858</v>
      </c>
      <c r="GG116">
        <v>2</v>
      </c>
      <c r="GH116">
        <v>1</v>
      </c>
      <c r="GI116">
        <v>2</v>
      </c>
      <c r="GJ116">
        <v>0</v>
      </c>
      <c r="GK116">
        <f>ROUND(R116*(S12)/100,2)</f>
        <v>0</v>
      </c>
      <c r="GL116">
        <f t="shared" si="102"/>
        <v>0</v>
      </c>
      <c r="GM116">
        <f t="shared" si="103"/>
        <v>0</v>
      </c>
      <c r="GN116">
        <f t="shared" si="104"/>
        <v>0</v>
      </c>
      <c r="GO116">
        <f t="shared" si="105"/>
        <v>0</v>
      </c>
      <c r="GP116">
        <f t="shared" si="106"/>
        <v>0</v>
      </c>
      <c r="GR116">
        <v>0</v>
      </c>
      <c r="GS116">
        <v>3</v>
      </c>
      <c r="GT116">
        <v>0</v>
      </c>
      <c r="GU116" t="s">
        <v>3</v>
      </c>
      <c r="GV116">
        <f t="shared" si="107"/>
        <v>0</v>
      </c>
      <c r="GW116">
        <v>1</v>
      </c>
      <c r="GX116">
        <f t="shared" si="108"/>
        <v>0</v>
      </c>
      <c r="HA116">
        <v>0</v>
      </c>
      <c r="HB116">
        <v>0</v>
      </c>
      <c r="HC116">
        <f t="shared" si="109"/>
        <v>0</v>
      </c>
      <c r="HE116" t="s">
        <v>3</v>
      </c>
      <c r="HF116" t="s">
        <v>3</v>
      </c>
      <c r="HM116" t="s">
        <v>3</v>
      </c>
      <c r="HN116" t="s">
        <v>3</v>
      </c>
      <c r="HO116" t="s">
        <v>3</v>
      </c>
      <c r="HP116" t="s">
        <v>3</v>
      </c>
      <c r="HQ116" t="s">
        <v>3</v>
      </c>
      <c r="HS116">
        <v>0</v>
      </c>
      <c r="IK116">
        <v>0</v>
      </c>
    </row>
    <row r="117" spans="1:255" x14ac:dyDescent="0.2">
      <c r="A117" s="2">
        <v>18</v>
      </c>
      <c r="B117" s="2">
        <v>1</v>
      </c>
      <c r="C117" s="2">
        <v>149</v>
      </c>
      <c r="D117" s="2"/>
      <c r="E117" s="2" t="s">
        <v>208</v>
      </c>
      <c r="F117" s="2" t="s">
        <v>209</v>
      </c>
      <c r="G117" s="2" t="s">
        <v>210</v>
      </c>
      <c r="H117" s="2" t="s">
        <v>194</v>
      </c>
      <c r="I117" s="2">
        <f>I115*J117</f>
        <v>0</v>
      </c>
      <c r="J117" s="2">
        <v>1</v>
      </c>
      <c r="K117" s="2">
        <v>1</v>
      </c>
      <c r="L117" s="2"/>
      <c r="M117" s="2"/>
      <c r="N117" s="2"/>
      <c r="O117" s="2">
        <f t="shared" si="81"/>
        <v>0</v>
      </c>
      <c r="P117" s="2">
        <f t="shared" si="82"/>
        <v>0</v>
      </c>
      <c r="Q117" s="2">
        <f>(ROUND((ROUND(((ET117)*AV117*I117),2)*BB117),2)+ROUND((ROUND(((AE117-(EU117))*AV117*I117),2)*BS117),2))</f>
        <v>0</v>
      </c>
      <c r="R117" s="2">
        <f t="shared" si="83"/>
        <v>0</v>
      </c>
      <c r="S117" s="2">
        <f t="shared" si="84"/>
        <v>0</v>
      </c>
      <c r="T117" s="2">
        <f t="shared" si="85"/>
        <v>0</v>
      </c>
      <c r="U117" s="2">
        <f t="shared" si="86"/>
        <v>0</v>
      </c>
      <c r="V117" s="2">
        <f t="shared" si="87"/>
        <v>0</v>
      </c>
      <c r="W117" s="2">
        <f t="shared" si="88"/>
        <v>0</v>
      </c>
      <c r="X117" s="2">
        <f t="shared" si="89"/>
        <v>0</v>
      </c>
      <c r="Y117" s="2">
        <f t="shared" si="90"/>
        <v>0</v>
      </c>
      <c r="Z117" s="2"/>
      <c r="AA117" s="2">
        <v>56622523</v>
      </c>
      <c r="AB117" s="2">
        <f t="shared" si="91"/>
        <v>2965.53</v>
      </c>
      <c r="AC117" s="2">
        <f t="shared" si="110"/>
        <v>2965.53</v>
      </c>
      <c r="AD117" s="2">
        <f>ROUND((((ET117)-(EU117))+AE117),6)</f>
        <v>0</v>
      </c>
      <c r="AE117" s="2">
        <f>ROUND((EU117),6)</f>
        <v>0</v>
      </c>
      <c r="AF117" s="2">
        <f>ROUND((EV117),6)</f>
        <v>0</v>
      </c>
      <c r="AG117" s="2">
        <f t="shared" si="92"/>
        <v>0</v>
      </c>
      <c r="AH117" s="2">
        <f>(EW117)</f>
        <v>0</v>
      </c>
      <c r="AI117" s="2">
        <f>(EX117)</f>
        <v>0</v>
      </c>
      <c r="AJ117" s="2">
        <f t="shared" si="93"/>
        <v>0</v>
      </c>
      <c r="AK117" s="2">
        <v>2965.53</v>
      </c>
      <c r="AL117" s="2">
        <v>2965.53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112</v>
      </c>
      <c r="AU117" s="2">
        <v>70</v>
      </c>
      <c r="AV117" s="2">
        <v>1.0469999999999999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2</v>
      </c>
      <c r="BJ117" s="2" t="s">
        <v>211</v>
      </c>
      <c r="BK117" s="2"/>
      <c r="BL117" s="2"/>
      <c r="BM117" s="2">
        <v>1726</v>
      </c>
      <c r="BN117" s="2">
        <v>0</v>
      </c>
      <c r="BO117" s="2" t="s">
        <v>3</v>
      </c>
      <c r="BP117" s="2">
        <v>0</v>
      </c>
      <c r="BQ117" s="2">
        <v>40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112</v>
      </c>
      <c r="CA117" s="2">
        <v>70</v>
      </c>
      <c r="CB117" s="2" t="s">
        <v>3</v>
      </c>
      <c r="CC117" s="2"/>
      <c r="CD117" s="2"/>
      <c r="CE117" s="2">
        <v>30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94"/>
        <v>0</v>
      </c>
      <c r="CQ117" s="2">
        <f t="shared" si="95"/>
        <v>2965.53</v>
      </c>
      <c r="CR117" s="2">
        <f>(ROUND((ROUND(((ET117)*AV117*1),2)*BB117),2)+ROUND((ROUND(((AE117-(EU117))*AV117*1),2)*BS117),2))</f>
        <v>0</v>
      </c>
      <c r="CS117" s="2">
        <f t="shared" si="96"/>
        <v>0</v>
      </c>
      <c r="CT117" s="2">
        <f t="shared" si="97"/>
        <v>0</v>
      </c>
      <c r="CU117" s="2">
        <f t="shared" si="98"/>
        <v>0</v>
      </c>
      <c r="CV117" s="2">
        <f t="shared" si="99"/>
        <v>0</v>
      </c>
      <c r="CW117" s="2">
        <f t="shared" si="100"/>
        <v>0</v>
      </c>
      <c r="CX117" s="2">
        <f t="shared" si="101"/>
        <v>0</v>
      </c>
      <c r="CY117" s="2">
        <f>((S117*BZ117)/100)</f>
        <v>0</v>
      </c>
      <c r="CZ117" s="2">
        <f>((S117*CA117)/100)</f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194</v>
      </c>
      <c r="DW117" s="2" t="s">
        <v>194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51697765</v>
      </c>
      <c r="EF117" s="2">
        <v>40</v>
      </c>
      <c r="EG117" s="2" t="s">
        <v>166</v>
      </c>
      <c r="EH117" s="2">
        <v>0</v>
      </c>
      <c r="EI117" s="2" t="s">
        <v>3</v>
      </c>
      <c r="EJ117" s="2">
        <v>2</v>
      </c>
      <c r="EK117" s="2">
        <v>1726</v>
      </c>
      <c r="EL117" s="2" t="s">
        <v>206</v>
      </c>
      <c r="EM117" s="2" t="s">
        <v>207</v>
      </c>
      <c r="EN117" s="2"/>
      <c r="EO117" s="2" t="s">
        <v>3</v>
      </c>
      <c r="EP117" s="2"/>
      <c r="EQ117" s="2">
        <v>0</v>
      </c>
      <c r="ER117" s="2">
        <v>2965.53</v>
      </c>
      <c r="ES117" s="2">
        <v>2965.53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112</v>
      </c>
      <c r="FY117" s="2">
        <v>70</v>
      </c>
      <c r="FZ117" s="2"/>
      <c r="GA117" s="2" t="s">
        <v>3</v>
      </c>
      <c r="GB117" s="2"/>
      <c r="GC117" s="2"/>
      <c r="GD117" s="2">
        <v>0</v>
      </c>
      <c r="GE117" s="2"/>
      <c r="GF117" s="2">
        <v>-1887196261</v>
      </c>
      <c r="GG117" s="2">
        <v>2</v>
      </c>
      <c r="GH117" s="2">
        <v>1</v>
      </c>
      <c r="GI117" s="2">
        <v>-2</v>
      </c>
      <c r="GJ117" s="2">
        <v>0</v>
      </c>
      <c r="GK117" s="2">
        <f>ROUND(R117*(R12)/100,2)</f>
        <v>0</v>
      </c>
      <c r="GL117" s="2">
        <f t="shared" si="102"/>
        <v>0</v>
      </c>
      <c r="GM117" s="2">
        <f t="shared" si="103"/>
        <v>0</v>
      </c>
      <c r="GN117" s="2">
        <f t="shared" si="104"/>
        <v>0</v>
      </c>
      <c r="GO117" s="2">
        <f t="shared" si="105"/>
        <v>0</v>
      </c>
      <c r="GP117" s="2">
        <f t="shared" si="106"/>
        <v>0</v>
      </c>
      <c r="GQ117" s="2"/>
      <c r="GR117" s="2">
        <v>0</v>
      </c>
      <c r="GS117" s="2">
        <v>0</v>
      </c>
      <c r="GT117" s="2">
        <v>0</v>
      </c>
      <c r="GU117" s="2" t="s">
        <v>3</v>
      </c>
      <c r="GV117" s="2">
        <f t="shared" si="107"/>
        <v>0</v>
      </c>
      <c r="GW117" s="2">
        <v>1</v>
      </c>
      <c r="GX117" s="2">
        <f t="shared" si="108"/>
        <v>0</v>
      </c>
      <c r="GY117" s="2"/>
      <c r="GZ117" s="2"/>
      <c r="HA117" s="2">
        <v>0</v>
      </c>
      <c r="HB117" s="2">
        <v>0</v>
      </c>
      <c r="HC117" s="2">
        <f t="shared" si="109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>
        <v>18</v>
      </c>
      <c r="B118">
        <v>1</v>
      </c>
      <c r="C118">
        <v>160</v>
      </c>
      <c r="E118" t="s">
        <v>208</v>
      </c>
      <c r="F118" t="s">
        <v>209</v>
      </c>
      <c r="G118" t="s">
        <v>210</v>
      </c>
      <c r="H118" t="s">
        <v>194</v>
      </c>
      <c r="I118">
        <f>I116*J118</f>
        <v>0</v>
      </c>
      <c r="J118">
        <v>1</v>
      </c>
      <c r="K118">
        <v>1</v>
      </c>
      <c r="O118">
        <f t="shared" si="81"/>
        <v>0</v>
      </c>
      <c r="P118">
        <f t="shared" si="82"/>
        <v>0</v>
      </c>
      <c r="Q118">
        <f>(ROUND((ROUND(((ET118)*AV118*I118),2)*BB118),2)+ROUND((ROUND(((AE118-(EU118))*AV118*I118),2)*BS118),2))</f>
        <v>0</v>
      </c>
      <c r="R118">
        <f t="shared" si="83"/>
        <v>0</v>
      </c>
      <c r="S118">
        <f t="shared" si="84"/>
        <v>0</v>
      </c>
      <c r="T118">
        <f t="shared" si="85"/>
        <v>0</v>
      </c>
      <c r="U118">
        <f t="shared" si="86"/>
        <v>0</v>
      </c>
      <c r="V118">
        <f t="shared" si="87"/>
        <v>0</v>
      </c>
      <c r="W118">
        <f t="shared" si="88"/>
        <v>0</v>
      </c>
      <c r="X118">
        <f t="shared" si="89"/>
        <v>0</v>
      </c>
      <c r="Y118">
        <f t="shared" si="90"/>
        <v>0</v>
      </c>
      <c r="AA118">
        <v>56611490</v>
      </c>
      <c r="AB118">
        <f t="shared" si="91"/>
        <v>2965.53</v>
      </c>
      <c r="AC118">
        <f t="shared" si="110"/>
        <v>2965.53</v>
      </c>
      <c r="AD118">
        <f>ROUND((((ET118)-(EU118))+AE118),6)</f>
        <v>0</v>
      </c>
      <c r="AE118">
        <f>ROUND((EU118),6)</f>
        <v>0</v>
      </c>
      <c r="AF118">
        <f>ROUND((EV118),6)</f>
        <v>0</v>
      </c>
      <c r="AG118">
        <f t="shared" si="92"/>
        <v>0</v>
      </c>
      <c r="AH118">
        <f>(EW118)</f>
        <v>0</v>
      </c>
      <c r="AI118">
        <f>(EX118)</f>
        <v>0</v>
      </c>
      <c r="AJ118">
        <f t="shared" si="93"/>
        <v>0</v>
      </c>
      <c r="AK118">
        <v>2965.53</v>
      </c>
      <c r="AL118">
        <v>2965.53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1</v>
      </c>
      <c r="AZ118">
        <v>1</v>
      </c>
      <c r="BA118">
        <v>1</v>
      </c>
      <c r="BB118">
        <v>1</v>
      </c>
      <c r="BC118">
        <v>6.03</v>
      </c>
      <c r="BD118" t="s">
        <v>3</v>
      </c>
      <c r="BE118" t="s">
        <v>3</v>
      </c>
      <c r="BF118" t="s">
        <v>3</v>
      </c>
      <c r="BG118" t="s">
        <v>3</v>
      </c>
      <c r="BH118">
        <v>3</v>
      </c>
      <c r="BI118">
        <v>2</v>
      </c>
      <c r="BJ118" t="s">
        <v>211</v>
      </c>
      <c r="BM118">
        <v>1726</v>
      </c>
      <c r="BN118">
        <v>0</v>
      </c>
      <c r="BO118" t="s">
        <v>209</v>
      </c>
      <c r="BP118">
        <v>1</v>
      </c>
      <c r="BQ118">
        <v>40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</v>
      </c>
      <c r="BZ118">
        <v>0</v>
      </c>
      <c r="CA118">
        <v>0</v>
      </c>
      <c r="CB118" t="s">
        <v>3</v>
      </c>
      <c r="CE118">
        <v>30</v>
      </c>
      <c r="CF118">
        <v>0</v>
      </c>
      <c r="CG118">
        <v>0</v>
      </c>
      <c r="CM118">
        <v>0</v>
      </c>
      <c r="CN118" t="s">
        <v>3</v>
      </c>
      <c r="CO118">
        <v>0</v>
      </c>
      <c r="CP118">
        <f t="shared" si="94"/>
        <v>0</v>
      </c>
      <c r="CQ118">
        <f t="shared" si="95"/>
        <v>17882.150000000001</v>
      </c>
      <c r="CR118">
        <f>(ROUND((ROUND(((ET118)*AV118*1),2)*BB118),2)+ROUND((ROUND(((AE118-(EU118))*AV118*1),2)*BS118),2))</f>
        <v>0</v>
      </c>
      <c r="CS118">
        <f t="shared" si="96"/>
        <v>0</v>
      </c>
      <c r="CT118">
        <f t="shared" si="97"/>
        <v>0</v>
      </c>
      <c r="CU118">
        <f t="shared" si="98"/>
        <v>0</v>
      </c>
      <c r="CV118">
        <f t="shared" si="99"/>
        <v>0</v>
      </c>
      <c r="CW118">
        <f t="shared" si="100"/>
        <v>0</v>
      </c>
      <c r="CX118">
        <f t="shared" si="101"/>
        <v>0</v>
      </c>
      <c r="CY118">
        <f>S118*(BZ118/100)</f>
        <v>0</v>
      </c>
      <c r="CZ118">
        <f>S118*(CA118/100)</f>
        <v>0</v>
      </c>
      <c r="DC118" t="s">
        <v>3</v>
      </c>
      <c r="DD118" t="s">
        <v>3</v>
      </c>
      <c r="DE118" t="s">
        <v>3</v>
      </c>
      <c r="DF118" t="s">
        <v>3</v>
      </c>
      <c r="DG118" t="s">
        <v>3</v>
      </c>
      <c r="DH118" t="s">
        <v>3</v>
      </c>
      <c r="DI118" t="s">
        <v>3</v>
      </c>
      <c r="DJ118" t="s">
        <v>3</v>
      </c>
      <c r="DK118" t="s">
        <v>3</v>
      </c>
      <c r="DL118" t="s">
        <v>3</v>
      </c>
      <c r="DM118" t="s">
        <v>3</v>
      </c>
      <c r="DN118">
        <v>112</v>
      </c>
      <c r="DO118">
        <v>70</v>
      </c>
      <c r="DP118">
        <v>1.0469999999999999</v>
      </c>
      <c r="DQ118">
        <v>1</v>
      </c>
      <c r="DU118">
        <v>1013</v>
      </c>
      <c r="DV118" t="s">
        <v>194</v>
      </c>
      <c r="DW118" t="s">
        <v>194</v>
      </c>
      <c r="DX118">
        <v>1</v>
      </c>
      <c r="DZ118" t="s">
        <v>3</v>
      </c>
      <c r="EA118" t="s">
        <v>3</v>
      </c>
      <c r="EB118" t="s">
        <v>3</v>
      </c>
      <c r="EC118" t="s">
        <v>3</v>
      </c>
      <c r="EE118">
        <v>51697765</v>
      </c>
      <c r="EF118">
        <v>40</v>
      </c>
      <c r="EG118" t="s">
        <v>166</v>
      </c>
      <c r="EH118">
        <v>0</v>
      </c>
      <c r="EI118" t="s">
        <v>3</v>
      </c>
      <c r="EJ118">
        <v>2</v>
      </c>
      <c r="EK118">
        <v>1726</v>
      </c>
      <c r="EL118" t="s">
        <v>206</v>
      </c>
      <c r="EM118" t="s">
        <v>207</v>
      </c>
      <c r="EO118" t="s">
        <v>3</v>
      </c>
      <c r="EQ118">
        <v>0</v>
      </c>
      <c r="ER118">
        <v>2965.53</v>
      </c>
      <c r="ES118">
        <v>2965.53</v>
      </c>
      <c r="ET118">
        <v>0</v>
      </c>
      <c r="EU118">
        <v>0</v>
      </c>
      <c r="EV118">
        <v>0</v>
      </c>
      <c r="EW118">
        <v>0</v>
      </c>
      <c r="EX118">
        <v>0</v>
      </c>
      <c r="FQ118">
        <v>0</v>
      </c>
      <c r="FR118">
        <v>0</v>
      </c>
      <c r="FS118">
        <v>0</v>
      </c>
      <c r="FX118">
        <v>112</v>
      </c>
      <c r="FY118">
        <v>70</v>
      </c>
      <c r="GA118" t="s">
        <v>3</v>
      </c>
      <c r="GD118">
        <v>0</v>
      </c>
      <c r="GF118">
        <v>-1887196261</v>
      </c>
      <c r="GG118">
        <v>2</v>
      </c>
      <c r="GH118">
        <v>1</v>
      </c>
      <c r="GI118">
        <v>2</v>
      </c>
      <c r="GJ118">
        <v>0</v>
      </c>
      <c r="GK118">
        <f>ROUND(R118*(S12)/100,2)</f>
        <v>0</v>
      </c>
      <c r="GL118">
        <f t="shared" si="102"/>
        <v>0</v>
      </c>
      <c r="GM118">
        <f t="shared" si="103"/>
        <v>0</v>
      </c>
      <c r="GN118">
        <f t="shared" si="104"/>
        <v>0</v>
      </c>
      <c r="GO118">
        <f t="shared" si="105"/>
        <v>0</v>
      </c>
      <c r="GP118">
        <f t="shared" si="106"/>
        <v>0</v>
      </c>
      <c r="GR118">
        <v>0</v>
      </c>
      <c r="GS118">
        <v>3</v>
      </c>
      <c r="GT118">
        <v>0</v>
      </c>
      <c r="GU118" t="s">
        <v>3</v>
      </c>
      <c r="GV118">
        <f t="shared" si="107"/>
        <v>0</v>
      </c>
      <c r="GW118">
        <v>1</v>
      </c>
      <c r="GX118">
        <f t="shared" si="108"/>
        <v>0</v>
      </c>
      <c r="HA118">
        <v>0</v>
      </c>
      <c r="HB118">
        <v>0</v>
      </c>
      <c r="HC118">
        <f t="shared" si="109"/>
        <v>0</v>
      </c>
      <c r="HE118" t="s">
        <v>3</v>
      </c>
      <c r="HF118" t="s">
        <v>3</v>
      </c>
      <c r="HM118" t="s">
        <v>3</v>
      </c>
      <c r="HN118" t="s">
        <v>3</v>
      </c>
      <c r="HO118" t="s">
        <v>3</v>
      </c>
      <c r="HP118" t="s">
        <v>3</v>
      </c>
      <c r="HQ118" t="s">
        <v>3</v>
      </c>
      <c r="HS118">
        <v>0</v>
      </c>
      <c r="IK118">
        <v>0</v>
      </c>
    </row>
    <row r="119" spans="1:255" x14ac:dyDescent="0.2">
      <c r="A119" s="2">
        <v>17</v>
      </c>
      <c r="B119" s="2">
        <v>1</v>
      </c>
      <c r="C119" s="2"/>
      <c r="D119" s="2">
        <f>ROW(EtalonRes!A215)</f>
        <v>215</v>
      </c>
      <c r="E119" s="2" t="s">
        <v>212</v>
      </c>
      <c r="F119" s="2" t="s">
        <v>213</v>
      </c>
      <c r="G119" s="2" t="s">
        <v>214</v>
      </c>
      <c r="H119" s="2" t="s">
        <v>215</v>
      </c>
      <c r="I119" s="2">
        <v>0</v>
      </c>
      <c r="J119" s="2">
        <v>0</v>
      </c>
      <c r="K119" s="2">
        <v>0</v>
      </c>
      <c r="L119" s="2"/>
      <c r="M119" s="2"/>
      <c r="N119" s="2"/>
      <c r="O119" s="2">
        <f t="shared" si="81"/>
        <v>0</v>
      </c>
      <c r="P119" s="2">
        <f t="shared" si="82"/>
        <v>0</v>
      </c>
      <c r="Q119" s="2">
        <f>(ROUND((ROUND(((((ET119*1.1)*1.2))*AV119*I119),2)*BB119),2)+ROUND((ROUND(((AE119-(((EU119*1.1)*1.2)))*AV119*I119),2)*BS119),2))</f>
        <v>0</v>
      </c>
      <c r="R119" s="2">
        <f t="shared" si="83"/>
        <v>0</v>
      </c>
      <c r="S119" s="2">
        <f t="shared" si="84"/>
        <v>0</v>
      </c>
      <c r="T119" s="2">
        <f t="shared" si="85"/>
        <v>0</v>
      </c>
      <c r="U119" s="2">
        <f t="shared" si="86"/>
        <v>0</v>
      </c>
      <c r="V119" s="2">
        <f t="shared" si="87"/>
        <v>0</v>
      </c>
      <c r="W119" s="2">
        <f t="shared" si="88"/>
        <v>0</v>
      </c>
      <c r="X119" s="2">
        <f t="shared" si="89"/>
        <v>0</v>
      </c>
      <c r="Y119" s="2">
        <f t="shared" si="90"/>
        <v>0</v>
      </c>
      <c r="Z119" s="2"/>
      <c r="AA119" s="2">
        <v>56622523</v>
      </c>
      <c r="AB119" s="2">
        <f t="shared" si="91"/>
        <v>3034.1088</v>
      </c>
      <c r="AC119" s="2">
        <f>ROUND(((ES119*1)),6)</f>
        <v>934.2</v>
      </c>
      <c r="AD119" s="2">
        <f>ROUND((((((ET119*1.1)*1.2))-(((EU119*1.1)*1.2)))+AE119),6)</f>
        <v>17.556000000000001</v>
      </c>
      <c r="AE119" s="2">
        <f>ROUND((((EU119*1.1)*1.2)),6)</f>
        <v>2.6663999999999999</v>
      </c>
      <c r="AF119" s="2">
        <f>ROUND((((EV119*1.1)*1.2)),6)</f>
        <v>2082.3528000000001</v>
      </c>
      <c r="AG119" s="2">
        <f t="shared" si="92"/>
        <v>0</v>
      </c>
      <c r="AH119" s="2">
        <f>(((EW119*1.1)*1.2))</f>
        <v>153.6876</v>
      </c>
      <c r="AI119" s="2">
        <f>(((EX119*1.1)*1.2))</f>
        <v>0</v>
      </c>
      <c r="AJ119" s="2">
        <f t="shared" si="93"/>
        <v>0</v>
      </c>
      <c r="AK119" s="2">
        <v>2525.04</v>
      </c>
      <c r="AL119" s="2">
        <v>934.2</v>
      </c>
      <c r="AM119" s="2">
        <v>13.3</v>
      </c>
      <c r="AN119" s="2">
        <v>2.02</v>
      </c>
      <c r="AO119" s="2">
        <v>1577.54</v>
      </c>
      <c r="AP119" s="2">
        <v>0</v>
      </c>
      <c r="AQ119" s="2">
        <v>116.43</v>
      </c>
      <c r="AR119" s="2">
        <v>0</v>
      </c>
      <c r="AS119" s="2">
        <v>0</v>
      </c>
      <c r="AT119" s="2">
        <v>112</v>
      </c>
      <c r="AU119" s="2">
        <v>70</v>
      </c>
      <c r="AV119" s="2">
        <v>1.0469999999999999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0</v>
      </c>
      <c r="BI119" s="2">
        <v>2</v>
      </c>
      <c r="BJ119" s="2" t="s">
        <v>216</v>
      </c>
      <c r="BK119" s="2"/>
      <c r="BL119" s="2"/>
      <c r="BM119" s="2">
        <v>1726</v>
      </c>
      <c r="BN119" s="2">
        <v>0</v>
      </c>
      <c r="BO119" s="2" t="s">
        <v>3</v>
      </c>
      <c r="BP119" s="2">
        <v>0</v>
      </c>
      <c r="BQ119" s="2">
        <v>40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112</v>
      </c>
      <c r="CA119" s="2">
        <v>70</v>
      </c>
      <c r="CB119" s="2" t="s">
        <v>3</v>
      </c>
      <c r="CC119" s="2"/>
      <c r="CD119" s="2"/>
      <c r="CE119" s="2">
        <v>30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692</v>
      </c>
      <c r="CO119" s="2">
        <v>0</v>
      </c>
      <c r="CP119" s="2">
        <f t="shared" si="94"/>
        <v>0</v>
      </c>
      <c r="CQ119" s="2">
        <f t="shared" si="95"/>
        <v>934.2</v>
      </c>
      <c r="CR119" s="2">
        <f>(ROUND((ROUND(((((ET119*1.1)*1.2))*AV119*1),2)*BB119),2)+ROUND((ROUND(((AE119-(((EU119*1.1)*1.2)))*AV119*1),2)*BS119),2))</f>
        <v>18.38</v>
      </c>
      <c r="CS119" s="2">
        <f t="shared" si="96"/>
        <v>2.79</v>
      </c>
      <c r="CT119" s="2">
        <f t="shared" si="97"/>
        <v>2180.2199999999998</v>
      </c>
      <c r="CU119" s="2">
        <f t="shared" si="98"/>
        <v>0</v>
      </c>
      <c r="CV119" s="2">
        <f t="shared" si="99"/>
        <v>160.9109172</v>
      </c>
      <c r="CW119" s="2">
        <f t="shared" si="100"/>
        <v>0</v>
      </c>
      <c r="CX119" s="2">
        <f t="shared" si="101"/>
        <v>0</v>
      </c>
      <c r="CY119" s="2">
        <f>((S119*BZ119)/100)</f>
        <v>0</v>
      </c>
      <c r="CZ119" s="2">
        <f>((S119*CA119)/100)</f>
        <v>0</v>
      </c>
      <c r="DA119" s="2"/>
      <c r="DB119" s="2"/>
      <c r="DC119" s="2" t="s">
        <v>3</v>
      </c>
      <c r="DD119" s="2" t="s">
        <v>42</v>
      </c>
      <c r="DE119" s="2" t="s">
        <v>70</v>
      </c>
      <c r="DF119" s="2" t="s">
        <v>70</v>
      </c>
      <c r="DG119" s="2" t="s">
        <v>70</v>
      </c>
      <c r="DH119" s="2" t="s">
        <v>3</v>
      </c>
      <c r="DI119" s="2" t="s">
        <v>70</v>
      </c>
      <c r="DJ119" s="2" t="s">
        <v>70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215</v>
      </c>
      <c r="DW119" s="2" t="s">
        <v>215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51697765</v>
      </c>
      <c r="EF119" s="2">
        <v>40</v>
      </c>
      <c r="EG119" s="2" t="s">
        <v>166</v>
      </c>
      <c r="EH119" s="2">
        <v>0</v>
      </c>
      <c r="EI119" s="2" t="s">
        <v>3</v>
      </c>
      <c r="EJ119" s="2">
        <v>2</v>
      </c>
      <c r="EK119" s="2">
        <v>1726</v>
      </c>
      <c r="EL119" s="2" t="s">
        <v>206</v>
      </c>
      <c r="EM119" s="2" t="s">
        <v>207</v>
      </c>
      <c r="EN119" s="2"/>
      <c r="EO119" s="2" t="s">
        <v>169</v>
      </c>
      <c r="EP119" s="2"/>
      <c r="EQ119" s="2">
        <v>131072</v>
      </c>
      <c r="ER119" s="2">
        <v>2525.04</v>
      </c>
      <c r="ES119" s="2">
        <v>934.2</v>
      </c>
      <c r="ET119" s="2">
        <v>13.3</v>
      </c>
      <c r="EU119" s="2">
        <v>2.02</v>
      </c>
      <c r="EV119" s="2">
        <v>1577.54</v>
      </c>
      <c r="EW119" s="2">
        <v>116.43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112</v>
      </c>
      <c r="FY119" s="2">
        <v>70</v>
      </c>
      <c r="FZ119" s="2"/>
      <c r="GA119" s="2" t="s">
        <v>3</v>
      </c>
      <c r="GB119" s="2"/>
      <c r="GC119" s="2"/>
      <c r="GD119" s="2">
        <v>0</v>
      </c>
      <c r="GE119" s="2"/>
      <c r="GF119" s="2">
        <v>1551277997</v>
      </c>
      <c r="GG119" s="2">
        <v>2</v>
      </c>
      <c r="GH119" s="2">
        <v>1</v>
      </c>
      <c r="GI119" s="2">
        <v>-2</v>
      </c>
      <c r="GJ119" s="2">
        <v>0</v>
      </c>
      <c r="GK119" s="2">
        <f>ROUND(R119*(R12)/100,2)</f>
        <v>0</v>
      </c>
      <c r="GL119" s="2">
        <f t="shared" si="102"/>
        <v>0</v>
      </c>
      <c r="GM119" s="2">
        <f t="shared" si="103"/>
        <v>0</v>
      </c>
      <c r="GN119" s="2">
        <f t="shared" si="104"/>
        <v>0</v>
      </c>
      <c r="GO119" s="2">
        <f t="shared" si="105"/>
        <v>0</v>
      </c>
      <c r="GP119" s="2">
        <f t="shared" si="106"/>
        <v>0</v>
      </c>
      <c r="GQ119" s="2"/>
      <c r="GR119" s="2">
        <v>0</v>
      </c>
      <c r="GS119" s="2">
        <v>0</v>
      </c>
      <c r="GT119" s="2">
        <v>0</v>
      </c>
      <c r="GU119" s="2" t="s">
        <v>3</v>
      </c>
      <c r="GV119" s="2">
        <f t="shared" si="107"/>
        <v>0</v>
      </c>
      <c r="GW119" s="2">
        <v>1</v>
      </c>
      <c r="GX119" s="2">
        <f t="shared" si="108"/>
        <v>0</v>
      </c>
      <c r="GY119" s="2"/>
      <c r="GZ119" s="2"/>
      <c r="HA119" s="2">
        <v>0</v>
      </c>
      <c r="HB119" s="2">
        <v>0</v>
      </c>
      <c r="HC119" s="2">
        <f t="shared" si="109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>
        <v>17</v>
      </c>
      <c r="B120">
        <v>1</v>
      </c>
      <c r="D120">
        <f>ROW(EtalonRes!A222)</f>
        <v>222</v>
      </c>
      <c r="E120" t="s">
        <v>212</v>
      </c>
      <c r="F120" t="s">
        <v>213</v>
      </c>
      <c r="G120" t="s">
        <v>214</v>
      </c>
      <c r="H120" t="s">
        <v>215</v>
      </c>
      <c r="I120">
        <v>0</v>
      </c>
      <c r="J120">
        <v>0</v>
      </c>
      <c r="K120">
        <v>0</v>
      </c>
      <c r="O120">
        <f t="shared" si="81"/>
        <v>0</v>
      </c>
      <c r="P120">
        <f t="shared" si="82"/>
        <v>0</v>
      </c>
      <c r="Q120">
        <f>(ROUND((ROUND(((((ET120*1.1)*1.2))*AV120*I120),2)*BB120),2)+ROUND((ROUND(((AE120-(((EU120*1.1)*1.2)))*AV120*I120),2)*BS120),2))</f>
        <v>0</v>
      </c>
      <c r="R120">
        <f t="shared" si="83"/>
        <v>0</v>
      </c>
      <c r="S120">
        <f t="shared" si="84"/>
        <v>0</v>
      </c>
      <c r="T120">
        <f t="shared" si="85"/>
        <v>0</v>
      </c>
      <c r="U120">
        <f t="shared" si="86"/>
        <v>0</v>
      </c>
      <c r="V120">
        <f t="shared" si="87"/>
        <v>0</v>
      </c>
      <c r="W120">
        <f t="shared" si="88"/>
        <v>0</v>
      </c>
      <c r="X120">
        <f t="shared" si="89"/>
        <v>0</v>
      </c>
      <c r="Y120">
        <f t="shared" si="90"/>
        <v>0</v>
      </c>
      <c r="AA120">
        <v>56611490</v>
      </c>
      <c r="AB120">
        <f t="shared" si="91"/>
        <v>3034.1088</v>
      </c>
      <c r="AC120">
        <f>ROUND(((ES120*1)),6)</f>
        <v>934.2</v>
      </c>
      <c r="AD120">
        <f>ROUND((((((ET120*1.1)*1.2))-(((EU120*1.1)*1.2)))+AE120),6)</f>
        <v>17.556000000000001</v>
      </c>
      <c r="AE120">
        <f>ROUND((((EU120*1.1)*1.2)),6)</f>
        <v>2.6663999999999999</v>
      </c>
      <c r="AF120">
        <f>ROUND((((EV120*1.1)*1.2)),6)</f>
        <v>2082.3528000000001</v>
      </c>
      <c r="AG120">
        <f t="shared" si="92"/>
        <v>0</v>
      </c>
      <c r="AH120">
        <f>(((EW120*1.1)*1.2))</f>
        <v>153.6876</v>
      </c>
      <c r="AI120">
        <f>(((EX120*1.1)*1.2))</f>
        <v>0</v>
      </c>
      <c r="AJ120">
        <f t="shared" si="93"/>
        <v>0</v>
      </c>
      <c r="AK120">
        <v>2525.04</v>
      </c>
      <c r="AL120">
        <v>934.2</v>
      </c>
      <c r="AM120">
        <v>13.3</v>
      </c>
      <c r="AN120">
        <v>2.02</v>
      </c>
      <c r="AO120">
        <v>1577.54</v>
      </c>
      <c r="AP120">
        <v>0</v>
      </c>
      <c r="AQ120">
        <v>116.43</v>
      </c>
      <c r="AR120">
        <v>0</v>
      </c>
      <c r="AS120">
        <v>0</v>
      </c>
      <c r="AT120">
        <v>92</v>
      </c>
      <c r="AU120">
        <v>43</v>
      </c>
      <c r="AV120">
        <v>1.0469999999999999</v>
      </c>
      <c r="AW120">
        <v>1</v>
      </c>
      <c r="AZ120">
        <v>1</v>
      </c>
      <c r="BA120">
        <v>34.51</v>
      </c>
      <c r="BB120">
        <v>12.86</v>
      </c>
      <c r="BC120">
        <v>5.0599999999999996</v>
      </c>
      <c r="BD120" t="s">
        <v>3</v>
      </c>
      <c r="BE120" t="s">
        <v>3</v>
      </c>
      <c r="BF120" t="s">
        <v>3</v>
      </c>
      <c r="BG120" t="s">
        <v>3</v>
      </c>
      <c r="BH120">
        <v>0</v>
      </c>
      <c r="BI120">
        <v>2</v>
      </c>
      <c r="BJ120" t="s">
        <v>216</v>
      </c>
      <c r="BM120">
        <v>1726</v>
      </c>
      <c r="BN120">
        <v>0</v>
      </c>
      <c r="BO120" t="s">
        <v>213</v>
      </c>
      <c r="BP120">
        <v>1</v>
      </c>
      <c r="BQ120">
        <v>40</v>
      </c>
      <c r="BR120">
        <v>0</v>
      </c>
      <c r="BS120">
        <v>34.51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</v>
      </c>
      <c r="BZ120">
        <v>92</v>
      </c>
      <c r="CA120">
        <v>43</v>
      </c>
      <c r="CB120" t="s">
        <v>3</v>
      </c>
      <c r="CE120">
        <v>30</v>
      </c>
      <c r="CF120">
        <v>0</v>
      </c>
      <c r="CG120">
        <v>0</v>
      </c>
      <c r="CM120">
        <v>0</v>
      </c>
      <c r="CN120" t="s">
        <v>692</v>
      </c>
      <c r="CO120">
        <v>0</v>
      </c>
      <c r="CP120">
        <f t="shared" si="94"/>
        <v>0</v>
      </c>
      <c r="CQ120">
        <f t="shared" si="95"/>
        <v>4727.05</v>
      </c>
      <c r="CR120">
        <f>(ROUND((ROUND(((((ET120*1.1)*1.2))*AV120*1),2)*BB120),2)+ROUND((ROUND(((AE120-(((EU120*1.1)*1.2)))*AV120*1),2)*BS120),2))</f>
        <v>236.37</v>
      </c>
      <c r="CS120">
        <f t="shared" si="96"/>
        <v>96.28</v>
      </c>
      <c r="CT120">
        <f t="shared" si="97"/>
        <v>75239.39</v>
      </c>
      <c r="CU120">
        <f t="shared" si="98"/>
        <v>0</v>
      </c>
      <c r="CV120">
        <f t="shared" si="99"/>
        <v>160.9109172</v>
      </c>
      <c r="CW120">
        <f t="shared" si="100"/>
        <v>0</v>
      </c>
      <c r="CX120">
        <f t="shared" si="101"/>
        <v>0</v>
      </c>
      <c r="CY120">
        <f>S120*(BZ120/100)</f>
        <v>0</v>
      </c>
      <c r="CZ120">
        <f>S120*(CA120/100)</f>
        <v>0</v>
      </c>
      <c r="DC120" t="s">
        <v>3</v>
      </c>
      <c r="DD120" t="s">
        <v>42</v>
      </c>
      <c r="DE120" t="s">
        <v>70</v>
      </c>
      <c r="DF120" t="s">
        <v>70</v>
      </c>
      <c r="DG120" t="s">
        <v>70</v>
      </c>
      <c r="DH120" t="s">
        <v>3</v>
      </c>
      <c r="DI120" t="s">
        <v>70</v>
      </c>
      <c r="DJ120" t="s">
        <v>70</v>
      </c>
      <c r="DK120" t="s">
        <v>3</v>
      </c>
      <c r="DL120" t="s">
        <v>3</v>
      </c>
      <c r="DM120" t="s">
        <v>3</v>
      </c>
      <c r="DN120">
        <v>112</v>
      </c>
      <c r="DO120">
        <v>70</v>
      </c>
      <c r="DP120">
        <v>1.0469999999999999</v>
      </c>
      <c r="DQ120">
        <v>1</v>
      </c>
      <c r="DU120">
        <v>1013</v>
      </c>
      <c r="DV120" t="s">
        <v>215</v>
      </c>
      <c r="DW120" t="s">
        <v>215</v>
      </c>
      <c r="DX120">
        <v>1</v>
      </c>
      <c r="DZ120" t="s">
        <v>3</v>
      </c>
      <c r="EA120" t="s">
        <v>3</v>
      </c>
      <c r="EB120" t="s">
        <v>3</v>
      </c>
      <c r="EC120" t="s">
        <v>3</v>
      </c>
      <c r="EE120">
        <v>51697765</v>
      </c>
      <c r="EF120">
        <v>40</v>
      </c>
      <c r="EG120" t="s">
        <v>166</v>
      </c>
      <c r="EH120">
        <v>0</v>
      </c>
      <c r="EI120" t="s">
        <v>3</v>
      </c>
      <c r="EJ120">
        <v>2</v>
      </c>
      <c r="EK120">
        <v>1726</v>
      </c>
      <c r="EL120" t="s">
        <v>206</v>
      </c>
      <c r="EM120" t="s">
        <v>207</v>
      </c>
      <c r="EO120" t="s">
        <v>169</v>
      </c>
      <c r="EQ120">
        <v>131072</v>
      </c>
      <c r="ER120">
        <v>2525.04</v>
      </c>
      <c r="ES120">
        <v>934.2</v>
      </c>
      <c r="ET120">
        <v>13.3</v>
      </c>
      <c r="EU120">
        <v>2.02</v>
      </c>
      <c r="EV120">
        <v>1577.54</v>
      </c>
      <c r="EW120">
        <v>116.43</v>
      </c>
      <c r="EX120">
        <v>0</v>
      </c>
      <c r="EY120">
        <v>0</v>
      </c>
      <c r="FQ120">
        <v>0</v>
      </c>
      <c r="FR120">
        <v>0</v>
      </c>
      <c r="FS120">
        <v>0</v>
      </c>
      <c r="FX120">
        <v>112</v>
      </c>
      <c r="FY120">
        <v>70</v>
      </c>
      <c r="GA120" t="s">
        <v>3</v>
      </c>
      <c r="GD120">
        <v>0</v>
      </c>
      <c r="GF120">
        <v>1551277997</v>
      </c>
      <c r="GG120">
        <v>2</v>
      </c>
      <c r="GH120">
        <v>1</v>
      </c>
      <c r="GI120">
        <v>2</v>
      </c>
      <c r="GJ120">
        <v>0</v>
      </c>
      <c r="GK120">
        <f>ROUND(R120*(S12)/100,2)</f>
        <v>0</v>
      </c>
      <c r="GL120">
        <f t="shared" si="102"/>
        <v>0</v>
      </c>
      <c r="GM120">
        <f t="shared" si="103"/>
        <v>0</v>
      </c>
      <c r="GN120">
        <f t="shared" si="104"/>
        <v>0</v>
      </c>
      <c r="GO120">
        <f t="shared" si="105"/>
        <v>0</v>
      </c>
      <c r="GP120">
        <f t="shared" si="106"/>
        <v>0</v>
      </c>
      <c r="GR120">
        <v>0</v>
      </c>
      <c r="GS120">
        <v>3</v>
      </c>
      <c r="GT120">
        <v>0</v>
      </c>
      <c r="GU120" t="s">
        <v>3</v>
      </c>
      <c r="GV120">
        <f t="shared" si="107"/>
        <v>0</v>
      </c>
      <c r="GW120">
        <v>1</v>
      </c>
      <c r="GX120">
        <f t="shared" si="108"/>
        <v>0</v>
      </c>
      <c r="HA120">
        <v>0</v>
      </c>
      <c r="HB120">
        <v>0</v>
      </c>
      <c r="HC120">
        <f t="shared" si="109"/>
        <v>0</v>
      </c>
      <c r="HE120" t="s">
        <v>3</v>
      </c>
      <c r="HF120" t="s">
        <v>3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S120">
        <v>0</v>
      </c>
      <c r="IK120">
        <v>0</v>
      </c>
    </row>
    <row r="121" spans="1:255" x14ac:dyDescent="0.2">
      <c r="A121" s="2">
        <v>17</v>
      </c>
      <c r="B121" s="2">
        <v>1</v>
      </c>
      <c r="C121" s="2"/>
      <c r="D121" s="2"/>
      <c r="E121" s="2" t="s">
        <v>217</v>
      </c>
      <c r="F121" s="2" t="s">
        <v>218</v>
      </c>
      <c r="G121" s="2" t="s">
        <v>219</v>
      </c>
      <c r="H121" s="2" t="s">
        <v>194</v>
      </c>
      <c r="I121" s="2">
        <v>0</v>
      </c>
      <c r="J121" s="2">
        <v>0</v>
      </c>
      <c r="K121" s="2">
        <v>0</v>
      </c>
      <c r="L121" s="2"/>
      <c r="M121" s="2"/>
      <c r="N121" s="2"/>
      <c r="O121" s="2">
        <f t="shared" si="81"/>
        <v>0</v>
      </c>
      <c r="P121" s="2">
        <f t="shared" si="82"/>
        <v>0</v>
      </c>
      <c r="Q121" s="2">
        <f>(ROUND((ROUND((((ET121*1.1))*AV121*I121),2)*BB121),2)+ROUND((ROUND(((AE121-((EU121*1.1)))*AV121*I121),2)*BS121),2))</f>
        <v>0</v>
      </c>
      <c r="R121" s="2">
        <f t="shared" si="83"/>
        <v>0</v>
      </c>
      <c r="S121" s="2">
        <f t="shared" si="84"/>
        <v>0</v>
      </c>
      <c r="T121" s="2">
        <f t="shared" si="85"/>
        <v>0</v>
      </c>
      <c r="U121" s="2">
        <f t="shared" si="86"/>
        <v>0</v>
      </c>
      <c r="V121" s="2">
        <f t="shared" si="87"/>
        <v>0</v>
      </c>
      <c r="W121" s="2">
        <f t="shared" si="88"/>
        <v>0</v>
      </c>
      <c r="X121" s="2">
        <f t="shared" si="89"/>
        <v>0</v>
      </c>
      <c r="Y121" s="2">
        <f t="shared" si="90"/>
        <v>0</v>
      </c>
      <c r="Z121" s="2"/>
      <c r="AA121" s="2">
        <v>56622523</v>
      </c>
      <c r="AB121" s="2">
        <f t="shared" si="91"/>
        <v>5982.6</v>
      </c>
      <c r="AC121" s="2">
        <f>ROUND((ES121),6)</f>
        <v>5982.6</v>
      </c>
      <c r="AD121" s="2">
        <f>ROUND(((((ET121*1.1))-((EU121*1.1)))+AE121),6)</f>
        <v>0</v>
      </c>
      <c r="AE121" s="2">
        <f>ROUND(((EU121*1.1)),6)</f>
        <v>0</v>
      </c>
      <c r="AF121" s="2">
        <f>ROUND(((EV121*1.1)),6)</f>
        <v>0</v>
      </c>
      <c r="AG121" s="2">
        <f t="shared" si="92"/>
        <v>0</v>
      </c>
      <c r="AH121" s="2">
        <f>((EW121*1.1))</f>
        <v>0</v>
      </c>
      <c r="AI121" s="2">
        <f>((EX121*1.1))</f>
        <v>0</v>
      </c>
      <c r="AJ121" s="2">
        <f t="shared" si="93"/>
        <v>0</v>
      </c>
      <c r="AK121" s="2">
        <v>5982.6</v>
      </c>
      <c r="AL121" s="2">
        <v>5982.6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2</v>
      </c>
      <c r="BJ121" s="2" t="s">
        <v>220</v>
      </c>
      <c r="BK121" s="2"/>
      <c r="BL121" s="2"/>
      <c r="BM121" s="2">
        <v>1618</v>
      </c>
      <c r="BN121" s="2">
        <v>0</v>
      </c>
      <c r="BO121" s="2" t="s">
        <v>3</v>
      </c>
      <c r="BP121" s="2">
        <v>0</v>
      </c>
      <c r="BQ121" s="2">
        <v>201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0</v>
      </c>
      <c r="CA121" s="2">
        <v>0</v>
      </c>
      <c r="CB121" s="2" t="s">
        <v>3</v>
      </c>
      <c r="CC121" s="2"/>
      <c r="CD121" s="2"/>
      <c r="CE121" s="2">
        <v>30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689</v>
      </c>
      <c r="CO121" s="2">
        <v>0</v>
      </c>
      <c r="CP121" s="2">
        <f t="shared" si="94"/>
        <v>0</v>
      </c>
      <c r="CQ121" s="2">
        <f t="shared" si="95"/>
        <v>5982.6</v>
      </c>
      <c r="CR121" s="2">
        <f>(ROUND((ROUND((((ET121*1.1))*AV121*1),2)*BB121),2)+ROUND((ROUND(((AE121-((EU121*1.1)))*AV121*1),2)*BS121),2))</f>
        <v>0</v>
      </c>
      <c r="CS121" s="2">
        <f t="shared" si="96"/>
        <v>0</v>
      </c>
      <c r="CT121" s="2">
        <f t="shared" si="97"/>
        <v>0</v>
      </c>
      <c r="CU121" s="2">
        <f t="shared" si="98"/>
        <v>0</v>
      </c>
      <c r="CV121" s="2">
        <f t="shared" si="99"/>
        <v>0</v>
      </c>
      <c r="CW121" s="2">
        <f t="shared" si="100"/>
        <v>0</v>
      </c>
      <c r="CX121" s="2">
        <f t="shared" si="101"/>
        <v>0</v>
      </c>
      <c r="CY121" s="2">
        <f>((S121*BZ121)/100)</f>
        <v>0</v>
      </c>
      <c r="CZ121" s="2">
        <f>((S121*CA121)/100)</f>
        <v>0</v>
      </c>
      <c r="DA121" s="2"/>
      <c r="DB121" s="2"/>
      <c r="DC121" s="2" t="s">
        <v>3</v>
      </c>
      <c r="DD121" s="2" t="s">
        <v>3</v>
      </c>
      <c r="DE121" s="2" t="s">
        <v>22</v>
      </c>
      <c r="DF121" s="2" t="s">
        <v>22</v>
      </c>
      <c r="DG121" s="2" t="s">
        <v>22</v>
      </c>
      <c r="DH121" s="2" t="s">
        <v>3</v>
      </c>
      <c r="DI121" s="2" t="s">
        <v>22</v>
      </c>
      <c r="DJ121" s="2" t="s">
        <v>22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194</v>
      </c>
      <c r="DW121" s="2" t="s">
        <v>194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51697657</v>
      </c>
      <c r="EF121" s="2">
        <v>201</v>
      </c>
      <c r="EG121" s="2" t="s">
        <v>180</v>
      </c>
      <c r="EH121" s="2">
        <v>0</v>
      </c>
      <c r="EI121" s="2" t="s">
        <v>3</v>
      </c>
      <c r="EJ121" s="2">
        <v>2</v>
      </c>
      <c r="EK121" s="2">
        <v>1618</v>
      </c>
      <c r="EL121" s="2" t="s">
        <v>181</v>
      </c>
      <c r="EM121" s="2" t="s">
        <v>182</v>
      </c>
      <c r="EN121" s="2"/>
      <c r="EO121" s="2" t="s">
        <v>26</v>
      </c>
      <c r="EP121" s="2"/>
      <c r="EQ121" s="2">
        <v>131072</v>
      </c>
      <c r="ER121" s="2">
        <v>5982.6</v>
      </c>
      <c r="ES121" s="2">
        <v>5982.6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0</v>
      </c>
      <c r="FY121" s="2">
        <v>0</v>
      </c>
      <c r="FZ121" s="2"/>
      <c r="GA121" s="2" t="s">
        <v>3</v>
      </c>
      <c r="GB121" s="2"/>
      <c r="GC121" s="2"/>
      <c r="GD121" s="2">
        <v>0</v>
      </c>
      <c r="GE121" s="2"/>
      <c r="GF121" s="2">
        <v>-50986163</v>
      </c>
      <c r="GG121" s="2">
        <v>2</v>
      </c>
      <c r="GH121" s="2">
        <v>1</v>
      </c>
      <c r="GI121" s="2">
        <v>-2</v>
      </c>
      <c r="GJ121" s="2">
        <v>0</v>
      </c>
      <c r="GK121" s="2">
        <f>ROUND(R121*(R12)/100,2)</f>
        <v>0</v>
      </c>
      <c r="GL121" s="2">
        <f t="shared" si="102"/>
        <v>0</v>
      </c>
      <c r="GM121" s="2">
        <f t="shared" si="103"/>
        <v>0</v>
      </c>
      <c r="GN121" s="2">
        <f t="shared" si="104"/>
        <v>0</v>
      </c>
      <c r="GO121" s="2">
        <f t="shared" si="105"/>
        <v>0</v>
      </c>
      <c r="GP121" s="2">
        <f t="shared" si="106"/>
        <v>0</v>
      </c>
      <c r="GQ121" s="2"/>
      <c r="GR121" s="2">
        <v>0</v>
      </c>
      <c r="GS121" s="2">
        <v>0</v>
      </c>
      <c r="GT121" s="2">
        <v>0</v>
      </c>
      <c r="GU121" s="2" t="s">
        <v>3</v>
      </c>
      <c r="GV121" s="2">
        <f t="shared" si="107"/>
        <v>0</v>
      </c>
      <c r="GW121" s="2">
        <v>1</v>
      </c>
      <c r="GX121" s="2">
        <f t="shared" si="108"/>
        <v>0</v>
      </c>
      <c r="GY121" s="2"/>
      <c r="GZ121" s="2"/>
      <c r="HA121" s="2">
        <v>0</v>
      </c>
      <c r="HB121" s="2">
        <v>0</v>
      </c>
      <c r="HC121" s="2">
        <f t="shared" si="109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>
        <v>17</v>
      </c>
      <c r="B122">
        <v>1</v>
      </c>
      <c r="E122" t="s">
        <v>217</v>
      </c>
      <c r="F122" t="s">
        <v>218</v>
      </c>
      <c r="G122" t="s">
        <v>219</v>
      </c>
      <c r="H122" t="s">
        <v>194</v>
      </c>
      <c r="I122">
        <v>0</v>
      </c>
      <c r="J122">
        <v>0</v>
      </c>
      <c r="K122">
        <v>0</v>
      </c>
      <c r="O122">
        <f t="shared" si="81"/>
        <v>0</v>
      </c>
      <c r="P122">
        <f t="shared" si="82"/>
        <v>0</v>
      </c>
      <c r="Q122">
        <f>(ROUND((ROUND((((ET122*1.1))*AV122*I122),2)*BB122),2)+ROUND((ROUND(((AE122-((EU122*1.1)))*AV122*I122),2)*BS122),2))</f>
        <v>0</v>
      </c>
      <c r="R122">
        <f t="shared" si="83"/>
        <v>0</v>
      </c>
      <c r="S122">
        <f t="shared" si="84"/>
        <v>0</v>
      </c>
      <c r="T122">
        <f t="shared" si="85"/>
        <v>0</v>
      </c>
      <c r="U122">
        <f t="shared" si="86"/>
        <v>0</v>
      </c>
      <c r="V122">
        <f t="shared" si="87"/>
        <v>0</v>
      </c>
      <c r="W122">
        <f t="shared" si="88"/>
        <v>0</v>
      </c>
      <c r="X122">
        <f t="shared" si="89"/>
        <v>0</v>
      </c>
      <c r="Y122">
        <f t="shared" si="90"/>
        <v>0</v>
      </c>
      <c r="AA122">
        <v>56611490</v>
      </c>
      <c r="AB122">
        <f t="shared" si="91"/>
        <v>5982.6</v>
      </c>
      <c r="AC122">
        <f>ROUND((ES122),6)</f>
        <v>5982.6</v>
      </c>
      <c r="AD122">
        <f>ROUND(((((ET122*1.1))-((EU122*1.1)))+AE122),6)</f>
        <v>0</v>
      </c>
      <c r="AE122">
        <f>ROUND(((EU122*1.1)),6)</f>
        <v>0</v>
      </c>
      <c r="AF122">
        <f>ROUND(((EV122*1.1)),6)</f>
        <v>0</v>
      </c>
      <c r="AG122">
        <f t="shared" si="92"/>
        <v>0</v>
      </c>
      <c r="AH122">
        <f>((EW122*1.1))</f>
        <v>0</v>
      </c>
      <c r="AI122">
        <f>((EX122*1.1))</f>
        <v>0</v>
      </c>
      <c r="AJ122">
        <f t="shared" si="93"/>
        <v>0</v>
      </c>
      <c r="AK122">
        <v>5982.6</v>
      </c>
      <c r="AL122">
        <v>5982.6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1</v>
      </c>
      <c r="AZ122">
        <v>1</v>
      </c>
      <c r="BA122">
        <v>1</v>
      </c>
      <c r="BB122">
        <v>1</v>
      </c>
      <c r="BC122">
        <v>5.95</v>
      </c>
      <c r="BD122" t="s">
        <v>3</v>
      </c>
      <c r="BE122" t="s">
        <v>3</v>
      </c>
      <c r="BF122" t="s">
        <v>3</v>
      </c>
      <c r="BG122" t="s">
        <v>3</v>
      </c>
      <c r="BH122">
        <v>3</v>
      </c>
      <c r="BI122">
        <v>2</v>
      </c>
      <c r="BJ122" t="s">
        <v>220</v>
      </c>
      <c r="BM122">
        <v>1618</v>
      </c>
      <c r="BN122">
        <v>0</v>
      </c>
      <c r="BO122" t="s">
        <v>218</v>
      </c>
      <c r="BP122">
        <v>1</v>
      </c>
      <c r="BQ122">
        <v>201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0</v>
      </c>
      <c r="CA122">
        <v>0</v>
      </c>
      <c r="CB122" t="s">
        <v>3</v>
      </c>
      <c r="CE122">
        <v>30</v>
      </c>
      <c r="CF122">
        <v>0</v>
      </c>
      <c r="CG122">
        <v>0</v>
      </c>
      <c r="CM122">
        <v>0</v>
      </c>
      <c r="CN122" t="s">
        <v>689</v>
      </c>
      <c r="CO122">
        <v>0</v>
      </c>
      <c r="CP122">
        <f t="shared" si="94"/>
        <v>0</v>
      </c>
      <c r="CQ122">
        <f t="shared" si="95"/>
        <v>35596.47</v>
      </c>
      <c r="CR122">
        <f>(ROUND((ROUND((((ET122*1.1))*AV122*1),2)*BB122),2)+ROUND((ROUND(((AE122-((EU122*1.1)))*AV122*1),2)*BS122),2))</f>
        <v>0</v>
      </c>
      <c r="CS122">
        <f t="shared" si="96"/>
        <v>0</v>
      </c>
      <c r="CT122">
        <f t="shared" si="97"/>
        <v>0</v>
      </c>
      <c r="CU122">
        <f t="shared" si="98"/>
        <v>0</v>
      </c>
      <c r="CV122">
        <f t="shared" si="99"/>
        <v>0</v>
      </c>
      <c r="CW122">
        <f t="shared" si="100"/>
        <v>0</v>
      </c>
      <c r="CX122">
        <f t="shared" si="101"/>
        <v>0</v>
      </c>
      <c r="CY122">
        <f>S122*(BZ122/100)</f>
        <v>0</v>
      </c>
      <c r="CZ122">
        <f>S122*(CA122/100)</f>
        <v>0</v>
      </c>
      <c r="DC122" t="s">
        <v>3</v>
      </c>
      <c r="DD122" t="s">
        <v>3</v>
      </c>
      <c r="DE122" t="s">
        <v>22</v>
      </c>
      <c r="DF122" t="s">
        <v>22</v>
      </c>
      <c r="DG122" t="s">
        <v>22</v>
      </c>
      <c r="DH122" t="s">
        <v>3</v>
      </c>
      <c r="DI122" t="s">
        <v>22</v>
      </c>
      <c r="DJ122" t="s">
        <v>22</v>
      </c>
      <c r="DK122" t="s">
        <v>3</v>
      </c>
      <c r="DL122" t="s">
        <v>3</v>
      </c>
      <c r="DM122" t="s">
        <v>3</v>
      </c>
      <c r="DN122">
        <v>0</v>
      </c>
      <c r="DO122">
        <v>0</v>
      </c>
      <c r="DP122">
        <v>1</v>
      </c>
      <c r="DQ122">
        <v>1</v>
      </c>
      <c r="DU122">
        <v>1013</v>
      </c>
      <c r="DV122" t="s">
        <v>194</v>
      </c>
      <c r="DW122" t="s">
        <v>194</v>
      </c>
      <c r="DX122">
        <v>1</v>
      </c>
      <c r="DZ122" t="s">
        <v>3</v>
      </c>
      <c r="EA122" t="s">
        <v>3</v>
      </c>
      <c r="EB122" t="s">
        <v>3</v>
      </c>
      <c r="EC122" t="s">
        <v>3</v>
      </c>
      <c r="EE122">
        <v>51697657</v>
      </c>
      <c r="EF122">
        <v>201</v>
      </c>
      <c r="EG122" t="s">
        <v>180</v>
      </c>
      <c r="EH122">
        <v>0</v>
      </c>
      <c r="EI122" t="s">
        <v>3</v>
      </c>
      <c r="EJ122">
        <v>2</v>
      </c>
      <c r="EK122">
        <v>1618</v>
      </c>
      <c r="EL122" t="s">
        <v>181</v>
      </c>
      <c r="EM122" t="s">
        <v>182</v>
      </c>
      <c r="EO122" t="s">
        <v>26</v>
      </c>
      <c r="EQ122">
        <v>131072</v>
      </c>
      <c r="ER122">
        <v>5982.6</v>
      </c>
      <c r="ES122">
        <v>5982.6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FQ122">
        <v>0</v>
      </c>
      <c r="FR122">
        <v>0</v>
      </c>
      <c r="FS122">
        <v>0</v>
      </c>
      <c r="FX122">
        <v>0</v>
      </c>
      <c r="FY122">
        <v>0</v>
      </c>
      <c r="GA122" t="s">
        <v>3</v>
      </c>
      <c r="GD122">
        <v>0</v>
      </c>
      <c r="GF122">
        <v>-50986163</v>
      </c>
      <c r="GG122">
        <v>2</v>
      </c>
      <c r="GH122">
        <v>1</v>
      </c>
      <c r="GI122">
        <v>2</v>
      </c>
      <c r="GJ122">
        <v>0</v>
      </c>
      <c r="GK122">
        <f>ROUND(R122*(S12)/100,2)</f>
        <v>0</v>
      </c>
      <c r="GL122">
        <f t="shared" si="102"/>
        <v>0</v>
      </c>
      <c r="GM122">
        <f t="shared" si="103"/>
        <v>0</v>
      </c>
      <c r="GN122">
        <f t="shared" si="104"/>
        <v>0</v>
      </c>
      <c r="GO122">
        <f t="shared" si="105"/>
        <v>0</v>
      </c>
      <c r="GP122">
        <f t="shared" si="106"/>
        <v>0</v>
      </c>
      <c r="GR122">
        <v>0</v>
      </c>
      <c r="GS122">
        <v>3</v>
      </c>
      <c r="GT122">
        <v>0</v>
      </c>
      <c r="GU122" t="s">
        <v>3</v>
      </c>
      <c r="GV122">
        <f t="shared" si="107"/>
        <v>0</v>
      </c>
      <c r="GW122">
        <v>1</v>
      </c>
      <c r="GX122">
        <f t="shared" si="108"/>
        <v>0</v>
      </c>
      <c r="HA122">
        <v>0</v>
      </c>
      <c r="HB122">
        <v>0</v>
      </c>
      <c r="HC122">
        <f t="shared" si="109"/>
        <v>0</v>
      </c>
      <c r="HE122" t="s">
        <v>3</v>
      </c>
      <c r="HF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HS122">
        <v>0</v>
      </c>
      <c r="IK122">
        <v>0</v>
      </c>
    </row>
    <row r="123" spans="1:255" x14ac:dyDescent="0.2">
      <c r="A123" s="2">
        <v>17</v>
      </c>
      <c r="B123" s="2">
        <v>1</v>
      </c>
      <c r="C123" s="2"/>
      <c r="D123" s="2">
        <f>ROW(EtalonRes!A231)</f>
        <v>231</v>
      </c>
      <c r="E123" s="2" t="s">
        <v>221</v>
      </c>
      <c r="F123" s="2" t="s">
        <v>222</v>
      </c>
      <c r="G123" s="2" t="s">
        <v>223</v>
      </c>
      <c r="H123" s="2" t="s">
        <v>224</v>
      </c>
      <c r="I123" s="2">
        <f>ROUND(2/100,9)</f>
        <v>0.02</v>
      </c>
      <c r="J123" s="2">
        <v>0</v>
      </c>
      <c r="K123" s="2">
        <f>ROUND(2/100,9)</f>
        <v>0.02</v>
      </c>
      <c r="L123" s="2"/>
      <c r="M123" s="2"/>
      <c r="N123" s="2"/>
      <c r="O123" s="2">
        <f t="shared" si="81"/>
        <v>89.81</v>
      </c>
      <c r="P123" s="2">
        <f t="shared" si="82"/>
        <v>10.71</v>
      </c>
      <c r="Q123" s="2">
        <f>(ROUND((ROUND(((((ET123*1.1)*1.2))*AV123*I123),2)*BB123),2)+ROUND((ROUND(((AE123-(((EU123*1.1)*1.2)))*AV123*I123),2)*BS123),2))</f>
        <v>19.78</v>
      </c>
      <c r="R123" s="2">
        <f t="shared" si="83"/>
        <v>1.71</v>
      </c>
      <c r="S123" s="2">
        <f t="shared" si="84"/>
        <v>59.32</v>
      </c>
      <c r="T123" s="2">
        <f t="shared" si="85"/>
        <v>0</v>
      </c>
      <c r="U123" s="2">
        <f t="shared" si="86"/>
        <v>4.3086479039999999</v>
      </c>
      <c r="V123" s="2">
        <f t="shared" si="87"/>
        <v>0</v>
      </c>
      <c r="W123" s="2">
        <f t="shared" si="88"/>
        <v>0</v>
      </c>
      <c r="X123" s="2">
        <f t="shared" si="89"/>
        <v>66.44</v>
      </c>
      <c r="Y123" s="2">
        <f t="shared" si="90"/>
        <v>41.52</v>
      </c>
      <c r="Z123" s="2"/>
      <c r="AA123" s="2">
        <v>56622523</v>
      </c>
      <c r="AB123" s="2">
        <f t="shared" si="91"/>
        <v>4313.2380000000003</v>
      </c>
      <c r="AC123" s="2">
        <f>ROUND(((ES123*1)),6)</f>
        <v>535.53</v>
      </c>
      <c r="AD123" s="2">
        <f>ROUND((((((ET123*1.1)*1.2))-(((EU123*1.1)*1.2)))+AE123),6)</f>
        <v>944.68439999999998</v>
      </c>
      <c r="AE123" s="2">
        <f>ROUND((((EU123*1.1)*1.2)),6)</f>
        <v>81.523200000000003</v>
      </c>
      <c r="AF123" s="2">
        <f>ROUND((((EV123*1.1)*1.2)),6)</f>
        <v>2833.0236</v>
      </c>
      <c r="AG123" s="2">
        <f t="shared" si="92"/>
        <v>0</v>
      </c>
      <c r="AH123" s="2">
        <f>(((EW123*1.1)*1.2))</f>
        <v>205.76160000000002</v>
      </c>
      <c r="AI123" s="2">
        <f>(((EX123*1.1)*1.2))</f>
        <v>0</v>
      </c>
      <c r="AJ123" s="2">
        <f t="shared" si="93"/>
        <v>0</v>
      </c>
      <c r="AK123" s="2">
        <v>3397.43</v>
      </c>
      <c r="AL123" s="2">
        <v>535.53</v>
      </c>
      <c r="AM123" s="2">
        <v>715.67</v>
      </c>
      <c r="AN123" s="2">
        <v>61.76</v>
      </c>
      <c r="AO123" s="2">
        <v>2146.23</v>
      </c>
      <c r="AP123" s="2">
        <v>0</v>
      </c>
      <c r="AQ123" s="2">
        <v>155.88</v>
      </c>
      <c r="AR123" s="2">
        <v>0</v>
      </c>
      <c r="AS123" s="2">
        <v>0</v>
      </c>
      <c r="AT123" s="2">
        <v>112</v>
      </c>
      <c r="AU123" s="2">
        <v>70</v>
      </c>
      <c r="AV123" s="2">
        <v>1.0469999999999999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0</v>
      </c>
      <c r="BI123" s="2">
        <v>2</v>
      </c>
      <c r="BJ123" s="2" t="s">
        <v>225</v>
      </c>
      <c r="BK123" s="2"/>
      <c r="BL123" s="2"/>
      <c r="BM123" s="2">
        <v>1726</v>
      </c>
      <c r="BN123" s="2">
        <v>0</v>
      </c>
      <c r="BO123" s="2" t="s">
        <v>3</v>
      </c>
      <c r="BP123" s="2">
        <v>0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112</v>
      </c>
      <c r="CA123" s="2">
        <v>70</v>
      </c>
      <c r="CB123" s="2" t="s">
        <v>3</v>
      </c>
      <c r="CC123" s="2"/>
      <c r="CD123" s="2"/>
      <c r="CE123" s="2">
        <v>30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692</v>
      </c>
      <c r="CO123" s="2">
        <v>0</v>
      </c>
      <c r="CP123" s="2">
        <f t="shared" si="94"/>
        <v>89.81</v>
      </c>
      <c r="CQ123" s="2">
        <f t="shared" si="95"/>
        <v>535.53</v>
      </c>
      <c r="CR123" s="2">
        <f>(ROUND((ROUND(((((ET123*1.1)*1.2))*AV123*1),2)*BB123),2)+ROUND((ROUND(((AE123-(((EU123*1.1)*1.2)))*AV123*1),2)*BS123),2))</f>
        <v>989.08</v>
      </c>
      <c r="CS123" s="2">
        <f t="shared" si="96"/>
        <v>85.35</v>
      </c>
      <c r="CT123" s="2">
        <f t="shared" si="97"/>
        <v>2966.18</v>
      </c>
      <c r="CU123" s="2">
        <f t="shared" si="98"/>
        <v>0</v>
      </c>
      <c r="CV123" s="2">
        <f t="shared" si="99"/>
        <v>215.4323952</v>
      </c>
      <c r="CW123" s="2">
        <f t="shared" si="100"/>
        <v>0</v>
      </c>
      <c r="CX123" s="2">
        <f t="shared" si="101"/>
        <v>0</v>
      </c>
      <c r="CY123" s="2">
        <f>((S123*BZ123)/100)</f>
        <v>66.438400000000001</v>
      </c>
      <c r="CZ123" s="2">
        <f>((S123*CA123)/100)</f>
        <v>41.523999999999994</v>
      </c>
      <c r="DA123" s="2"/>
      <c r="DB123" s="2"/>
      <c r="DC123" s="2" t="s">
        <v>3</v>
      </c>
      <c r="DD123" s="2" t="s">
        <v>42</v>
      </c>
      <c r="DE123" s="2" t="s">
        <v>70</v>
      </c>
      <c r="DF123" s="2" t="s">
        <v>70</v>
      </c>
      <c r="DG123" s="2" t="s">
        <v>70</v>
      </c>
      <c r="DH123" s="2" t="s">
        <v>3</v>
      </c>
      <c r="DI123" s="2" t="s">
        <v>70</v>
      </c>
      <c r="DJ123" s="2" t="s">
        <v>70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224</v>
      </c>
      <c r="DW123" s="2" t="s">
        <v>224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51697765</v>
      </c>
      <c r="EF123" s="2">
        <v>40</v>
      </c>
      <c r="EG123" s="2" t="s">
        <v>166</v>
      </c>
      <c r="EH123" s="2">
        <v>0</v>
      </c>
      <c r="EI123" s="2" t="s">
        <v>3</v>
      </c>
      <c r="EJ123" s="2">
        <v>2</v>
      </c>
      <c r="EK123" s="2">
        <v>1726</v>
      </c>
      <c r="EL123" s="2" t="s">
        <v>206</v>
      </c>
      <c r="EM123" s="2" t="s">
        <v>207</v>
      </c>
      <c r="EN123" s="2"/>
      <c r="EO123" s="2" t="s">
        <v>169</v>
      </c>
      <c r="EP123" s="2"/>
      <c r="EQ123" s="2">
        <v>131072</v>
      </c>
      <c r="ER123" s="2">
        <v>3397.43</v>
      </c>
      <c r="ES123" s="2">
        <v>535.53</v>
      </c>
      <c r="ET123" s="2">
        <v>715.67</v>
      </c>
      <c r="EU123" s="2">
        <v>61.76</v>
      </c>
      <c r="EV123" s="2">
        <v>2146.23</v>
      </c>
      <c r="EW123" s="2">
        <v>155.88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112</v>
      </c>
      <c r="FY123" s="2">
        <v>70</v>
      </c>
      <c r="FZ123" s="2"/>
      <c r="GA123" s="2" t="s">
        <v>3</v>
      </c>
      <c r="GB123" s="2"/>
      <c r="GC123" s="2"/>
      <c r="GD123" s="2">
        <v>0</v>
      </c>
      <c r="GE123" s="2"/>
      <c r="GF123" s="2">
        <v>957162054</v>
      </c>
      <c r="GG123" s="2">
        <v>2</v>
      </c>
      <c r="GH123" s="2">
        <v>1</v>
      </c>
      <c r="GI123" s="2">
        <v>-2</v>
      </c>
      <c r="GJ123" s="2">
        <v>0</v>
      </c>
      <c r="GK123" s="2">
        <f>ROUND(R123*(R12)/100,2)</f>
        <v>2.99</v>
      </c>
      <c r="GL123" s="2">
        <f t="shared" si="102"/>
        <v>0</v>
      </c>
      <c r="GM123" s="2">
        <f t="shared" si="103"/>
        <v>200.76</v>
      </c>
      <c r="GN123" s="2">
        <f t="shared" si="104"/>
        <v>0</v>
      </c>
      <c r="GO123" s="2">
        <f t="shared" si="105"/>
        <v>200.76</v>
      </c>
      <c r="GP123" s="2">
        <f t="shared" si="106"/>
        <v>0</v>
      </c>
      <c r="GQ123" s="2"/>
      <c r="GR123" s="2">
        <v>0</v>
      </c>
      <c r="GS123" s="2">
        <v>0</v>
      </c>
      <c r="GT123" s="2">
        <v>0</v>
      </c>
      <c r="GU123" s="2" t="s">
        <v>3</v>
      </c>
      <c r="GV123" s="2">
        <f t="shared" si="107"/>
        <v>0</v>
      </c>
      <c r="GW123" s="2">
        <v>1</v>
      </c>
      <c r="GX123" s="2">
        <f t="shared" si="108"/>
        <v>0</v>
      </c>
      <c r="GY123" s="2"/>
      <c r="GZ123" s="2"/>
      <c r="HA123" s="2">
        <v>0</v>
      </c>
      <c r="HB123" s="2">
        <v>0</v>
      </c>
      <c r="HC123" s="2">
        <f t="shared" si="109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>
        <v>17</v>
      </c>
      <c r="B124">
        <v>1</v>
      </c>
      <c r="D124">
        <f>ROW(EtalonRes!A240)</f>
        <v>240</v>
      </c>
      <c r="E124" t="s">
        <v>221</v>
      </c>
      <c r="F124" t="s">
        <v>222</v>
      </c>
      <c r="G124" t="s">
        <v>223</v>
      </c>
      <c r="H124" t="s">
        <v>224</v>
      </c>
      <c r="I124">
        <f>ROUND(2/100,9)</f>
        <v>0.02</v>
      </c>
      <c r="J124">
        <v>0</v>
      </c>
      <c r="K124">
        <f>ROUND(2/100,9)</f>
        <v>0.02</v>
      </c>
      <c r="O124">
        <f t="shared" si="81"/>
        <v>2265.54</v>
      </c>
      <c r="P124">
        <f t="shared" si="82"/>
        <v>79.36</v>
      </c>
      <c r="Q124">
        <f>(ROUND((ROUND(((((ET124*1.1)*1.2))*AV124*I124),2)*BB124),2)+ROUND((ROUND(((AE124-(((EU124*1.1)*1.2)))*AV124*I124),2)*BS124),2))</f>
        <v>139.05000000000001</v>
      </c>
      <c r="R124">
        <f t="shared" si="83"/>
        <v>59.01</v>
      </c>
      <c r="S124">
        <f t="shared" si="84"/>
        <v>2047.13</v>
      </c>
      <c r="T124">
        <f t="shared" si="85"/>
        <v>0</v>
      </c>
      <c r="U124">
        <f t="shared" si="86"/>
        <v>4.3086479039999999</v>
      </c>
      <c r="V124">
        <f t="shared" si="87"/>
        <v>0</v>
      </c>
      <c r="W124">
        <f t="shared" si="88"/>
        <v>0</v>
      </c>
      <c r="X124">
        <f t="shared" si="89"/>
        <v>1883.36</v>
      </c>
      <c r="Y124">
        <f t="shared" si="90"/>
        <v>880.27</v>
      </c>
      <c r="AA124">
        <v>56611490</v>
      </c>
      <c r="AB124">
        <f t="shared" si="91"/>
        <v>4313.2380000000003</v>
      </c>
      <c r="AC124">
        <f>ROUND(((ES124*1)),6)</f>
        <v>535.53</v>
      </c>
      <c r="AD124">
        <f>ROUND((((((ET124*1.1)*1.2))-(((EU124*1.1)*1.2)))+AE124),6)</f>
        <v>944.68439999999998</v>
      </c>
      <c r="AE124">
        <f>ROUND((((EU124*1.1)*1.2)),6)</f>
        <v>81.523200000000003</v>
      </c>
      <c r="AF124">
        <f>ROUND((((EV124*1.1)*1.2)),6)</f>
        <v>2833.0236</v>
      </c>
      <c r="AG124">
        <f t="shared" si="92"/>
        <v>0</v>
      </c>
      <c r="AH124">
        <f>(((EW124*1.1)*1.2))</f>
        <v>205.76160000000002</v>
      </c>
      <c r="AI124">
        <f>(((EX124*1.1)*1.2))</f>
        <v>0</v>
      </c>
      <c r="AJ124">
        <f t="shared" si="93"/>
        <v>0</v>
      </c>
      <c r="AK124">
        <v>3397.43</v>
      </c>
      <c r="AL124">
        <v>535.53</v>
      </c>
      <c r="AM124">
        <v>715.67</v>
      </c>
      <c r="AN124">
        <v>61.76</v>
      </c>
      <c r="AO124">
        <v>2146.23</v>
      </c>
      <c r="AP124">
        <v>0</v>
      </c>
      <c r="AQ124">
        <v>155.88</v>
      </c>
      <c r="AR124">
        <v>0</v>
      </c>
      <c r="AS124">
        <v>0</v>
      </c>
      <c r="AT124">
        <v>92</v>
      </c>
      <c r="AU124">
        <v>43</v>
      </c>
      <c r="AV124">
        <v>1.0469999999999999</v>
      </c>
      <c r="AW124">
        <v>1</v>
      </c>
      <c r="AZ124">
        <v>1</v>
      </c>
      <c r="BA124">
        <v>34.51</v>
      </c>
      <c r="BB124">
        <v>7.03</v>
      </c>
      <c r="BC124">
        <v>7.41</v>
      </c>
      <c r="BD124" t="s">
        <v>3</v>
      </c>
      <c r="BE124" t="s">
        <v>3</v>
      </c>
      <c r="BF124" t="s">
        <v>3</v>
      </c>
      <c r="BG124" t="s">
        <v>3</v>
      </c>
      <c r="BH124">
        <v>0</v>
      </c>
      <c r="BI124">
        <v>2</v>
      </c>
      <c r="BJ124" t="s">
        <v>225</v>
      </c>
      <c r="BM124">
        <v>1726</v>
      </c>
      <c r="BN124">
        <v>0</v>
      </c>
      <c r="BO124" t="s">
        <v>222</v>
      </c>
      <c r="BP124">
        <v>1</v>
      </c>
      <c r="BQ124">
        <v>40</v>
      </c>
      <c r="BR124">
        <v>0</v>
      </c>
      <c r="BS124">
        <v>34.51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3</v>
      </c>
      <c r="BZ124">
        <v>92</v>
      </c>
      <c r="CA124">
        <v>43</v>
      </c>
      <c r="CB124" t="s">
        <v>3</v>
      </c>
      <c r="CE124">
        <v>30</v>
      </c>
      <c r="CF124">
        <v>0</v>
      </c>
      <c r="CG124">
        <v>0</v>
      </c>
      <c r="CM124">
        <v>0</v>
      </c>
      <c r="CN124" t="s">
        <v>692</v>
      </c>
      <c r="CO124">
        <v>0</v>
      </c>
      <c r="CP124">
        <f t="shared" si="94"/>
        <v>2265.54</v>
      </c>
      <c r="CQ124">
        <f t="shared" si="95"/>
        <v>3968.28</v>
      </c>
      <c r="CR124">
        <f>(ROUND((ROUND(((((ET124*1.1)*1.2))*AV124*1),2)*BB124),2)+ROUND((ROUND(((AE124-(((EU124*1.1)*1.2)))*AV124*1),2)*BS124),2))</f>
        <v>6953.23</v>
      </c>
      <c r="CS124">
        <f t="shared" si="96"/>
        <v>2945.43</v>
      </c>
      <c r="CT124">
        <f t="shared" si="97"/>
        <v>102362.87</v>
      </c>
      <c r="CU124">
        <f t="shared" si="98"/>
        <v>0</v>
      </c>
      <c r="CV124">
        <f t="shared" si="99"/>
        <v>215.4323952</v>
      </c>
      <c r="CW124">
        <f t="shared" si="100"/>
        <v>0</v>
      </c>
      <c r="CX124">
        <f t="shared" si="101"/>
        <v>0</v>
      </c>
      <c r="CY124">
        <f>S124*(BZ124/100)</f>
        <v>1883.3596000000002</v>
      </c>
      <c r="CZ124">
        <f>S124*(CA124/100)</f>
        <v>880.26589999999999</v>
      </c>
      <c r="DC124" t="s">
        <v>3</v>
      </c>
      <c r="DD124" t="s">
        <v>42</v>
      </c>
      <c r="DE124" t="s">
        <v>70</v>
      </c>
      <c r="DF124" t="s">
        <v>70</v>
      </c>
      <c r="DG124" t="s">
        <v>70</v>
      </c>
      <c r="DH124" t="s">
        <v>3</v>
      </c>
      <c r="DI124" t="s">
        <v>70</v>
      </c>
      <c r="DJ124" t="s">
        <v>70</v>
      </c>
      <c r="DK124" t="s">
        <v>3</v>
      </c>
      <c r="DL124" t="s">
        <v>3</v>
      </c>
      <c r="DM124" t="s">
        <v>3</v>
      </c>
      <c r="DN124">
        <v>112</v>
      </c>
      <c r="DO124">
        <v>70</v>
      </c>
      <c r="DP124">
        <v>1.0469999999999999</v>
      </c>
      <c r="DQ124">
        <v>1</v>
      </c>
      <c r="DU124">
        <v>1013</v>
      </c>
      <c r="DV124" t="s">
        <v>224</v>
      </c>
      <c r="DW124" t="s">
        <v>224</v>
      </c>
      <c r="DX124">
        <v>1</v>
      </c>
      <c r="DZ124" t="s">
        <v>3</v>
      </c>
      <c r="EA124" t="s">
        <v>3</v>
      </c>
      <c r="EB124" t="s">
        <v>3</v>
      </c>
      <c r="EC124" t="s">
        <v>3</v>
      </c>
      <c r="EE124">
        <v>51697765</v>
      </c>
      <c r="EF124">
        <v>40</v>
      </c>
      <c r="EG124" t="s">
        <v>166</v>
      </c>
      <c r="EH124">
        <v>0</v>
      </c>
      <c r="EI124" t="s">
        <v>3</v>
      </c>
      <c r="EJ124">
        <v>2</v>
      </c>
      <c r="EK124">
        <v>1726</v>
      </c>
      <c r="EL124" t="s">
        <v>206</v>
      </c>
      <c r="EM124" t="s">
        <v>207</v>
      </c>
      <c r="EO124" t="s">
        <v>169</v>
      </c>
      <c r="EQ124">
        <v>131072</v>
      </c>
      <c r="ER124">
        <v>3397.43</v>
      </c>
      <c r="ES124">
        <v>535.53</v>
      </c>
      <c r="ET124">
        <v>715.67</v>
      </c>
      <c r="EU124">
        <v>61.76</v>
      </c>
      <c r="EV124">
        <v>2146.23</v>
      </c>
      <c r="EW124">
        <v>155.88</v>
      </c>
      <c r="EX124">
        <v>0</v>
      </c>
      <c r="EY124">
        <v>0</v>
      </c>
      <c r="FQ124">
        <v>0</v>
      </c>
      <c r="FR124">
        <v>0</v>
      </c>
      <c r="FS124">
        <v>0</v>
      </c>
      <c r="FX124">
        <v>112</v>
      </c>
      <c r="FY124">
        <v>70</v>
      </c>
      <c r="GA124" t="s">
        <v>3</v>
      </c>
      <c r="GD124">
        <v>0</v>
      </c>
      <c r="GF124">
        <v>957162054</v>
      </c>
      <c r="GG124">
        <v>2</v>
      </c>
      <c r="GH124">
        <v>1</v>
      </c>
      <c r="GI124">
        <v>2</v>
      </c>
      <c r="GJ124">
        <v>0</v>
      </c>
      <c r="GK124">
        <f>ROUND(R124*(S12)/100,2)</f>
        <v>94.42</v>
      </c>
      <c r="GL124">
        <f t="shared" si="102"/>
        <v>0</v>
      </c>
      <c r="GM124">
        <f t="shared" si="103"/>
        <v>5123.59</v>
      </c>
      <c r="GN124">
        <f t="shared" si="104"/>
        <v>0</v>
      </c>
      <c r="GO124">
        <f t="shared" si="105"/>
        <v>5123.59</v>
      </c>
      <c r="GP124">
        <f t="shared" si="106"/>
        <v>0</v>
      </c>
      <c r="GR124">
        <v>0</v>
      </c>
      <c r="GS124">
        <v>3</v>
      </c>
      <c r="GT124">
        <v>0</v>
      </c>
      <c r="GU124" t="s">
        <v>3</v>
      </c>
      <c r="GV124">
        <f t="shared" si="107"/>
        <v>0</v>
      </c>
      <c r="GW124">
        <v>1</v>
      </c>
      <c r="GX124">
        <f t="shared" si="108"/>
        <v>0</v>
      </c>
      <c r="HA124">
        <v>0</v>
      </c>
      <c r="HB124">
        <v>0</v>
      </c>
      <c r="HC124">
        <f t="shared" si="109"/>
        <v>0</v>
      </c>
      <c r="HE124" t="s">
        <v>3</v>
      </c>
      <c r="HF124" t="s">
        <v>3</v>
      </c>
      <c r="HM124" t="s">
        <v>3</v>
      </c>
      <c r="HN124" t="s">
        <v>3</v>
      </c>
      <c r="HO124" t="s">
        <v>3</v>
      </c>
      <c r="HP124" t="s">
        <v>3</v>
      </c>
      <c r="HQ124" t="s">
        <v>3</v>
      </c>
      <c r="HS124">
        <v>0</v>
      </c>
      <c r="IK124">
        <v>0</v>
      </c>
    </row>
    <row r="125" spans="1:255" x14ac:dyDescent="0.2">
      <c r="A125" s="2">
        <v>17</v>
      </c>
      <c r="B125" s="2">
        <v>1</v>
      </c>
      <c r="C125" s="2"/>
      <c r="D125" s="2">
        <f>ROW(EtalonRes!A249)</f>
        <v>249</v>
      </c>
      <c r="E125" s="2" t="s">
        <v>226</v>
      </c>
      <c r="F125" s="2" t="s">
        <v>222</v>
      </c>
      <c r="G125" s="2" t="s">
        <v>223</v>
      </c>
      <c r="H125" s="2" t="s">
        <v>224</v>
      </c>
      <c r="I125" s="2">
        <f>ROUND(6/100,9)</f>
        <v>0.06</v>
      </c>
      <c r="J125" s="2">
        <v>0</v>
      </c>
      <c r="K125" s="2">
        <f>ROUND(6/100,9)</f>
        <v>0.06</v>
      </c>
      <c r="L125" s="2"/>
      <c r="M125" s="2"/>
      <c r="N125" s="2"/>
      <c r="O125" s="2">
        <f t="shared" si="81"/>
        <v>229.89</v>
      </c>
      <c r="P125" s="2">
        <f t="shared" si="82"/>
        <v>32.130000000000003</v>
      </c>
      <c r="Q125" s="2">
        <f t="shared" ref="Q125:Q132" si="111">(ROUND((ROUND((((ET125*1.1))*AV125*I125),2)*BB125),2)+ROUND((ROUND(((AE125-((EU125*1.1)))*AV125*I125),2)*BS125),2))</f>
        <v>49.45</v>
      </c>
      <c r="R125" s="2">
        <f t="shared" si="83"/>
        <v>4.2699999999999996</v>
      </c>
      <c r="S125" s="2">
        <f t="shared" si="84"/>
        <v>148.31</v>
      </c>
      <c r="T125" s="2">
        <f t="shared" si="85"/>
        <v>0</v>
      </c>
      <c r="U125" s="2">
        <f t="shared" si="86"/>
        <v>10.77161976</v>
      </c>
      <c r="V125" s="2">
        <f t="shared" si="87"/>
        <v>0</v>
      </c>
      <c r="W125" s="2">
        <f t="shared" si="88"/>
        <v>0</v>
      </c>
      <c r="X125" s="2">
        <f t="shared" si="89"/>
        <v>166.11</v>
      </c>
      <c r="Y125" s="2">
        <f t="shared" si="90"/>
        <v>103.82</v>
      </c>
      <c r="Z125" s="2"/>
      <c r="AA125" s="2">
        <v>56622523</v>
      </c>
      <c r="AB125" s="2">
        <f t="shared" si="91"/>
        <v>3683.62</v>
      </c>
      <c r="AC125" s="2">
        <f t="shared" ref="AC125:AC132" si="112">ROUND((ES125),6)</f>
        <v>535.53</v>
      </c>
      <c r="AD125" s="2">
        <f t="shared" ref="AD125:AD132" si="113">ROUND(((((ET125*1.1))-((EU125*1.1)))+AE125),6)</f>
        <v>787.23699999999997</v>
      </c>
      <c r="AE125" s="2">
        <f t="shared" ref="AE125:AF132" si="114">ROUND(((EU125*1.1)),6)</f>
        <v>67.936000000000007</v>
      </c>
      <c r="AF125" s="2">
        <f t="shared" si="114"/>
        <v>2360.8530000000001</v>
      </c>
      <c r="AG125" s="2">
        <f t="shared" si="92"/>
        <v>0</v>
      </c>
      <c r="AH125" s="2">
        <f t="shared" ref="AH125:AI132" si="115">((EW125*1.1))</f>
        <v>171.46800000000002</v>
      </c>
      <c r="AI125" s="2">
        <f t="shared" si="115"/>
        <v>0</v>
      </c>
      <c r="AJ125" s="2">
        <f t="shared" si="93"/>
        <v>0</v>
      </c>
      <c r="AK125" s="2">
        <v>3397.43</v>
      </c>
      <c r="AL125" s="2">
        <v>535.53</v>
      </c>
      <c r="AM125" s="2">
        <v>715.67</v>
      </c>
      <c r="AN125" s="2">
        <v>61.76</v>
      </c>
      <c r="AO125" s="2">
        <v>2146.23</v>
      </c>
      <c r="AP125" s="2">
        <v>0</v>
      </c>
      <c r="AQ125" s="2">
        <v>155.88</v>
      </c>
      <c r="AR125" s="2">
        <v>0</v>
      </c>
      <c r="AS125" s="2">
        <v>0</v>
      </c>
      <c r="AT125" s="2">
        <v>112</v>
      </c>
      <c r="AU125" s="2">
        <v>70</v>
      </c>
      <c r="AV125" s="2">
        <v>1.0469999999999999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225</v>
      </c>
      <c r="BK125" s="2"/>
      <c r="BL125" s="2"/>
      <c r="BM125" s="2">
        <v>1726</v>
      </c>
      <c r="BN125" s="2">
        <v>0</v>
      </c>
      <c r="BO125" s="2" t="s">
        <v>3</v>
      </c>
      <c r="BP125" s="2">
        <v>0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112</v>
      </c>
      <c r="CA125" s="2">
        <v>70</v>
      </c>
      <c r="CB125" s="2" t="s">
        <v>3</v>
      </c>
      <c r="CC125" s="2"/>
      <c r="CD125" s="2"/>
      <c r="CE125" s="2">
        <v>30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689</v>
      </c>
      <c r="CO125" s="2">
        <v>0</v>
      </c>
      <c r="CP125" s="2">
        <f t="shared" si="94"/>
        <v>229.89000000000001</v>
      </c>
      <c r="CQ125" s="2">
        <f t="shared" si="95"/>
        <v>535.53</v>
      </c>
      <c r="CR125" s="2">
        <f t="shared" ref="CR125:CR132" si="116">(ROUND((ROUND((((ET125*1.1))*AV125*1),2)*BB125),2)+ROUND((ROUND(((AE125-((EU125*1.1)))*AV125*1),2)*BS125),2))</f>
        <v>824.24</v>
      </c>
      <c r="CS125" s="2">
        <f t="shared" si="96"/>
        <v>71.13</v>
      </c>
      <c r="CT125" s="2">
        <f t="shared" si="97"/>
        <v>2471.81</v>
      </c>
      <c r="CU125" s="2">
        <f t="shared" si="98"/>
        <v>0</v>
      </c>
      <c r="CV125" s="2">
        <f t="shared" si="99"/>
        <v>179.526996</v>
      </c>
      <c r="CW125" s="2">
        <f t="shared" si="100"/>
        <v>0</v>
      </c>
      <c r="CX125" s="2">
        <f t="shared" si="101"/>
        <v>0</v>
      </c>
      <c r="CY125" s="2">
        <f>((S125*BZ125)/100)</f>
        <v>166.10720000000001</v>
      </c>
      <c r="CZ125" s="2">
        <f>((S125*CA125)/100)</f>
        <v>103.81700000000001</v>
      </c>
      <c r="DA125" s="2"/>
      <c r="DB125" s="2"/>
      <c r="DC125" s="2" t="s">
        <v>3</v>
      </c>
      <c r="DD125" s="2" t="s">
        <v>3</v>
      </c>
      <c r="DE125" s="2" t="s">
        <v>22</v>
      </c>
      <c r="DF125" s="2" t="s">
        <v>22</v>
      </c>
      <c r="DG125" s="2" t="s">
        <v>22</v>
      </c>
      <c r="DH125" s="2" t="s">
        <v>3</v>
      </c>
      <c r="DI125" s="2" t="s">
        <v>22</v>
      </c>
      <c r="DJ125" s="2" t="s">
        <v>22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224</v>
      </c>
      <c r="DW125" s="2" t="s">
        <v>224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51697765</v>
      </c>
      <c r="EF125" s="2">
        <v>40</v>
      </c>
      <c r="EG125" s="2" t="s">
        <v>166</v>
      </c>
      <c r="EH125" s="2">
        <v>0</v>
      </c>
      <c r="EI125" s="2" t="s">
        <v>3</v>
      </c>
      <c r="EJ125" s="2">
        <v>2</v>
      </c>
      <c r="EK125" s="2">
        <v>1726</v>
      </c>
      <c r="EL125" s="2" t="s">
        <v>206</v>
      </c>
      <c r="EM125" s="2" t="s">
        <v>207</v>
      </c>
      <c r="EN125" s="2"/>
      <c r="EO125" s="2" t="s">
        <v>26</v>
      </c>
      <c r="EP125" s="2"/>
      <c r="EQ125" s="2">
        <v>131072</v>
      </c>
      <c r="ER125" s="2">
        <v>3397.43</v>
      </c>
      <c r="ES125" s="2">
        <v>535.53</v>
      </c>
      <c r="ET125" s="2">
        <v>715.67</v>
      </c>
      <c r="EU125" s="2">
        <v>61.76</v>
      </c>
      <c r="EV125" s="2">
        <v>2146.23</v>
      </c>
      <c r="EW125" s="2">
        <v>155.88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112</v>
      </c>
      <c r="FY125" s="2">
        <v>70</v>
      </c>
      <c r="FZ125" s="2"/>
      <c r="GA125" s="2" t="s">
        <v>3</v>
      </c>
      <c r="GB125" s="2"/>
      <c r="GC125" s="2"/>
      <c r="GD125" s="2">
        <v>0</v>
      </c>
      <c r="GE125" s="2"/>
      <c r="GF125" s="2">
        <v>957162054</v>
      </c>
      <c r="GG125" s="2">
        <v>2</v>
      </c>
      <c r="GH125" s="2">
        <v>1</v>
      </c>
      <c r="GI125" s="2">
        <v>-2</v>
      </c>
      <c r="GJ125" s="2">
        <v>0</v>
      </c>
      <c r="GK125" s="2">
        <f>ROUND(R125*(R12)/100,2)</f>
        <v>7.47</v>
      </c>
      <c r="GL125" s="2">
        <f t="shared" si="102"/>
        <v>0</v>
      </c>
      <c r="GM125" s="2">
        <f t="shared" si="103"/>
        <v>507.29</v>
      </c>
      <c r="GN125" s="2">
        <f t="shared" si="104"/>
        <v>0</v>
      </c>
      <c r="GO125" s="2">
        <f t="shared" si="105"/>
        <v>507.29</v>
      </c>
      <c r="GP125" s="2">
        <f t="shared" si="106"/>
        <v>0</v>
      </c>
      <c r="GQ125" s="2"/>
      <c r="GR125" s="2">
        <v>0</v>
      </c>
      <c r="GS125" s="2">
        <v>0</v>
      </c>
      <c r="GT125" s="2">
        <v>0</v>
      </c>
      <c r="GU125" s="2" t="s">
        <v>3</v>
      </c>
      <c r="GV125" s="2">
        <f t="shared" si="107"/>
        <v>0</v>
      </c>
      <c r="GW125" s="2">
        <v>1</v>
      </c>
      <c r="GX125" s="2">
        <f t="shared" si="108"/>
        <v>0</v>
      </c>
      <c r="GY125" s="2"/>
      <c r="GZ125" s="2"/>
      <c r="HA125" s="2">
        <v>0</v>
      </c>
      <c r="HB125" s="2">
        <v>0</v>
      </c>
      <c r="HC125" s="2">
        <f t="shared" si="109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>
        <v>17</v>
      </c>
      <c r="B126">
        <v>1</v>
      </c>
      <c r="D126">
        <f>ROW(EtalonRes!A258)</f>
        <v>258</v>
      </c>
      <c r="E126" t="s">
        <v>226</v>
      </c>
      <c r="F126" t="s">
        <v>222</v>
      </c>
      <c r="G126" t="s">
        <v>223</v>
      </c>
      <c r="H126" t="s">
        <v>224</v>
      </c>
      <c r="I126">
        <f>ROUND(6/100,9)</f>
        <v>0.06</v>
      </c>
      <c r="J126">
        <v>0</v>
      </c>
      <c r="K126">
        <f>ROUND(6/100,9)</f>
        <v>0.06</v>
      </c>
      <c r="O126">
        <f t="shared" si="81"/>
        <v>5703.89</v>
      </c>
      <c r="P126">
        <f t="shared" si="82"/>
        <v>238.08</v>
      </c>
      <c r="Q126">
        <f t="shared" si="111"/>
        <v>347.63</v>
      </c>
      <c r="R126">
        <f t="shared" si="83"/>
        <v>147.36000000000001</v>
      </c>
      <c r="S126">
        <f t="shared" si="84"/>
        <v>5118.18</v>
      </c>
      <c r="T126">
        <f t="shared" si="85"/>
        <v>0</v>
      </c>
      <c r="U126">
        <f t="shared" si="86"/>
        <v>10.77161976</v>
      </c>
      <c r="V126">
        <f t="shared" si="87"/>
        <v>0</v>
      </c>
      <c r="W126">
        <f t="shared" si="88"/>
        <v>0</v>
      </c>
      <c r="X126">
        <f t="shared" si="89"/>
        <v>4708.7299999999996</v>
      </c>
      <c r="Y126">
        <f t="shared" si="90"/>
        <v>2200.8200000000002</v>
      </c>
      <c r="AA126">
        <v>56611490</v>
      </c>
      <c r="AB126">
        <f t="shared" si="91"/>
        <v>3683.62</v>
      </c>
      <c r="AC126">
        <f t="shared" si="112"/>
        <v>535.53</v>
      </c>
      <c r="AD126">
        <f t="shared" si="113"/>
        <v>787.23699999999997</v>
      </c>
      <c r="AE126">
        <f t="shared" si="114"/>
        <v>67.936000000000007</v>
      </c>
      <c r="AF126">
        <f t="shared" si="114"/>
        <v>2360.8530000000001</v>
      </c>
      <c r="AG126">
        <f t="shared" si="92"/>
        <v>0</v>
      </c>
      <c r="AH126">
        <f t="shared" si="115"/>
        <v>171.46800000000002</v>
      </c>
      <c r="AI126">
        <f t="shared" si="115"/>
        <v>0</v>
      </c>
      <c r="AJ126">
        <f t="shared" si="93"/>
        <v>0</v>
      </c>
      <c r="AK126">
        <v>3397.43</v>
      </c>
      <c r="AL126">
        <v>535.53</v>
      </c>
      <c r="AM126">
        <v>715.67</v>
      </c>
      <c r="AN126">
        <v>61.76</v>
      </c>
      <c r="AO126">
        <v>2146.23</v>
      </c>
      <c r="AP126">
        <v>0</v>
      </c>
      <c r="AQ126">
        <v>155.88</v>
      </c>
      <c r="AR126">
        <v>0</v>
      </c>
      <c r="AS126">
        <v>0</v>
      </c>
      <c r="AT126">
        <v>92</v>
      </c>
      <c r="AU126">
        <v>43</v>
      </c>
      <c r="AV126">
        <v>1.0469999999999999</v>
      </c>
      <c r="AW126">
        <v>1</v>
      </c>
      <c r="AZ126">
        <v>1</v>
      </c>
      <c r="BA126">
        <v>34.51</v>
      </c>
      <c r="BB126">
        <v>7.03</v>
      </c>
      <c r="BC126">
        <v>7.41</v>
      </c>
      <c r="BD126" t="s">
        <v>3</v>
      </c>
      <c r="BE126" t="s">
        <v>3</v>
      </c>
      <c r="BF126" t="s">
        <v>3</v>
      </c>
      <c r="BG126" t="s">
        <v>3</v>
      </c>
      <c r="BH126">
        <v>0</v>
      </c>
      <c r="BI126">
        <v>2</v>
      </c>
      <c r="BJ126" t="s">
        <v>225</v>
      </c>
      <c r="BM126">
        <v>1726</v>
      </c>
      <c r="BN126">
        <v>0</v>
      </c>
      <c r="BO126" t="s">
        <v>222</v>
      </c>
      <c r="BP126">
        <v>1</v>
      </c>
      <c r="BQ126">
        <v>40</v>
      </c>
      <c r="BR126">
        <v>0</v>
      </c>
      <c r="BS126">
        <v>34.51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92</v>
      </c>
      <c r="CA126">
        <v>43</v>
      </c>
      <c r="CB126" t="s">
        <v>3</v>
      </c>
      <c r="CE126">
        <v>30</v>
      </c>
      <c r="CF126">
        <v>0</v>
      </c>
      <c r="CG126">
        <v>0</v>
      </c>
      <c r="CM126">
        <v>0</v>
      </c>
      <c r="CN126" t="s">
        <v>689</v>
      </c>
      <c r="CO126">
        <v>0</v>
      </c>
      <c r="CP126">
        <f t="shared" si="94"/>
        <v>5703.89</v>
      </c>
      <c r="CQ126">
        <f t="shared" si="95"/>
        <v>3968.28</v>
      </c>
      <c r="CR126">
        <f t="shared" si="116"/>
        <v>5794.41</v>
      </c>
      <c r="CS126">
        <f t="shared" si="96"/>
        <v>2454.6999999999998</v>
      </c>
      <c r="CT126">
        <f t="shared" si="97"/>
        <v>85302.16</v>
      </c>
      <c r="CU126">
        <f t="shared" si="98"/>
        <v>0</v>
      </c>
      <c r="CV126">
        <f t="shared" si="99"/>
        <v>179.526996</v>
      </c>
      <c r="CW126">
        <f t="shared" si="100"/>
        <v>0</v>
      </c>
      <c r="CX126">
        <f t="shared" si="101"/>
        <v>0</v>
      </c>
      <c r="CY126">
        <f>S126*(BZ126/100)</f>
        <v>4708.7256000000007</v>
      </c>
      <c r="CZ126">
        <f>S126*(CA126/100)</f>
        <v>2200.8173999999999</v>
      </c>
      <c r="DC126" t="s">
        <v>3</v>
      </c>
      <c r="DD126" t="s">
        <v>3</v>
      </c>
      <c r="DE126" t="s">
        <v>22</v>
      </c>
      <c r="DF126" t="s">
        <v>22</v>
      </c>
      <c r="DG126" t="s">
        <v>22</v>
      </c>
      <c r="DH126" t="s">
        <v>3</v>
      </c>
      <c r="DI126" t="s">
        <v>22</v>
      </c>
      <c r="DJ126" t="s">
        <v>22</v>
      </c>
      <c r="DK126" t="s">
        <v>3</v>
      </c>
      <c r="DL126" t="s">
        <v>3</v>
      </c>
      <c r="DM126" t="s">
        <v>3</v>
      </c>
      <c r="DN126">
        <v>112</v>
      </c>
      <c r="DO126">
        <v>70</v>
      </c>
      <c r="DP126">
        <v>1.0469999999999999</v>
      </c>
      <c r="DQ126">
        <v>1</v>
      </c>
      <c r="DU126">
        <v>1013</v>
      </c>
      <c r="DV126" t="s">
        <v>224</v>
      </c>
      <c r="DW126" t="s">
        <v>224</v>
      </c>
      <c r="DX126">
        <v>1</v>
      </c>
      <c r="DZ126" t="s">
        <v>3</v>
      </c>
      <c r="EA126" t="s">
        <v>3</v>
      </c>
      <c r="EB126" t="s">
        <v>3</v>
      </c>
      <c r="EC126" t="s">
        <v>3</v>
      </c>
      <c r="EE126">
        <v>51697765</v>
      </c>
      <c r="EF126">
        <v>40</v>
      </c>
      <c r="EG126" t="s">
        <v>166</v>
      </c>
      <c r="EH126">
        <v>0</v>
      </c>
      <c r="EI126" t="s">
        <v>3</v>
      </c>
      <c r="EJ126">
        <v>2</v>
      </c>
      <c r="EK126">
        <v>1726</v>
      </c>
      <c r="EL126" t="s">
        <v>206</v>
      </c>
      <c r="EM126" t="s">
        <v>207</v>
      </c>
      <c r="EO126" t="s">
        <v>26</v>
      </c>
      <c r="EQ126">
        <v>131072</v>
      </c>
      <c r="ER126">
        <v>3397.43</v>
      </c>
      <c r="ES126">
        <v>535.53</v>
      </c>
      <c r="ET126">
        <v>715.67</v>
      </c>
      <c r="EU126">
        <v>61.76</v>
      </c>
      <c r="EV126">
        <v>2146.23</v>
      </c>
      <c r="EW126">
        <v>155.88</v>
      </c>
      <c r="EX126">
        <v>0</v>
      </c>
      <c r="EY126">
        <v>0</v>
      </c>
      <c r="FQ126">
        <v>0</v>
      </c>
      <c r="FR126">
        <v>0</v>
      </c>
      <c r="FS126">
        <v>0</v>
      </c>
      <c r="FX126">
        <v>112</v>
      </c>
      <c r="FY126">
        <v>70</v>
      </c>
      <c r="GA126" t="s">
        <v>3</v>
      </c>
      <c r="GD126">
        <v>0</v>
      </c>
      <c r="GF126">
        <v>957162054</v>
      </c>
      <c r="GG126">
        <v>2</v>
      </c>
      <c r="GH126">
        <v>1</v>
      </c>
      <c r="GI126">
        <v>2</v>
      </c>
      <c r="GJ126">
        <v>0</v>
      </c>
      <c r="GK126">
        <f>ROUND(R126*(S12)/100,2)</f>
        <v>235.78</v>
      </c>
      <c r="GL126">
        <f t="shared" si="102"/>
        <v>0</v>
      </c>
      <c r="GM126">
        <f t="shared" si="103"/>
        <v>12849.22</v>
      </c>
      <c r="GN126">
        <f t="shared" si="104"/>
        <v>0</v>
      </c>
      <c r="GO126">
        <f t="shared" si="105"/>
        <v>12849.22</v>
      </c>
      <c r="GP126">
        <f t="shared" si="106"/>
        <v>0</v>
      </c>
      <c r="GR126">
        <v>0</v>
      </c>
      <c r="GS126">
        <v>3</v>
      </c>
      <c r="GT126">
        <v>0</v>
      </c>
      <c r="GU126" t="s">
        <v>3</v>
      </c>
      <c r="GV126">
        <f t="shared" si="107"/>
        <v>0</v>
      </c>
      <c r="GW126">
        <v>1</v>
      </c>
      <c r="GX126">
        <f t="shared" si="108"/>
        <v>0</v>
      </c>
      <c r="HA126">
        <v>0</v>
      </c>
      <c r="HB126">
        <v>0</v>
      </c>
      <c r="HC126">
        <f t="shared" si="109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HS126">
        <v>0</v>
      </c>
      <c r="IK126">
        <v>0</v>
      </c>
    </row>
    <row r="127" spans="1:255" x14ac:dyDescent="0.2">
      <c r="A127" s="2">
        <v>17</v>
      </c>
      <c r="B127" s="2">
        <v>1</v>
      </c>
      <c r="C127" s="2"/>
      <c r="D127" s="2"/>
      <c r="E127" s="2" t="s">
        <v>227</v>
      </c>
      <c r="F127" s="2" t="s">
        <v>228</v>
      </c>
      <c r="G127" s="2" t="s">
        <v>229</v>
      </c>
      <c r="H127" s="2" t="s">
        <v>194</v>
      </c>
      <c r="I127" s="2">
        <f>ROUND(((I123+I125)*100)*1,9)</f>
        <v>8</v>
      </c>
      <c r="J127" s="2">
        <v>0</v>
      </c>
      <c r="K127" s="2">
        <f>ROUND(((I123+I125)*100)*1,9)</f>
        <v>8</v>
      </c>
      <c r="L127" s="2"/>
      <c r="M127" s="2"/>
      <c r="N127" s="2"/>
      <c r="O127" s="2">
        <f t="shared" si="81"/>
        <v>1229.04</v>
      </c>
      <c r="P127" s="2">
        <f t="shared" si="82"/>
        <v>1229.04</v>
      </c>
      <c r="Q127" s="2">
        <f t="shared" si="111"/>
        <v>0</v>
      </c>
      <c r="R127" s="2">
        <f t="shared" si="83"/>
        <v>0</v>
      </c>
      <c r="S127" s="2">
        <f t="shared" si="84"/>
        <v>0</v>
      </c>
      <c r="T127" s="2">
        <f t="shared" si="85"/>
        <v>0</v>
      </c>
      <c r="U127" s="2">
        <f t="shared" si="86"/>
        <v>0</v>
      </c>
      <c r="V127" s="2">
        <f t="shared" si="87"/>
        <v>0</v>
      </c>
      <c r="W127" s="2">
        <f t="shared" si="88"/>
        <v>0</v>
      </c>
      <c r="X127" s="2">
        <f t="shared" si="89"/>
        <v>0</v>
      </c>
      <c r="Y127" s="2">
        <f t="shared" si="90"/>
        <v>0</v>
      </c>
      <c r="Z127" s="2"/>
      <c r="AA127" s="2">
        <v>56622523</v>
      </c>
      <c r="AB127" s="2">
        <f t="shared" si="91"/>
        <v>153.63</v>
      </c>
      <c r="AC127" s="2">
        <f t="shared" si="112"/>
        <v>153.63</v>
      </c>
      <c r="AD127" s="2">
        <f t="shared" si="113"/>
        <v>0</v>
      </c>
      <c r="AE127" s="2">
        <f t="shared" si="114"/>
        <v>0</v>
      </c>
      <c r="AF127" s="2">
        <f t="shared" si="114"/>
        <v>0</v>
      </c>
      <c r="AG127" s="2">
        <f t="shared" si="92"/>
        <v>0</v>
      </c>
      <c r="AH127" s="2">
        <f t="shared" si="115"/>
        <v>0</v>
      </c>
      <c r="AI127" s="2">
        <f t="shared" si="115"/>
        <v>0</v>
      </c>
      <c r="AJ127" s="2">
        <f t="shared" si="93"/>
        <v>0</v>
      </c>
      <c r="AK127" s="2">
        <v>153.63</v>
      </c>
      <c r="AL127" s="2">
        <v>153.63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2</v>
      </c>
      <c r="BJ127" s="2" t="s">
        <v>230</v>
      </c>
      <c r="BK127" s="2"/>
      <c r="BL127" s="2"/>
      <c r="BM127" s="2">
        <v>1618</v>
      </c>
      <c r="BN127" s="2">
        <v>0</v>
      </c>
      <c r="BO127" s="2" t="s">
        <v>3</v>
      </c>
      <c r="BP127" s="2">
        <v>0</v>
      </c>
      <c r="BQ127" s="2">
        <v>201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0</v>
      </c>
      <c r="CA127" s="2">
        <v>0</v>
      </c>
      <c r="CB127" s="2" t="s">
        <v>3</v>
      </c>
      <c r="CC127" s="2"/>
      <c r="CD127" s="2"/>
      <c r="CE127" s="2">
        <v>30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689</v>
      </c>
      <c r="CO127" s="2">
        <v>0</v>
      </c>
      <c r="CP127" s="2">
        <f t="shared" si="94"/>
        <v>1229.04</v>
      </c>
      <c r="CQ127" s="2">
        <f t="shared" si="95"/>
        <v>153.63</v>
      </c>
      <c r="CR127" s="2">
        <f t="shared" si="116"/>
        <v>0</v>
      </c>
      <c r="CS127" s="2">
        <f t="shared" si="96"/>
        <v>0</v>
      </c>
      <c r="CT127" s="2">
        <f t="shared" si="97"/>
        <v>0</v>
      </c>
      <c r="CU127" s="2">
        <f t="shared" si="98"/>
        <v>0</v>
      </c>
      <c r="CV127" s="2">
        <f t="shared" si="99"/>
        <v>0</v>
      </c>
      <c r="CW127" s="2">
        <f t="shared" si="100"/>
        <v>0</v>
      </c>
      <c r="CX127" s="2">
        <f t="shared" si="101"/>
        <v>0</v>
      </c>
      <c r="CY127" s="2">
        <f>((S127*BZ127)/100)</f>
        <v>0</v>
      </c>
      <c r="CZ127" s="2">
        <f>((S127*CA127)/100)</f>
        <v>0</v>
      </c>
      <c r="DA127" s="2"/>
      <c r="DB127" s="2"/>
      <c r="DC127" s="2" t="s">
        <v>3</v>
      </c>
      <c r="DD127" s="2" t="s">
        <v>3</v>
      </c>
      <c r="DE127" s="2" t="s">
        <v>22</v>
      </c>
      <c r="DF127" s="2" t="s">
        <v>22</v>
      </c>
      <c r="DG127" s="2" t="s">
        <v>22</v>
      </c>
      <c r="DH127" s="2" t="s">
        <v>3</v>
      </c>
      <c r="DI127" s="2" t="s">
        <v>22</v>
      </c>
      <c r="DJ127" s="2" t="s">
        <v>22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194</v>
      </c>
      <c r="DW127" s="2" t="s">
        <v>194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51697657</v>
      </c>
      <c r="EF127" s="2">
        <v>201</v>
      </c>
      <c r="EG127" s="2" t="s">
        <v>180</v>
      </c>
      <c r="EH127" s="2">
        <v>0</v>
      </c>
      <c r="EI127" s="2" t="s">
        <v>3</v>
      </c>
      <c r="EJ127" s="2">
        <v>2</v>
      </c>
      <c r="EK127" s="2">
        <v>1618</v>
      </c>
      <c r="EL127" s="2" t="s">
        <v>181</v>
      </c>
      <c r="EM127" s="2" t="s">
        <v>182</v>
      </c>
      <c r="EN127" s="2"/>
      <c r="EO127" s="2" t="s">
        <v>26</v>
      </c>
      <c r="EP127" s="2"/>
      <c r="EQ127" s="2">
        <v>131072</v>
      </c>
      <c r="ER127" s="2">
        <v>153.63</v>
      </c>
      <c r="ES127" s="2">
        <v>153.63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0</v>
      </c>
      <c r="FY127" s="2">
        <v>0</v>
      </c>
      <c r="FZ127" s="2"/>
      <c r="GA127" s="2" t="s">
        <v>3</v>
      </c>
      <c r="GB127" s="2"/>
      <c r="GC127" s="2"/>
      <c r="GD127" s="2">
        <v>0</v>
      </c>
      <c r="GE127" s="2"/>
      <c r="GF127" s="2">
        <v>1544174678</v>
      </c>
      <c r="GG127" s="2">
        <v>2</v>
      </c>
      <c r="GH127" s="2">
        <v>1</v>
      </c>
      <c r="GI127" s="2">
        <v>-2</v>
      </c>
      <c r="GJ127" s="2">
        <v>0</v>
      </c>
      <c r="GK127" s="2">
        <f>ROUND(R127*(R12)/100,2)</f>
        <v>0</v>
      </c>
      <c r="GL127" s="2">
        <f t="shared" si="102"/>
        <v>0</v>
      </c>
      <c r="GM127" s="2">
        <f t="shared" si="103"/>
        <v>1229.04</v>
      </c>
      <c r="GN127" s="2">
        <f t="shared" si="104"/>
        <v>0</v>
      </c>
      <c r="GO127" s="2">
        <f t="shared" si="105"/>
        <v>1229.04</v>
      </c>
      <c r="GP127" s="2">
        <f t="shared" si="106"/>
        <v>0</v>
      </c>
      <c r="GQ127" s="2"/>
      <c r="GR127" s="2">
        <v>0</v>
      </c>
      <c r="GS127" s="2">
        <v>0</v>
      </c>
      <c r="GT127" s="2">
        <v>0</v>
      </c>
      <c r="GU127" s="2" t="s">
        <v>3</v>
      </c>
      <c r="GV127" s="2">
        <f t="shared" si="107"/>
        <v>0</v>
      </c>
      <c r="GW127" s="2">
        <v>1</v>
      </c>
      <c r="GX127" s="2">
        <f t="shared" si="108"/>
        <v>0</v>
      </c>
      <c r="GY127" s="2"/>
      <c r="GZ127" s="2"/>
      <c r="HA127" s="2">
        <v>0</v>
      </c>
      <c r="HB127" s="2">
        <v>0</v>
      </c>
      <c r="HC127" s="2">
        <f t="shared" si="109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>
        <v>17</v>
      </c>
      <c r="B128">
        <v>1</v>
      </c>
      <c r="E128" t="s">
        <v>227</v>
      </c>
      <c r="F128" t="s">
        <v>228</v>
      </c>
      <c r="G128" t="s">
        <v>229</v>
      </c>
      <c r="H128" t="s">
        <v>194</v>
      </c>
      <c r="I128">
        <f>ROUND(((I124+I126)*100)*1,9)</f>
        <v>8</v>
      </c>
      <c r="J128">
        <v>0</v>
      </c>
      <c r="K128">
        <f>ROUND(((I124+I126)*100)*1,9)</f>
        <v>8</v>
      </c>
      <c r="O128">
        <f t="shared" si="81"/>
        <v>2593.27</v>
      </c>
      <c r="P128">
        <f t="shared" si="82"/>
        <v>2593.27</v>
      </c>
      <c r="Q128">
        <f t="shared" si="111"/>
        <v>0</v>
      </c>
      <c r="R128">
        <f t="shared" si="83"/>
        <v>0</v>
      </c>
      <c r="S128">
        <f t="shared" si="84"/>
        <v>0</v>
      </c>
      <c r="T128">
        <f t="shared" si="85"/>
        <v>0</v>
      </c>
      <c r="U128">
        <f t="shared" si="86"/>
        <v>0</v>
      </c>
      <c r="V128">
        <f t="shared" si="87"/>
        <v>0</v>
      </c>
      <c r="W128">
        <f t="shared" si="88"/>
        <v>0</v>
      </c>
      <c r="X128">
        <f t="shared" si="89"/>
        <v>0</v>
      </c>
      <c r="Y128">
        <f t="shared" si="90"/>
        <v>0</v>
      </c>
      <c r="AA128">
        <v>56611490</v>
      </c>
      <c r="AB128">
        <f t="shared" si="91"/>
        <v>153.63</v>
      </c>
      <c r="AC128">
        <f t="shared" si="112"/>
        <v>153.63</v>
      </c>
      <c r="AD128">
        <f t="shared" si="113"/>
        <v>0</v>
      </c>
      <c r="AE128">
        <f t="shared" si="114"/>
        <v>0</v>
      </c>
      <c r="AF128">
        <f t="shared" si="114"/>
        <v>0</v>
      </c>
      <c r="AG128">
        <f t="shared" si="92"/>
        <v>0</v>
      </c>
      <c r="AH128">
        <f t="shared" si="115"/>
        <v>0</v>
      </c>
      <c r="AI128">
        <f t="shared" si="115"/>
        <v>0</v>
      </c>
      <c r="AJ128">
        <f t="shared" si="93"/>
        <v>0</v>
      </c>
      <c r="AK128">
        <v>153.63</v>
      </c>
      <c r="AL128">
        <v>153.63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1</v>
      </c>
      <c r="AZ128">
        <v>1</v>
      </c>
      <c r="BA128">
        <v>1</v>
      </c>
      <c r="BB128">
        <v>1</v>
      </c>
      <c r="BC128">
        <v>2.11</v>
      </c>
      <c r="BD128" t="s">
        <v>3</v>
      </c>
      <c r="BE128" t="s">
        <v>3</v>
      </c>
      <c r="BF128" t="s">
        <v>3</v>
      </c>
      <c r="BG128" t="s">
        <v>3</v>
      </c>
      <c r="BH128">
        <v>3</v>
      </c>
      <c r="BI128">
        <v>2</v>
      </c>
      <c r="BJ128" t="s">
        <v>230</v>
      </c>
      <c r="BM128">
        <v>1618</v>
      </c>
      <c r="BN128">
        <v>0</v>
      </c>
      <c r="BO128" t="s">
        <v>228</v>
      </c>
      <c r="BP128">
        <v>1</v>
      </c>
      <c r="BQ128">
        <v>201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0</v>
      </c>
      <c r="CA128">
        <v>0</v>
      </c>
      <c r="CB128" t="s">
        <v>3</v>
      </c>
      <c r="CE128">
        <v>30</v>
      </c>
      <c r="CF128">
        <v>0</v>
      </c>
      <c r="CG128">
        <v>0</v>
      </c>
      <c r="CM128">
        <v>0</v>
      </c>
      <c r="CN128" t="s">
        <v>689</v>
      </c>
      <c r="CO128">
        <v>0</v>
      </c>
      <c r="CP128">
        <f t="shared" si="94"/>
        <v>2593.27</v>
      </c>
      <c r="CQ128">
        <f t="shared" si="95"/>
        <v>324.16000000000003</v>
      </c>
      <c r="CR128">
        <f t="shared" si="116"/>
        <v>0</v>
      </c>
      <c r="CS128">
        <f t="shared" si="96"/>
        <v>0</v>
      </c>
      <c r="CT128">
        <f t="shared" si="97"/>
        <v>0</v>
      </c>
      <c r="CU128">
        <f t="shared" si="98"/>
        <v>0</v>
      </c>
      <c r="CV128">
        <f t="shared" si="99"/>
        <v>0</v>
      </c>
      <c r="CW128">
        <f t="shared" si="100"/>
        <v>0</v>
      </c>
      <c r="CX128">
        <f t="shared" si="101"/>
        <v>0</v>
      </c>
      <c r="CY128">
        <f>S128*(BZ128/100)</f>
        <v>0</v>
      </c>
      <c r="CZ128">
        <f>S128*(CA128/100)</f>
        <v>0</v>
      </c>
      <c r="DC128" t="s">
        <v>3</v>
      </c>
      <c r="DD128" t="s">
        <v>3</v>
      </c>
      <c r="DE128" t="s">
        <v>22</v>
      </c>
      <c r="DF128" t="s">
        <v>22</v>
      </c>
      <c r="DG128" t="s">
        <v>22</v>
      </c>
      <c r="DH128" t="s">
        <v>3</v>
      </c>
      <c r="DI128" t="s">
        <v>22</v>
      </c>
      <c r="DJ128" t="s">
        <v>22</v>
      </c>
      <c r="DK128" t="s">
        <v>3</v>
      </c>
      <c r="DL128" t="s">
        <v>3</v>
      </c>
      <c r="DM128" t="s">
        <v>3</v>
      </c>
      <c r="DN128">
        <v>0</v>
      </c>
      <c r="DO128">
        <v>0</v>
      </c>
      <c r="DP128">
        <v>1</v>
      </c>
      <c r="DQ128">
        <v>1</v>
      </c>
      <c r="DU128">
        <v>1013</v>
      </c>
      <c r="DV128" t="s">
        <v>194</v>
      </c>
      <c r="DW128" t="s">
        <v>194</v>
      </c>
      <c r="DX128">
        <v>1</v>
      </c>
      <c r="DZ128" t="s">
        <v>3</v>
      </c>
      <c r="EA128" t="s">
        <v>3</v>
      </c>
      <c r="EB128" t="s">
        <v>3</v>
      </c>
      <c r="EC128" t="s">
        <v>3</v>
      </c>
      <c r="EE128">
        <v>51697657</v>
      </c>
      <c r="EF128">
        <v>201</v>
      </c>
      <c r="EG128" t="s">
        <v>180</v>
      </c>
      <c r="EH128">
        <v>0</v>
      </c>
      <c r="EI128" t="s">
        <v>3</v>
      </c>
      <c r="EJ128">
        <v>2</v>
      </c>
      <c r="EK128">
        <v>1618</v>
      </c>
      <c r="EL128" t="s">
        <v>181</v>
      </c>
      <c r="EM128" t="s">
        <v>182</v>
      </c>
      <c r="EO128" t="s">
        <v>26</v>
      </c>
      <c r="EQ128">
        <v>131072</v>
      </c>
      <c r="ER128">
        <v>153.63</v>
      </c>
      <c r="ES128">
        <v>153.63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FQ128">
        <v>0</v>
      </c>
      <c r="FR128">
        <v>0</v>
      </c>
      <c r="FS128">
        <v>0</v>
      </c>
      <c r="FX128">
        <v>0</v>
      </c>
      <c r="FY128">
        <v>0</v>
      </c>
      <c r="GA128" t="s">
        <v>3</v>
      </c>
      <c r="GD128">
        <v>0</v>
      </c>
      <c r="GF128">
        <v>1544174678</v>
      </c>
      <c r="GG128">
        <v>2</v>
      </c>
      <c r="GH128">
        <v>1</v>
      </c>
      <c r="GI128">
        <v>2</v>
      </c>
      <c r="GJ128">
        <v>0</v>
      </c>
      <c r="GK128">
        <f>ROUND(R128*(S12)/100,2)</f>
        <v>0</v>
      </c>
      <c r="GL128">
        <f t="shared" si="102"/>
        <v>0</v>
      </c>
      <c r="GM128">
        <f t="shared" si="103"/>
        <v>2593.27</v>
      </c>
      <c r="GN128">
        <f t="shared" si="104"/>
        <v>0</v>
      </c>
      <c r="GO128">
        <f t="shared" si="105"/>
        <v>2593.27</v>
      </c>
      <c r="GP128">
        <f t="shared" si="106"/>
        <v>0</v>
      </c>
      <c r="GR128">
        <v>0</v>
      </c>
      <c r="GS128">
        <v>3</v>
      </c>
      <c r="GT128">
        <v>0</v>
      </c>
      <c r="GU128" t="s">
        <v>3</v>
      </c>
      <c r="GV128">
        <f t="shared" si="107"/>
        <v>0</v>
      </c>
      <c r="GW128">
        <v>1</v>
      </c>
      <c r="GX128">
        <f t="shared" si="108"/>
        <v>0</v>
      </c>
      <c r="HA128">
        <v>0</v>
      </c>
      <c r="HB128">
        <v>0</v>
      </c>
      <c r="HC128">
        <f t="shared" si="109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29" spans="1:255" x14ac:dyDescent="0.2">
      <c r="A129" s="2">
        <v>17</v>
      </c>
      <c r="B129" s="2">
        <v>1</v>
      </c>
      <c r="C129" s="2"/>
      <c r="D129" s="2">
        <f>ROW(EtalonRes!A264)</f>
        <v>264</v>
      </c>
      <c r="E129" s="2" t="s">
        <v>231</v>
      </c>
      <c r="F129" s="2" t="s">
        <v>232</v>
      </c>
      <c r="G129" s="2" t="s">
        <v>233</v>
      </c>
      <c r="H129" s="2" t="s">
        <v>234</v>
      </c>
      <c r="I129" s="2">
        <v>0</v>
      </c>
      <c r="J129" s="2">
        <v>0</v>
      </c>
      <c r="K129" s="2">
        <v>0</v>
      </c>
      <c r="L129" s="2"/>
      <c r="M129" s="2"/>
      <c r="N129" s="2"/>
      <c r="O129" s="2">
        <f t="shared" si="81"/>
        <v>0</v>
      </c>
      <c r="P129" s="2">
        <f t="shared" si="82"/>
        <v>0</v>
      </c>
      <c r="Q129" s="2">
        <f t="shared" si="111"/>
        <v>0</v>
      </c>
      <c r="R129" s="2">
        <f t="shared" si="83"/>
        <v>0</v>
      </c>
      <c r="S129" s="2">
        <f t="shared" si="84"/>
        <v>0</v>
      </c>
      <c r="T129" s="2">
        <f t="shared" si="85"/>
        <v>0</v>
      </c>
      <c r="U129" s="2">
        <f t="shared" si="86"/>
        <v>0</v>
      </c>
      <c r="V129" s="2">
        <f t="shared" si="87"/>
        <v>0</v>
      </c>
      <c r="W129" s="2">
        <f t="shared" si="88"/>
        <v>0</v>
      </c>
      <c r="X129" s="2">
        <f t="shared" si="89"/>
        <v>0</v>
      </c>
      <c r="Y129" s="2">
        <f t="shared" si="90"/>
        <v>0</v>
      </c>
      <c r="Z129" s="2"/>
      <c r="AA129" s="2">
        <v>56622523</v>
      </c>
      <c r="AB129" s="2">
        <f t="shared" si="91"/>
        <v>49.177999999999997</v>
      </c>
      <c r="AC129" s="2">
        <f t="shared" si="112"/>
        <v>14.99</v>
      </c>
      <c r="AD129" s="2">
        <f t="shared" si="113"/>
        <v>4.3449999999999998</v>
      </c>
      <c r="AE129" s="2">
        <f t="shared" si="114"/>
        <v>0.78100000000000003</v>
      </c>
      <c r="AF129" s="2">
        <f t="shared" si="114"/>
        <v>29.843</v>
      </c>
      <c r="AG129" s="2">
        <f t="shared" si="92"/>
        <v>0</v>
      </c>
      <c r="AH129" s="2">
        <f t="shared" si="115"/>
        <v>2.3650000000000002</v>
      </c>
      <c r="AI129" s="2">
        <f t="shared" si="115"/>
        <v>0</v>
      </c>
      <c r="AJ129" s="2">
        <f t="shared" si="93"/>
        <v>0</v>
      </c>
      <c r="AK129" s="2">
        <v>46.07</v>
      </c>
      <c r="AL129" s="2">
        <v>14.99</v>
      </c>
      <c r="AM129" s="2">
        <v>3.95</v>
      </c>
      <c r="AN129" s="2">
        <v>0.71</v>
      </c>
      <c r="AO129" s="2">
        <v>27.13</v>
      </c>
      <c r="AP129" s="2">
        <v>0</v>
      </c>
      <c r="AQ129" s="2">
        <v>2.15</v>
      </c>
      <c r="AR129" s="2">
        <v>0</v>
      </c>
      <c r="AS129" s="2">
        <v>0</v>
      </c>
      <c r="AT129" s="2">
        <v>112</v>
      </c>
      <c r="AU129" s="2">
        <v>70</v>
      </c>
      <c r="AV129" s="2">
        <v>1.0469999999999999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0</v>
      </c>
      <c r="BI129" s="2">
        <v>2</v>
      </c>
      <c r="BJ129" s="2" t="s">
        <v>235</v>
      </c>
      <c r="BK129" s="2"/>
      <c r="BL129" s="2"/>
      <c r="BM129" s="2">
        <v>317</v>
      </c>
      <c r="BN129" s="2">
        <v>0</v>
      </c>
      <c r="BO129" s="2" t="s">
        <v>3</v>
      </c>
      <c r="BP129" s="2">
        <v>0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112</v>
      </c>
      <c r="CA129" s="2">
        <v>70</v>
      </c>
      <c r="CB129" s="2" t="s">
        <v>3</v>
      </c>
      <c r="CC129" s="2"/>
      <c r="CD129" s="2"/>
      <c r="CE129" s="2">
        <v>30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689</v>
      </c>
      <c r="CO129" s="2">
        <v>0</v>
      </c>
      <c r="CP129" s="2">
        <f t="shared" si="94"/>
        <v>0</v>
      </c>
      <c r="CQ129" s="2">
        <f t="shared" si="95"/>
        <v>14.99</v>
      </c>
      <c r="CR129" s="2">
        <f t="shared" si="116"/>
        <v>4.55</v>
      </c>
      <c r="CS129" s="2">
        <f t="shared" si="96"/>
        <v>0.82</v>
      </c>
      <c r="CT129" s="2">
        <f t="shared" si="97"/>
        <v>31.25</v>
      </c>
      <c r="CU129" s="2">
        <f t="shared" si="98"/>
        <v>0</v>
      </c>
      <c r="CV129" s="2">
        <f t="shared" si="99"/>
        <v>2.4761549999999999</v>
      </c>
      <c r="CW129" s="2">
        <f t="shared" si="100"/>
        <v>0</v>
      </c>
      <c r="CX129" s="2">
        <f t="shared" si="101"/>
        <v>0</v>
      </c>
      <c r="CY129" s="2">
        <f>((S129*BZ129)/100)</f>
        <v>0</v>
      </c>
      <c r="CZ129" s="2">
        <f>((S129*CA129)/100)</f>
        <v>0</v>
      </c>
      <c r="DA129" s="2"/>
      <c r="DB129" s="2"/>
      <c r="DC129" s="2" t="s">
        <v>3</v>
      </c>
      <c r="DD129" s="2" t="s">
        <v>3</v>
      </c>
      <c r="DE129" s="2" t="s">
        <v>22</v>
      </c>
      <c r="DF129" s="2" t="s">
        <v>22</v>
      </c>
      <c r="DG129" s="2" t="s">
        <v>22</v>
      </c>
      <c r="DH129" s="2" t="s">
        <v>3</v>
      </c>
      <c r="DI129" s="2" t="s">
        <v>22</v>
      </c>
      <c r="DJ129" s="2" t="s">
        <v>22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234</v>
      </c>
      <c r="DW129" s="2" t="s">
        <v>234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51696356</v>
      </c>
      <c r="EF129" s="2">
        <v>40</v>
      </c>
      <c r="EG129" s="2" t="s">
        <v>166</v>
      </c>
      <c r="EH129" s="2">
        <v>0</v>
      </c>
      <c r="EI129" s="2" t="s">
        <v>3</v>
      </c>
      <c r="EJ129" s="2">
        <v>2</v>
      </c>
      <c r="EK129" s="2">
        <v>317</v>
      </c>
      <c r="EL129" s="2" t="s">
        <v>236</v>
      </c>
      <c r="EM129" s="2" t="s">
        <v>237</v>
      </c>
      <c r="EN129" s="2"/>
      <c r="EO129" s="2" t="s">
        <v>26</v>
      </c>
      <c r="EP129" s="2"/>
      <c r="EQ129" s="2">
        <v>131072</v>
      </c>
      <c r="ER129" s="2">
        <v>46.07</v>
      </c>
      <c r="ES129" s="2">
        <v>14.99</v>
      </c>
      <c r="ET129" s="2">
        <v>3.95</v>
      </c>
      <c r="EU129" s="2">
        <v>0.71</v>
      </c>
      <c r="EV129" s="2">
        <v>27.13</v>
      </c>
      <c r="EW129" s="2">
        <v>2.15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112</v>
      </c>
      <c r="FY129" s="2">
        <v>70</v>
      </c>
      <c r="FZ129" s="2"/>
      <c r="GA129" s="2" t="s">
        <v>3</v>
      </c>
      <c r="GB129" s="2"/>
      <c r="GC129" s="2"/>
      <c r="GD129" s="2">
        <v>0</v>
      </c>
      <c r="GE129" s="2"/>
      <c r="GF129" s="2">
        <v>1002507892</v>
      </c>
      <c r="GG129" s="2">
        <v>2</v>
      </c>
      <c r="GH129" s="2">
        <v>1</v>
      </c>
      <c r="GI129" s="2">
        <v>-2</v>
      </c>
      <c r="GJ129" s="2">
        <v>0</v>
      </c>
      <c r="GK129" s="2">
        <f>ROUND(R129*(R12)/100,2)</f>
        <v>0</v>
      </c>
      <c r="GL129" s="2">
        <f t="shared" si="102"/>
        <v>0</v>
      </c>
      <c r="GM129" s="2">
        <f t="shared" si="103"/>
        <v>0</v>
      </c>
      <c r="GN129" s="2">
        <f t="shared" si="104"/>
        <v>0</v>
      </c>
      <c r="GO129" s="2">
        <f t="shared" si="105"/>
        <v>0</v>
      </c>
      <c r="GP129" s="2">
        <f t="shared" si="106"/>
        <v>0</v>
      </c>
      <c r="GQ129" s="2"/>
      <c r="GR129" s="2">
        <v>0</v>
      </c>
      <c r="GS129" s="2">
        <v>0</v>
      </c>
      <c r="GT129" s="2">
        <v>0</v>
      </c>
      <c r="GU129" s="2" t="s">
        <v>3</v>
      </c>
      <c r="GV129" s="2">
        <f t="shared" si="107"/>
        <v>0</v>
      </c>
      <c r="GW129" s="2">
        <v>1</v>
      </c>
      <c r="GX129" s="2">
        <f t="shared" si="108"/>
        <v>0</v>
      </c>
      <c r="GY129" s="2"/>
      <c r="GZ129" s="2"/>
      <c r="HA129" s="2">
        <v>0</v>
      </c>
      <c r="HB129" s="2">
        <v>0</v>
      </c>
      <c r="HC129" s="2">
        <f t="shared" si="109"/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>
        <v>17</v>
      </c>
      <c r="B130">
        <v>1</v>
      </c>
      <c r="D130">
        <f>ROW(EtalonRes!A270)</f>
        <v>270</v>
      </c>
      <c r="E130" t="s">
        <v>231</v>
      </c>
      <c r="F130" t="s">
        <v>232</v>
      </c>
      <c r="G130" t="s">
        <v>233</v>
      </c>
      <c r="H130" t="s">
        <v>234</v>
      </c>
      <c r="I130">
        <v>0</v>
      </c>
      <c r="J130">
        <v>0</v>
      </c>
      <c r="K130">
        <v>0</v>
      </c>
      <c r="O130">
        <f t="shared" si="81"/>
        <v>0</v>
      </c>
      <c r="P130">
        <f t="shared" si="82"/>
        <v>0</v>
      </c>
      <c r="Q130">
        <f t="shared" si="111"/>
        <v>0</v>
      </c>
      <c r="R130">
        <f t="shared" si="83"/>
        <v>0</v>
      </c>
      <c r="S130">
        <f t="shared" si="84"/>
        <v>0</v>
      </c>
      <c r="T130">
        <f t="shared" si="85"/>
        <v>0</v>
      </c>
      <c r="U130">
        <f t="shared" si="86"/>
        <v>0</v>
      </c>
      <c r="V130">
        <f t="shared" si="87"/>
        <v>0</v>
      </c>
      <c r="W130">
        <f t="shared" si="88"/>
        <v>0</v>
      </c>
      <c r="X130">
        <f t="shared" si="89"/>
        <v>0</v>
      </c>
      <c r="Y130">
        <f t="shared" si="90"/>
        <v>0</v>
      </c>
      <c r="AA130">
        <v>56611490</v>
      </c>
      <c r="AB130">
        <f t="shared" si="91"/>
        <v>49.177999999999997</v>
      </c>
      <c r="AC130">
        <f t="shared" si="112"/>
        <v>14.99</v>
      </c>
      <c r="AD130">
        <f t="shared" si="113"/>
        <v>4.3449999999999998</v>
      </c>
      <c r="AE130">
        <f t="shared" si="114"/>
        <v>0.78100000000000003</v>
      </c>
      <c r="AF130">
        <f t="shared" si="114"/>
        <v>29.843</v>
      </c>
      <c r="AG130">
        <f t="shared" si="92"/>
        <v>0</v>
      </c>
      <c r="AH130">
        <f t="shared" si="115"/>
        <v>2.3650000000000002</v>
      </c>
      <c r="AI130">
        <f t="shared" si="115"/>
        <v>0</v>
      </c>
      <c r="AJ130">
        <f t="shared" si="93"/>
        <v>0</v>
      </c>
      <c r="AK130">
        <v>46.07</v>
      </c>
      <c r="AL130">
        <v>14.99</v>
      </c>
      <c r="AM130">
        <v>3.95</v>
      </c>
      <c r="AN130">
        <v>0.71</v>
      </c>
      <c r="AO130">
        <v>27.13</v>
      </c>
      <c r="AP130">
        <v>0</v>
      </c>
      <c r="AQ130">
        <v>2.15</v>
      </c>
      <c r="AR130">
        <v>0</v>
      </c>
      <c r="AS130">
        <v>0</v>
      </c>
      <c r="AT130">
        <v>92</v>
      </c>
      <c r="AU130">
        <v>43</v>
      </c>
      <c r="AV130">
        <v>1.0469999999999999</v>
      </c>
      <c r="AW130">
        <v>1</v>
      </c>
      <c r="AZ130">
        <v>1</v>
      </c>
      <c r="BA130">
        <v>34.51</v>
      </c>
      <c r="BB130">
        <v>13.57</v>
      </c>
      <c r="BC130">
        <v>8.0500000000000007</v>
      </c>
      <c r="BD130" t="s">
        <v>3</v>
      </c>
      <c r="BE130" t="s">
        <v>3</v>
      </c>
      <c r="BF130" t="s">
        <v>3</v>
      </c>
      <c r="BG130" t="s">
        <v>3</v>
      </c>
      <c r="BH130">
        <v>0</v>
      </c>
      <c r="BI130">
        <v>2</v>
      </c>
      <c r="BJ130" t="s">
        <v>235</v>
      </c>
      <c r="BM130">
        <v>317</v>
      </c>
      <c r="BN130">
        <v>0</v>
      </c>
      <c r="BO130" t="s">
        <v>232</v>
      </c>
      <c r="BP130">
        <v>1</v>
      </c>
      <c r="BQ130">
        <v>40</v>
      </c>
      <c r="BR130">
        <v>0</v>
      </c>
      <c r="BS130">
        <v>34.51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92</v>
      </c>
      <c r="CA130">
        <v>43</v>
      </c>
      <c r="CB130" t="s">
        <v>3</v>
      </c>
      <c r="CE130">
        <v>30</v>
      </c>
      <c r="CF130">
        <v>0</v>
      </c>
      <c r="CG130">
        <v>0</v>
      </c>
      <c r="CM130">
        <v>0</v>
      </c>
      <c r="CN130" t="s">
        <v>689</v>
      </c>
      <c r="CO130">
        <v>0</v>
      </c>
      <c r="CP130">
        <f t="shared" si="94"/>
        <v>0</v>
      </c>
      <c r="CQ130">
        <f t="shared" si="95"/>
        <v>120.67</v>
      </c>
      <c r="CR130">
        <f t="shared" si="116"/>
        <v>61.74</v>
      </c>
      <c r="CS130">
        <f t="shared" si="96"/>
        <v>28.3</v>
      </c>
      <c r="CT130">
        <f t="shared" si="97"/>
        <v>1078.44</v>
      </c>
      <c r="CU130">
        <f t="shared" si="98"/>
        <v>0</v>
      </c>
      <c r="CV130">
        <f t="shared" si="99"/>
        <v>2.4761549999999999</v>
      </c>
      <c r="CW130">
        <f t="shared" si="100"/>
        <v>0</v>
      </c>
      <c r="CX130">
        <f t="shared" si="101"/>
        <v>0</v>
      </c>
      <c r="CY130">
        <f>S130*(BZ130/100)</f>
        <v>0</v>
      </c>
      <c r="CZ130">
        <f>S130*(CA130/100)</f>
        <v>0</v>
      </c>
      <c r="DC130" t="s">
        <v>3</v>
      </c>
      <c r="DD130" t="s">
        <v>3</v>
      </c>
      <c r="DE130" t="s">
        <v>22</v>
      </c>
      <c r="DF130" t="s">
        <v>22</v>
      </c>
      <c r="DG130" t="s">
        <v>22</v>
      </c>
      <c r="DH130" t="s">
        <v>3</v>
      </c>
      <c r="DI130" t="s">
        <v>22</v>
      </c>
      <c r="DJ130" t="s">
        <v>22</v>
      </c>
      <c r="DK130" t="s">
        <v>3</v>
      </c>
      <c r="DL130" t="s">
        <v>3</v>
      </c>
      <c r="DM130" t="s">
        <v>3</v>
      </c>
      <c r="DN130">
        <v>112</v>
      </c>
      <c r="DO130">
        <v>70</v>
      </c>
      <c r="DP130">
        <v>1.0469999999999999</v>
      </c>
      <c r="DQ130">
        <v>1</v>
      </c>
      <c r="DU130">
        <v>1013</v>
      </c>
      <c r="DV130" t="s">
        <v>234</v>
      </c>
      <c r="DW130" t="s">
        <v>234</v>
      </c>
      <c r="DX130">
        <v>1</v>
      </c>
      <c r="DZ130" t="s">
        <v>3</v>
      </c>
      <c r="EA130" t="s">
        <v>3</v>
      </c>
      <c r="EB130" t="s">
        <v>3</v>
      </c>
      <c r="EC130" t="s">
        <v>3</v>
      </c>
      <c r="EE130">
        <v>51696356</v>
      </c>
      <c r="EF130">
        <v>40</v>
      </c>
      <c r="EG130" t="s">
        <v>166</v>
      </c>
      <c r="EH130">
        <v>0</v>
      </c>
      <c r="EI130" t="s">
        <v>3</v>
      </c>
      <c r="EJ130">
        <v>2</v>
      </c>
      <c r="EK130">
        <v>317</v>
      </c>
      <c r="EL130" t="s">
        <v>236</v>
      </c>
      <c r="EM130" t="s">
        <v>237</v>
      </c>
      <c r="EO130" t="s">
        <v>26</v>
      </c>
      <c r="EQ130">
        <v>131072</v>
      </c>
      <c r="ER130">
        <v>46.07</v>
      </c>
      <c r="ES130">
        <v>14.99</v>
      </c>
      <c r="ET130">
        <v>3.95</v>
      </c>
      <c r="EU130">
        <v>0.71</v>
      </c>
      <c r="EV130">
        <v>27.13</v>
      </c>
      <c r="EW130">
        <v>2.15</v>
      </c>
      <c r="EX130">
        <v>0</v>
      </c>
      <c r="EY130">
        <v>0</v>
      </c>
      <c r="FQ130">
        <v>0</v>
      </c>
      <c r="FR130">
        <v>0</v>
      </c>
      <c r="FS130">
        <v>0</v>
      </c>
      <c r="FX130">
        <v>112</v>
      </c>
      <c r="FY130">
        <v>70</v>
      </c>
      <c r="GA130" t="s">
        <v>3</v>
      </c>
      <c r="GD130">
        <v>0</v>
      </c>
      <c r="GF130">
        <v>1002507892</v>
      </c>
      <c r="GG130">
        <v>2</v>
      </c>
      <c r="GH130">
        <v>1</v>
      </c>
      <c r="GI130">
        <v>2</v>
      </c>
      <c r="GJ130">
        <v>0</v>
      </c>
      <c r="GK130">
        <f>ROUND(R130*(S12)/100,2)</f>
        <v>0</v>
      </c>
      <c r="GL130">
        <f t="shared" si="102"/>
        <v>0</v>
      </c>
      <c r="GM130">
        <f t="shared" si="103"/>
        <v>0</v>
      </c>
      <c r="GN130">
        <f t="shared" si="104"/>
        <v>0</v>
      </c>
      <c r="GO130">
        <f t="shared" si="105"/>
        <v>0</v>
      </c>
      <c r="GP130">
        <f t="shared" si="106"/>
        <v>0</v>
      </c>
      <c r="GR130">
        <v>0</v>
      </c>
      <c r="GS130">
        <v>3</v>
      </c>
      <c r="GT130">
        <v>0</v>
      </c>
      <c r="GU130" t="s">
        <v>3</v>
      </c>
      <c r="GV130">
        <f t="shared" si="107"/>
        <v>0</v>
      </c>
      <c r="GW130">
        <v>1</v>
      </c>
      <c r="GX130">
        <f t="shared" si="108"/>
        <v>0</v>
      </c>
      <c r="HA130">
        <v>0</v>
      </c>
      <c r="HB130">
        <v>0</v>
      </c>
      <c r="HC130">
        <f t="shared" si="109"/>
        <v>0</v>
      </c>
      <c r="HE130" t="s">
        <v>3</v>
      </c>
      <c r="HF130" t="s">
        <v>3</v>
      </c>
      <c r="HM130" t="s">
        <v>3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2">
      <c r="A131" s="2">
        <v>17</v>
      </c>
      <c r="B131" s="2">
        <v>1</v>
      </c>
      <c r="C131" s="2"/>
      <c r="D131" s="2"/>
      <c r="E131" s="2" t="s">
        <v>238</v>
      </c>
      <c r="F131" s="2" t="s">
        <v>81</v>
      </c>
      <c r="G131" s="2" t="s">
        <v>239</v>
      </c>
      <c r="H131" s="2" t="s">
        <v>240</v>
      </c>
      <c r="I131" s="2">
        <v>0</v>
      </c>
      <c r="J131" s="2">
        <v>0</v>
      </c>
      <c r="K131" s="2">
        <v>0</v>
      </c>
      <c r="L131" s="2"/>
      <c r="M131" s="2"/>
      <c r="N131" s="2"/>
      <c r="O131" s="2">
        <f t="shared" si="81"/>
        <v>0</v>
      </c>
      <c r="P131" s="2">
        <f t="shared" si="82"/>
        <v>0</v>
      </c>
      <c r="Q131" s="2">
        <f t="shared" si="111"/>
        <v>0</v>
      </c>
      <c r="R131" s="2">
        <f t="shared" si="83"/>
        <v>0</v>
      </c>
      <c r="S131" s="2">
        <f t="shared" si="84"/>
        <v>0</v>
      </c>
      <c r="T131" s="2">
        <f t="shared" si="85"/>
        <v>0</v>
      </c>
      <c r="U131" s="2">
        <f t="shared" si="86"/>
        <v>0</v>
      </c>
      <c r="V131" s="2">
        <f t="shared" si="87"/>
        <v>0</v>
      </c>
      <c r="W131" s="2">
        <f t="shared" si="88"/>
        <v>0</v>
      </c>
      <c r="X131" s="2">
        <f t="shared" si="89"/>
        <v>0</v>
      </c>
      <c r="Y131" s="2">
        <f t="shared" si="90"/>
        <v>0</v>
      </c>
      <c r="Z131" s="2"/>
      <c r="AA131" s="2">
        <v>56622523</v>
      </c>
      <c r="AB131" s="2">
        <f t="shared" si="91"/>
        <v>2116.1799999999998</v>
      </c>
      <c r="AC131" s="2">
        <f t="shared" si="112"/>
        <v>2116.1799999999998</v>
      </c>
      <c r="AD131" s="2">
        <f t="shared" si="113"/>
        <v>0</v>
      </c>
      <c r="AE131" s="2">
        <f t="shared" si="114"/>
        <v>0</v>
      </c>
      <c r="AF131" s="2">
        <f t="shared" si="114"/>
        <v>0</v>
      </c>
      <c r="AG131" s="2">
        <f t="shared" si="92"/>
        <v>0</v>
      </c>
      <c r="AH131" s="2">
        <f t="shared" si="115"/>
        <v>0</v>
      </c>
      <c r="AI131" s="2">
        <f t="shared" si="115"/>
        <v>0</v>
      </c>
      <c r="AJ131" s="2">
        <f t="shared" si="93"/>
        <v>0</v>
      </c>
      <c r="AK131" s="2">
        <v>2116.1799999999998</v>
      </c>
      <c r="AL131" s="2">
        <v>2116.1799999999998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1</v>
      </c>
      <c r="BJ131" s="2" t="s">
        <v>3</v>
      </c>
      <c r="BK131" s="2"/>
      <c r="BL131" s="2"/>
      <c r="BM131" s="2">
        <v>400002</v>
      </c>
      <c r="BN131" s="2">
        <v>0</v>
      </c>
      <c r="BO131" s="2" t="s">
        <v>3</v>
      </c>
      <c r="BP131" s="2">
        <v>0</v>
      </c>
      <c r="BQ131" s="2">
        <v>202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0</v>
      </c>
      <c r="CA131" s="2">
        <v>0</v>
      </c>
      <c r="CB131" s="2" t="s">
        <v>3</v>
      </c>
      <c r="CC131" s="2"/>
      <c r="CD131" s="2"/>
      <c r="CE131" s="2">
        <v>30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689</v>
      </c>
      <c r="CO131" s="2">
        <v>0</v>
      </c>
      <c r="CP131" s="2">
        <f t="shared" si="94"/>
        <v>0</v>
      </c>
      <c r="CQ131" s="2">
        <f t="shared" si="95"/>
        <v>2116.1799999999998</v>
      </c>
      <c r="CR131" s="2">
        <f t="shared" si="116"/>
        <v>0</v>
      </c>
      <c r="CS131" s="2">
        <f t="shared" si="96"/>
        <v>0</v>
      </c>
      <c r="CT131" s="2">
        <f t="shared" si="97"/>
        <v>0</v>
      </c>
      <c r="CU131" s="2">
        <f t="shared" si="98"/>
        <v>0</v>
      </c>
      <c r="CV131" s="2">
        <f t="shared" si="99"/>
        <v>0</v>
      </c>
      <c r="CW131" s="2">
        <f t="shared" si="100"/>
        <v>0</v>
      </c>
      <c r="CX131" s="2">
        <f t="shared" si="101"/>
        <v>0</v>
      </c>
      <c r="CY131" s="2">
        <f>((S131*BZ131)/100)</f>
        <v>0</v>
      </c>
      <c r="CZ131" s="2">
        <f>((S131*CA131)/100)</f>
        <v>0</v>
      </c>
      <c r="DA131" s="2"/>
      <c r="DB131" s="2"/>
      <c r="DC131" s="2" t="s">
        <v>3</v>
      </c>
      <c r="DD131" s="2" t="s">
        <v>3</v>
      </c>
      <c r="DE131" s="2" t="s">
        <v>22</v>
      </c>
      <c r="DF131" s="2" t="s">
        <v>22</v>
      </c>
      <c r="DG131" s="2" t="s">
        <v>22</v>
      </c>
      <c r="DH131" s="2" t="s">
        <v>3</v>
      </c>
      <c r="DI131" s="2" t="s">
        <v>22</v>
      </c>
      <c r="DJ131" s="2" t="s">
        <v>22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240</v>
      </c>
      <c r="DW131" s="2" t="s">
        <v>240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51698006</v>
      </c>
      <c r="EF131" s="2">
        <v>202</v>
      </c>
      <c r="EG131" s="2" t="s">
        <v>241</v>
      </c>
      <c r="EH131" s="2">
        <v>0</v>
      </c>
      <c r="EI131" s="2" t="s">
        <v>3</v>
      </c>
      <c r="EJ131" s="2">
        <v>1</v>
      </c>
      <c r="EK131" s="2">
        <v>400002</v>
      </c>
      <c r="EL131" s="2" t="s">
        <v>242</v>
      </c>
      <c r="EM131" s="2" t="s">
        <v>241</v>
      </c>
      <c r="EN131" s="2"/>
      <c r="EO131" s="2" t="s">
        <v>26</v>
      </c>
      <c r="EP131" s="2"/>
      <c r="EQ131" s="2">
        <v>131072</v>
      </c>
      <c r="ER131" s="2">
        <v>2116.1799999999998</v>
      </c>
      <c r="ES131" s="2">
        <v>2116.1799999999998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0</v>
      </c>
      <c r="FY131" s="2">
        <v>0</v>
      </c>
      <c r="FZ131" s="2"/>
      <c r="GA131" s="2" t="s">
        <v>3</v>
      </c>
      <c r="GB131" s="2"/>
      <c r="GC131" s="2"/>
      <c r="GD131" s="2">
        <v>0</v>
      </c>
      <c r="GE131" s="2"/>
      <c r="GF131" s="2">
        <v>1211318103</v>
      </c>
      <c r="GG131" s="2">
        <v>2</v>
      </c>
      <c r="GH131" s="2">
        <v>0</v>
      </c>
      <c r="GI131" s="2">
        <v>3</v>
      </c>
      <c r="GJ131" s="2">
        <v>0</v>
      </c>
      <c r="GK131" s="2">
        <f>ROUND(R131*(R12)/100,2)</f>
        <v>0</v>
      </c>
      <c r="GL131" s="2">
        <f t="shared" si="102"/>
        <v>0</v>
      </c>
      <c r="GM131" s="2">
        <f t="shared" si="103"/>
        <v>0</v>
      </c>
      <c r="GN131" s="2">
        <f t="shared" si="104"/>
        <v>0</v>
      </c>
      <c r="GO131" s="2">
        <f t="shared" si="105"/>
        <v>0</v>
      </c>
      <c r="GP131" s="2">
        <f t="shared" si="106"/>
        <v>0</v>
      </c>
      <c r="GQ131" s="2"/>
      <c r="GR131" s="2">
        <v>0</v>
      </c>
      <c r="GS131" s="2">
        <v>0</v>
      </c>
      <c r="GT131" s="2">
        <v>0</v>
      </c>
      <c r="GU131" s="2" t="s">
        <v>3</v>
      </c>
      <c r="GV131" s="2">
        <f t="shared" si="107"/>
        <v>0</v>
      </c>
      <c r="GW131" s="2">
        <v>1</v>
      </c>
      <c r="GX131" s="2">
        <f t="shared" si="108"/>
        <v>0</v>
      </c>
      <c r="GY131" s="2"/>
      <c r="GZ131" s="2"/>
      <c r="HA131" s="2">
        <v>0</v>
      </c>
      <c r="HB131" s="2">
        <v>0</v>
      </c>
      <c r="HC131" s="2">
        <f t="shared" si="109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>
        <v>17</v>
      </c>
      <c r="B132">
        <v>1</v>
      </c>
      <c r="E132" t="s">
        <v>238</v>
      </c>
      <c r="F132" t="s">
        <v>81</v>
      </c>
      <c r="G132" t="s">
        <v>239</v>
      </c>
      <c r="H132" t="s">
        <v>240</v>
      </c>
      <c r="I132">
        <v>0</v>
      </c>
      <c r="J132">
        <v>0</v>
      </c>
      <c r="K132">
        <v>0</v>
      </c>
      <c r="O132">
        <f t="shared" si="81"/>
        <v>0</v>
      </c>
      <c r="P132">
        <f t="shared" si="82"/>
        <v>0</v>
      </c>
      <c r="Q132">
        <f t="shared" si="111"/>
        <v>0</v>
      </c>
      <c r="R132">
        <f t="shared" si="83"/>
        <v>0</v>
      </c>
      <c r="S132">
        <f t="shared" si="84"/>
        <v>0</v>
      </c>
      <c r="T132">
        <f t="shared" si="85"/>
        <v>0</v>
      </c>
      <c r="U132">
        <f t="shared" si="86"/>
        <v>0</v>
      </c>
      <c r="V132">
        <f t="shared" si="87"/>
        <v>0</v>
      </c>
      <c r="W132">
        <f t="shared" si="88"/>
        <v>0</v>
      </c>
      <c r="X132">
        <f t="shared" si="89"/>
        <v>0</v>
      </c>
      <c r="Y132">
        <f t="shared" si="90"/>
        <v>0</v>
      </c>
      <c r="AA132">
        <v>56611490</v>
      </c>
      <c r="AB132">
        <f t="shared" si="91"/>
        <v>20400</v>
      </c>
      <c r="AC132">
        <f t="shared" si="112"/>
        <v>20400</v>
      </c>
      <c r="AD132">
        <f t="shared" si="113"/>
        <v>0</v>
      </c>
      <c r="AE132">
        <f t="shared" si="114"/>
        <v>0</v>
      </c>
      <c r="AF132">
        <f t="shared" si="114"/>
        <v>0</v>
      </c>
      <c r="AG132">
        <f t="shared" si="92"/>
        <v>0</v>
      </c>
      <c r="AH132">
        <f t="shared" si="115"/>
        <v>0</v>
      </c>
      <c r="AI132">
        <f t="shared" si="115"/>
        <v>0</v>
      </c>
      <c r="AJ132">
        <f t="shared" si="93"/>
        <v>0</v>
      </c>
      <c r="AK132">
        <v>20400</v>
      </c>
      <c r="AL132">
        <v>20400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1</v>
      </c>
      <c r="AZ132">
        <v>1</v>
      </c>
      <c r="BA132">
        <v>1</v>
      </c>
      <c r="BB132">
        <v>1</v>
      </c>
      <c r="BC132">
        <v>1</v>
      </c>
      <c r="BD132" t="s">
        <v>3</v>
      </c>
      <c r="BE132" t="s">
        <v>3</v>
      </c>
      <c r="BF132" t="s">
        <v>3</v>
      </c>
      <c r="BG132" t="s">
        <v>3</v>
      </c>
      <c r="BH132">
        <v>3</v>
      </c>
      <c r="BI132">
        <v>1</v>
      </c>
      <c r="BJ132" t="s">
        <v>3</v>
      </c>
      <c r="BM132">
        <v>400002</v>
      </c>
      <c r="BN132">
        <v>0</v>
      </c>
      <c r="BO132" t="s">
        <v>3</v>
      </c>
      <c r="BP132">
        <v>0</v>
      </c>
      <c r="BQ132">
        <v>202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0</v>
      </c>
      <c r="CA132">
        <v>0</v>
      </c>
      <c r="CB132" t="s">
        <v>3</v>
      </c>
      <c r="CE132">
        <v>30</v>
      </c>
      <c r="CF132">
        <v>0</v>
      </c>
      <c r="CG132">
        <v>0</v>
      </c>
      <c r="CM132">
        <v>0</v>
      </c>
      <c r="CN132" t="s">
        <v>689</v>
      </c>
      <c r="CO132">
        <v>0</v>
      </c>
      <c r="CP132">
        <f t="shared" si="94"/>
        <v>0</v>
      </c>
      <c r="CQ132">
        <f t="shared" si="95"/>
        <v>20400</v>
      </c>
      <c r="CR132">
        <f t="shared" si="116"/>
        <v>0</v>
      </c>
      <c r="CS132">
        <f t="shared" si="96"/>
        <v>0</v>
      </c>
      <c r="CT132">
        <f t="shared" si="97"/>
        <v>0</v>
      </c>
      <c r="CU132">
        <f t="shared" si="98"/>
        <v>0</v>
      </c>
      <c r="CV132">
        <f t="shared" si="99"/>
        <v>0</v>
      </c>
      <c r="CW132">
        <f t="shared" si="100"/>
        <v>0</v>
      </c>
      <c r="CX132">
        <f t="shared" si="101"/>
        <v>0</v>
      </c>
      <c r="CY132">
        <f>S132*(BZ132/100)</f>
        <v>0</v>
      </c>
      <c r="CZ132">
        <f>S132*(CA132/100)</f>
        <v>0</v>
      </c>
      <c r="DC132" t="s">
        <v>3</v>
      </c>
      <c r="DD132" t="s">
        <v>3</v>
      </c>
      <c r="DE132" t="s">
        <v>22</v>
      </c>
      <c r="DF132" t="s">
        <v>22</v>
      </c>
      <c r="DG132" t="s">
        <v>22</v>
      </c>
      <c r="DH132" t="s">
        <v>3</v>
      </c>
      <c r="DI132" t="s">
        <v>22</v>
      </c>
      <c r="DJ132" t="s">
        <v>22</v>
      </c>
      <c r="DK132" t="s">
        <v>3</v>
      </c>
      <c r="DL132" t="s">
        <v>3</v>
      </c>
      <c r="DM132" t="s">
        <v>3</v>
      </c>
      <c r="DN132">
        <v>0</v>
      </c>
      <c r="DO132">
        <v>0</v>
      </c>
      <c r="DP132">
        <v>1</v>
      </c>
      <c r="DQ132">
        <v>1</v>
      </c>
      <c r="DU132">
        <v>1013</v>
      </c>
      <c r="DV132" t="s">
        <v>240</v>
      </c>
      <c r="DW132" t="s">
        <v>240</v>
      </c>
      <c r="DX132">
        <v>1</v>
      </c>
      <c r="DZ132" t="s">
        <v>3</v>
      </c>
      <c r="EA132" t="s">
        <v>3</v>
      </c>
      <c r="EB132" t="s">
        <v>3</v>
      </c>
      <c r="EC132" t="s">
        <v>3</v>
      </c>
      <c r="EE132">
        <v>51698006</v>
      </c>
      <c r="EF132">
        <v>202</v>
      </c>
      <c r="EG132" t="s">
        <v>241</v>
      </c>
      <c r="EH132">
        <v>0</v>
      </c>
      <c r="EI132" t="s">
        <v>3</v>
      </c>
      <c r="EJ132">
        <v>1</v>
      </c>
      <c r="EK132">
        <v>400002</v>
      </c>
      <c r="EL132" t="s">
        <v>242</v>
      </c>
      <c r="EM132" t="s">
        <v>241</v>
      </c>
      <c r="EO132" t="s">
        <v>26</v>
      </c>
      <c r="EQ132">
        <v>131072</v>
      </c>
      <c r="ER132">
        <v>2116.1799999999998</v>
      </c>
      <c r="ES132">
        <v>20400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5</v>
      </c>
      <c r="FC132">
        <v>0</v>
      </c>
      <c r="FD132">
        <v>18</v>
      </c>
      <c r="FF132">
        <v>20000</v>
      </c>
      <c r="FQ132">
        <v>0</v>
      </c>
      <c r="FR132">
        <v>0</v>
      </c>
      <c r="FS132">
        <v>0</v>
      </c>
      <c r="FX132">
        <v>0</v>
      </c>
      <c r="FY132">
        <v>0</v>
      </c>
      <c r="GA132" t="s">
        <v>243</v>
      </c>
      <c r="GD132">
        <v>0</v>
      </c>
      <c r="GF132">
        <v>1211318103</v>
      </c>
      <c r="GG132">
        <v>2</v>
      </c>
      <c r="GH132">
        <v>3</v>
      </c>
      <c r="GI132">
        <v>-2</v>
      </c>
      <c r="GJ132">
        <v>0</v>
      </c>
      <c r="GK132">
        <f>ROUND(R132*(S12)/100,2)</f>
        <v>0</v>
      </c>
      <c r="GL132">
        <f t="shared" si="102"/>
        <v>0</v>
      </c>
      <c r="GM132">
        <f t="shared" si="103"/>
        <v>0</v>
      </c>
      <c r="GN132">
        <f t="shared" si="104"/>
        <v>0</v>
      </c>
      <c r="GO132">
        <f t="shared" si="105"/>
        <v>0</v>
      </c>
      <c r="GP132">
        <f t="shared" si="106"/>
        <v>0</v>
      </c>
      <c r="GR132">
        <v>1</v>
      </c>
      <c r="GS132">
        <v>1</v>
      </c>
      <c r="GT132">
        <v>0</v>
      </c>
      <c r="GU132" t="s">
        <v>3</v>
      </c>
      <c r="GV132">
        <f t="shared" si="107"/>
        <v>0</v>
      </c>
      <c r="GW132">
        <v>1</v>
      </c>
      <c r="GX132">
        <f t="shared" si="108"/>
        <v>0</v>
      </c>
      <c r="HA132">
        <v>0</v>
      </c>
      <c r="HB132">
        <v>0</v>
      </c>
      <c r="HC132">
        <f t="shared" si="109"/>
        <v>0</v>
      </c>
      <c r="HE132" t="s">
        <v>27</v>
      </c>
      <c r="HF132" t="s">
        <v>84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4" spans="1:255" x14ac:dyDescent="0.2">
      <c r="A134" s="3">
        <v>51</v>
      </c>
      <c r="B134" s="3">
        <f>B93</f>
        <v>1</v>
      </c>
      <c r="C134" s="3">
        <f>A93</f>
        <v>4</v>
      </c>
      <c r="D134" s="3">
        <f>ROW(A93)</f>
        <v>93</v>
      </c>
      <c r="E134" s="3"/>
      <c r="F134" s="3" t="str">
        <f>IF(F93&lt;&gt;"",F93,"")</f>
        <v>Новый раздел</v>
      </c>
      <c r="G134" s="3" t="str">
        <f>IF(G93&lt;&gt;"",G93,"")</f>
        <v>Монтажные работы 20% c к-том 1.2</v>
      </c>
      <c r="H134" s="3">
        <v>0</v>
      </c>
      <c r="I134" s="3"/>
      <c r="J134" s="3"/>
      <c r="K134" s="3"/>
      <c r="L134" s="3"/>
      <c r="M134" s="3"/>
      <c r="N134" s="3"/>
      <c r="O134" s="3">
        <f t="shared" ref="O134:T134" si="117">ROUND(AB134,2)</f>
        <v>4736.26</v>
      </c>
      <c r="P134" s="3">
        <f t="shared" si="117"/>
        <v>4346.3500000000004</v>
      </c>
      <c r="Q134" s="3">
        <f t="shared" si="117"/>
        <v>93.35</v>
      </c>
      <c r="R134" s="3">
        <f t="shared" si="117"/>
        <v>8.92</v>
      </c>
      <c r="S134" s="3">
        <f t="shared" si="117"/>
        <v>296.56</v>
      </c>
      <c r="T134" s="3">
        <f t="shared" si="117"/>
        <v>0</v>
      </c>
      <c r="U134" s="3">
        <f>AH134</f>
        <v>22.298364918720001</v>
      </c>
      <c r="V134" s="3">
        <f>AI134</f>
        <v>0</v>
      </c>
      <c r="W134" s="3">
        <f>ROUND(AJ134,2)</f>
        <v>0</v>
      </c>
      <c r="X134" s="3">
        <f>ROUND(AK134,2)</f>
        <v>332.15</v>
      </c>
      <c r="Y134" s="3">
        <f>ROUND(AL134,2)</f>
        <v>207.59</v>
      </c>
      <c r="Z134" s="3"/>
      <c r="AA134" s="3"/>
      <c r="AB134" s="3">
        <f>ROUND(SUMIF(AA97:AA132,"=56622523",O97:O132),2)</f>
        <v>4736.26</v>
      </c>
      <c r="AC134" s="3">
        <f>ROUND(SUMIF(AA97:AA132,"=56622523",P97:P132),2)</f>
        <v>4346.3500000000004</v>
      </c>
      <c r="AD134" s="3">
        <f>ROUND(SUMIF(AA97:AA132,"=56622523",Q97:Q132),2)</f>
        <v>93.35</v>
      </c>
      <c r="AE134" s="3">
        <f>ROUND(SUMIF(AA97:AA132,"=56622523",R97:R132),2)</f>
        <v>8.92</v>
      </c>
      <c r="AF134" s="3">
        <f>ROUND(SUMIF(AA97:AA132,"=56622523",S97:S132),2)</f>
        <v>296.56</v>
      </c>
      <c r="AG134" s="3">
        <f>ROUND(SUMIF(AA97:AA132,"=56622523",T97:T132),2)</f>
        <v>0</v>
      </c>
      <c r="AH134" s="3">
        <f>SUMIF(AA97:AA132,"=56622523",U97:U132)</f>
        <v>22.298364918720001</v>
      </c>
      <c r="AI134" s="3">
        <f>SUMIF(AA97:AA132,"=56622523",V97:V132)</f>
        <v>0</v>
      </c>
      <c r="AJ134" s="3">
        <f>ROUND(SUMIF(AA97:AA132,"=56622523",W97:W132),2)</f>
        <v>0</v>
      </c>
      <c r="AK134" s="3">
        <f>ROUND(SUMIF(AA97:AA132,"=56622523",X97:X132),2)</f>
        <v>332.15</v>
      </c>
      <c r="AL134" s="3">
        <f>ROUND(SUMIF(AA97:AA132,"=56622523",Y97:Y132),2)</f>
        <v>207.59</v>
      </c>
      <c r="AM134" s="3"/>
      <c r="AN134" s="3"/>
      <c r="AO134" s="3">
        <f t="shared" ref="AO134:BD134" si="118">ROUND(BX134,2)</f>
        <v>0</v>
      </c>
      <c r="AP134" s="3">
        <f t="shared" si="118"/>
        <v>0</v>
      </c>
      <c r="AQ134" s="3">
        <f t="shared" si="118"/>
        <v>0</v>
      </c>
      <c r="AR134" s="3">
        <f t="shared" si="118"/>
        <v>5291.61</v>
      </c>
      <c r="AS134" s="3">
        <f t="shared" si="118"/>
        <v>0</v>
      </c>
      <c r="AT134" s="3">
        <f t="shared" si="118"/>
        <v>5291.61</v>
      </c>
      <c r="AU134" s="3">
        <f t="shared" si="118"/>
        <v>0</v>
      </c>
      <c r="AV134" s="3">
        <f t="shared" si="118"/>
        <v>4346.3500000000004</v>
      </c>
      <c r="AW134" s="3">
        <f t="shared" si="118"/>
        <v>4346.3500000000004</v>
      </c>
      <c r="AX134" s="3">
        <f t="shared" si="118"/>
        <v>0</v>
      </c>
      <c r="AY134" s="3">
        <f t="shared" si="118"/>
        <v>4346.3500000000004</v>
      </c>
      <c r="AZ134" s="3">
        <f t="shared" si="118"/>
        <v>0</v>
      </c>
      <c r="BA134" s="3">
        <f t="shared" si="118"/>
        <v>0</v>
      </c>
      <c r="BB134" s="3">
        <f t="shared" si="118"/>
        <v>0</v>
      </c>
      <c r="BC134" s="3">
        <f t="shared" si="118"/>
        <v>0</v>
      </c>
      <c r="BD134" s="3">
        <f t="shared" si="118"/>
        <v>0</v>
      </c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>
        <f>ROUND(SUMIF(AA97:AA132,"=56622523",FQ97:FQ132),2)</f>
        <v>0</v>
      </c>
      <c r="BY134" s="3">
        <f>ROUND(SUMIF(AA97:AA132,"=56622523",FR97:FR132),2)</f>
        <v>0</v>
      </c>
      <c r="BZ134" s="3">
        <f>ROUND(SUMIF(AA97:AA132,"=56622523",GL97:GL132),2)</f>
        <v>0</v>
      </c>
      <c r="CA134" s="3">
        <f>ROUND(SUMIF(AA97:AA132,"=56622523",GM97:GM132),2)</f>
        <v>5291.61</v>
      </c>
      <c r="CB134" s="3">
        <f>ROUND(SUMIF(AA97:AA132,"=56622523",GN97:GN132),2)</f>
        <v>0</v>
      </c>
      <c r="CC134" s="3">
        <f>ROUND(SUMIF(AA97:AA132,"=56622523",GO97:GO132),2)</f>
        <v>5291.61</v>
      </c>
      <c r="CD134" s="3">
        <f>ROUND(SUMIF(AA97:AA132,"=56622523",GP97:GP132),2)</f>
        <v>0</v>
      </c>
      <c r="CE134" s="3">
        <f>AC134-BX134</f>
        <v>4346.3500000000004</v>
      </c>
      <c r="CF134" s="3">
        <f>AC134-BY134</f>
        <v>4346.3500000000004</v>
      </c>
      <c r="CG134" s="3">
        <f>BX134-BZ134</f>
        <v>0</v>
      </c>
      <c r="CH134" s="3">
        <f>AC134-BX134-BY134+BZ134</f>
        <v>4346.3500000000004</v>
      </c>
      <c r="CI134" s="3">
        <f>BY134-BZ134</f>
        <v>0</v>
      </c>
      <c r="CJ134" s="3">
        <f>ROUND(SUMIF(AA97:AA132,"=56622523",GX97:GX132),2)</f>
        <v>0</v>
      </c>
      <c r="CK134" s="3">
        <f>ROUND(SUMIF(AA97:AA132,"=56622523",GY97:GY132),2)</f>
        <v>0</v>
      </c>
      <c r="CL134" s="3">
        <f>ROUND(SUMIF(AA97:AA132,"=56622523",GZ97:GZ132),2)</f>
        <v>0</v>
      </c>
      <c r="CM134" s="3">
        <f>ROUND(SUMIF(AA97:AA132,"=56622523",HD97:HD132),2)</f>
        <v>0</v>
      </c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4">
        <f t="shared" ref="DG134:DL134" si="119">ROUND(DT134,2)</f>
        <v>38531.699999999997</v>
      </c>
      <c r="DH134" s="4">
        <f t="shared" si="119"/>
        <v>27520.33</v>
      </c>
      <c r="DI134" s="4">
        <f t="shared" si="119"/>
        <v>777.09</v>
      </c>
      <c r="DJ134" s="4">
        <f t="shared" si="119"/>
        <v>307.83</v>
      </c>
      <c r="DK134" s="4">
        <f t="shared" si="119"/>
        <v>10234.280000000001</v>
      </c>
      <c r="DL134" s="4">
        <f t="shared" si="119"/>
        <v>0</v>
      </c>
      <c r="DM134" s="4">
        <f>DZ134</f>
        <v>22.298364918720001</v>
      </c>
      <c r="DN134" s="4">
        <f>EA134</f>
        <v>0</v>
      </c>
      <c r="DO134" s="4">
        <f>ROUND(EB134,2)</f>
        <v>0</v>
      </c>
      <c r="DP134" s="4">
        <f>ROUND(EC134,2)</f>
        <v>9415.5400000000009</v>
      </c>
      <c r="DQ134" s="4">
        <f>ROUND(ED134,2)</f>
        <v>4400.75</v>
      </c>
      <c r="DR134" s="4"/>
      <c r="DS134" s="4"/>
      <c r="DT134" s="4">
        <f>ROUND(SUMIF(AA97:AA132,"=56611490",O97:O132),2)</f>
        <v>38531.699999999997</v>
      </c>
      <c r="DU134" s="4">
        <f>ROUND(SUMIF(AA97:AA132,"=56611490",P97:P132),2)</f>
        <v>27520.33</v>
      </c>
      <c r="DV134" s="4">
        <f>ROUND(SUMIF(AA97:AA132,"=56611490",Q97:Q132),2)</f>
        <v>777.09</v>
      </c>
      <c r="DW134" s="4">
        <f>ROUND(SUMIF(AA97:AA132,"=56611490",R97:R132),2)</f>
        <v>307.83</v>
      </c>
      <c r="DX134" s="4">
        <f>ROUND(SUMIF(AA97:AA132,"=56611490",S97:S132),2)</f>
        <v>10234.280000000001</v>
      </c>
      <c r="DY134" s="4">
        <f>ROUND(SUMIF(AA97:AA132,"=56611490",T97:T132),2)</f>
        <v>0</v>
      </c>
      <c r="DZ134" s="4">
        <f>SUMIF(AA97:AA132,"=56611490",U97:U132)</f>
        <v>22.298364918720001</v>
      </c>
      <c r="EA134" s="4">
        <f>SUMIF(AA97:AA132,"=56611490",V97:V132)</f>
        <v>0</v>
      </c>
      <c r="EB134" s="4">
        <f>ROUND(SUMIF(AA97:AA132,"=56611490",W97:W132),2)</f>
        <v>0</v>
      </c>
      <c r="EC134" s="4">
        <f>ROUND(SUMIF(AA97:AA132,"=56611490",X97:X132),2)</f>
        <v>9415.5400000000009</v>
      </c>
      <c r="ED134" s="4">
        <f>ROUND(SUMIF(AA97:AA132,"=56611490",Y97:Y132),2)</f>
        <v>4400.75</v>
      </c>
      <c r="EE134" s="4"/>
      <c r="EF134" s="4"/>
      <c r="EG134" s="4">
        <f t="shared" ref="EG134:EV134" si="120">ROUND(FP134,2)</f>
        <v>0</v>
      </c>
      <c r="EH134" s="4">
        <f t="shared" si="120"/>
        <v>0</v>
      </c>
      <c r="EI134" s="4">
        <f t="shared" si="120"/>
        <v>0</v>
      </c>
      <c r="EJ134" s="4">
        <f t="shared" si="120"/>
        <v>52840.53</v>
      </c>
      <c r="EK134" s="4">
        <f t="shared" si="120"/>
        <v>0</v>
      </c>
      <c r="EL134" s="4">
        <f t="shared" si="120"/>
        <v>52840.53</v>
      </c>
      <c r="EM134" s="4">
        <f t="shared" si="120"/>
        <v>0</v>
      </c>
      <c r="EN134" s="4">
        <f t="shared" si="120"/>
        <v>27520.33</v>
      </c>
      <c r="EO134" s="4">
        <f t="shared" si="120"/>
        <v>27520.33</v>
      </c>
      <c r="EP134" s="4">
        <f t="shared" si="120"/>
        <v>0</v>
      </c>
      <c r="EQ134" s="4">
        <f t="shared" si="120"/>
        <v>27520.33</v>
      </c>
      <c r="ER134" s="4">
        <f t="shared" si="120"/>
        <v>0</v>
      </c>
      <c r="ES134" s="4">
        <f t="shared" si="120"/>
        <v>0</v>
      </c>
      <c r="ET134" s="4">
        <f t="shared" si="120"/>
        <v>0</v>
      </c>
      <c r="EU134" s="4">
        <f t="shared" si="120"/>
        <v>0</v>
      </c>
      <c r="EV134" s="4">
        <f t="shared" si="120"/>
        <v>0</v>
      </c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>
        <f>ROUND(SUMIF(AA97:AA132,"=56611490",FQ97:FQ132),2)</f>
        <v>0</v>
      </c>
      <c r="FQ134" s="4">
        <f>ROUND(SUMIF(AA97:AA132,"=56611490",FR97:FR132),2)</f>
        <v>0</v>
      </c>
      <c r="FR134" s="4">
        <f>ROUND(SUMIF(AA97:AA132,"=56611490",GL97:GL132),2)</f>
        <v>0</v>
      </c>
      <c r="FS134" s="4">
        <f>ROUND(SUMIF(AA97:AA132,"=56611490",GM97:GM132),2)</f>
        <v>52840.53</v>
      </c>
      <c r="FT134" s="4">
        <f>ROUND(SUMIF(AA97:AA132,"=56611490",GN97:GN132),2)</f>
        <v>0</v>
      </c>
      <c r="FU134" s="4">
        <f>ROUND(SUMIF(AA97:AA132,"=56611490",GO97:GO132),2)</f>
        <v>52840.53</v>
      </c>
      <c r="FV134" s="4">
        <f>ROUND(SUMIF(AA97:AA132,"=56611490",GP97:GP132),2)</f>
        <v>0</v>
      </c>
      <c r="FW134" s="4">
        <f>DU134-FP134</f>
        <v>27520.33</v>
      </c>
      <c r="FX134" s="4">
        <f>DU134-FQ134</f>
        <v>27520.33</v>
      </c>
      <c r="FY134" s="4">
        <f>FP134-FR134</f>
        <v>0</v>
      </c>
      <c r="FZ134" s="4">
        <f>DU134-FP134-FQ134+FR134</f>
        <v>27520.33</v>
      </c>
      <c r="GA134" s="4">
        <f>FQ134-FR134</f>
        <v>0</v>
      </c>
      <c r="GB134" s="4">
        <f>ROUND(SUMIF(AA97:AA132,"=56611490",GX97:GX132),2)</f>
        <v>0</v>
      </c>
      <c r="GC134" s="4">
        <f>ROUND(SUMIF(AA97:AA132,"=56611490",GY97:GY132),2)</f>
        <v>0</v>
      </c>
      <c r="GD134" s="4">
        <f>ROUND(SUMIF(AA97:AA132,"=56611490",GZ97:GZ132),2)</f>
        <v>0</v>
      </c>
      <c r="GE134" s="4">
        <f>ROUND(SUMIF(AA97:AA132,"=56611490",HD97:HD132),2)</f>
        <v>0</v>
      </c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>
        <v>0</v>
      </c>
    </row>
    <row r="136" spans="1:255" x14ac:dyDescent="0.2">
      <c r="A136" s="5">
        <v>50</v>
      </c>
      <c r="B136" s="5">
        <v>0</v>
      </c>
      <c r="C136" s="5">
        <v>0</v>
      </c>
      <c r="D136" s="5">
        <v>1</v>
      </c>
      <c r="E136" s="5">
        <v>201</v>
      </c>
      <c r="F136" s="5">
        <f>ROUND(Source!O134,O136)</f>
        <v>4736.26</v>
      </c>
      <c r="G136" s="5" t="s">
        <v>106</v>
      </c>
      <c r="H136" s="5" t="s">
        <v>107</v>
      </c>
      <c r="I136" s="5"/>
      <c r="J136" s="5"/>
      <c r="K136" s="5">
        <v>201</v>
      </c>
      <c r="L136" s="5">
        <v>1</v>
      </c>
      <c r="M136" s="5">
        <v>3</v>
      </c>
      <c r="N136" s="5" t="s">
        <v>3</v>
      </c>
      <c r="O136" s="5">
        <v>2</v>
      </c>
      <c r="P136" s="5">
        <f>ROUND(Source!DG134,O136)</f>
        <v>38531.699999999997</v>
      </c>
      <c r="Q136" s="5"/>
      <c r="R136" s="5"/>
      <c r="S136" s="5"/>
      <c r="T136" s="5"/>
      <c r="U136" s="5"/>
      <c r="V136" s="5"/>
      <c r="W136" s="5">
        <v>4736.26</v>
      </c>
      <c r="X136" s="5">
        <v>1</v>
      </c>
      <c r="Y136" s="5">
        <v>4736.26</v>
      </c>
      <c r="Z136" s="5">
        <v>38531.699999999997</v>
      </c>
      <c r="AA136" s="5">
        <v>1</v>
      </c>
      <c r="AB136" s="5">
        <v>38531.699999999997</v>
      </c>
    </row>
    <row r="137" spans="1:255" x14ac:dyDescent="0.2">
      <c r="A137" s="5">
        <v>50</v>
      </c>
      <c r="B137" s="5">
        <v>0</v>
      </c>
      <c r="C137" s="5">
        <v>0</v>
      </c>
      <c r="D137" s="5">
        <v>1</v>
      </c>
      <c r="E137" s="5">
        <v>202</v>
      </c>
      <c r="F137" s="5">
        <f>ROUND(Source!P134,O137)</f>
        <v>4346.3500000000004</v>
      </c>
      <c r="G137" s="5" t="s">
        <v>108</v>
      </c>
      <c r="H137" s="5" t="s">
        <v>109</v>
      </c>
      <c r="I137" s="5"/>
      <c r="J137" s="5"/>
      <c r="K137" s="5">
        <v>202</v>
      </c>
      <c r="L137" s="5">
        <v>2</v>
      </c>
      <c r="M137" s="5">
        <v>3</v>
      </c>
      <c r="N137" s="5" t="s">
        <v>3</v>
      </c>
      <c r="O137" s="5">
        <v>2</v>
      </c>
      <c r="P137" s="5">
        <f>ROUND(Source!DH134,O137)</f>
        <v>27520.33</v>
      </c>
      <c r="Q137" s="5"/>
      <c r="R137" s="5"/>
      <c r="S137" s="5"/>
      <c r="T137" s="5"/>
      <c r="U137" s="5"/>
      <c r="V137" s="5"/>
      <c r="W137" s="5">
        <v>4346.3500000000004</v>
      </c>
      <c r="X137" s="5">
        <v>1</v>
      </c>
      <c r="Y137" s="5">
        <v>4346.3500000000004</v>
      </c>
      <c r="Z137" s="5">
        <v>27520.33</v>
      </c>
      <c r="AA137" s="5">
        <v>1</v>
      </c>
      <c r="AB137" s="5">
        <v>27520.33</v>
      </c>
    </row>
    <row r="138" spans="1:255" x14ac:dyDescent="0.2">
      <c r="A138" s="5">
        <v>50</v>
      </c>
      <c r="B138" s="5">
        <v>0</v>
      </c>
      <c r="C138" s="5">
        <v>0</v>
      </c>
      <c r="D138" s="5">
        <v>1</v>
      </c>
      <c r="E138" s="5">
        <v>222</v>
      </c>
      <c r="F138" s="5">
        <f>ROUND(Source!AO134,O138)</f>
        <v>0</v>
      </c>
      <c r="G138" s="5" t="s">
        <v>110</v>
      </c>
      <c r="H138" s="5" t="s">
        <v>111</v>
      </c>
      <c r="I138" s="5"/>
      <c r="J138" s="5"/>
      <c r="K138" s="5">
        <v>222</v>
      </c>
      <c r="L138" s="5">
        <v>3</v>
      </c>
      <c r="M138" s="5">
        <v>3</v>
      </c>
      <c r="N138" s="5" t="s">
        <v>3</v>
      </c>
      <c r="O138" s="5">
        <v>2</v>
      </c>
      <c r="P138" s="5">
        <f>ROUND(Source!EG134,O138)</f>
        <v>0</v>
      </c>
      <c r="Q138" s="5"/>
      <c r="R138" s="5"/>
      <c r="S138" s="5"/>
      <c r="T138" s="5"/>
      <c r="U138" s="5"/>
      <c r="V138" s="5"/>
      <c r="W138" s="5">
        <v>0</v>
      </c>
      <c r="X138" s="5">
        <v>1</v>
      </c>
      <c r="Y138" s="5">
        <v>0</v>
      </c>
      <c r="Z138" s="5">
        <v>0</v>
      </c>
      <c r="AA138" s="5">
        <v>1</v>
      </c>
      <c r="AB138" s="5">
        <v>0</v>
      </c>
    </row>
    <row r="139" spans="1:255" x14ac:dyDescent="0.2">
      <c r="A139" s="5">
        <v>50</v>
      </c>
      <c r="B139" s="5">
        <v>0</v>
      </c>
      <c r="C139" s="5">
        <v>0</v>
      </c>
      <c r="D139" s="5">
        <v>1</v>
      </c>
      <c r="E139" s="5">
        <v>225</v>
      </c>
      <c r="F139" s="5">
        <f>ROUND(Source!AV134,O139)</f>
        <v>4346.3500000000004</v>
      </c>
      <c r="G139" s="5" t="s">
        <v>112</v>
      </c>
      <c r="H139" s="5" t="s">
        <v>113</v>
      </c>
      <c r="I139" s="5"/>
      <c r="J139" s="5"/>
      <c r="K139" s="5">
        <v>225</v>
      </c>
      <c r="L139" s="5">
        <v>4</v>
      </c>
      <c r="M139" s="5">
        <v>3</v>
      </c>
      <c r="N139" s="5" t="s">
        <v>3</v>
      </c>
      <c r="O139" s="5">
        <v>2</v>
      </c>
      <c r="P139" s="5">
        <f>ROUND(Source!EN134,O139)</f>
        <v>27520.33</v>
      </c>
      <c r="Q139" s="5"/>
      <c r="R139" s="5"/>
      <c r="S139" s="5"/>
      <c r="T139" s="5"/>
      <c r="U139" s="5"/>
      <c r="V139" s="5"/>
      <c r="W139" s="5">
        <v>4346.3500000000004</v>
      </c>
      <c r="X139" s="5">
        <v>1</v>
      </c>
      <c r="Y139" s="5">
        <v>4346.3500000000004</v>
      </c>
      <c r="Z139" s="5">
        <v>27520.33</v>
      </c>
      <c r="AA139" s="5">
        <v>1</v>
      </c>
      <c r="AB139" s="5">
        <v>27520.33</v>
      </c>
    </row>
    <row r="140" spans="1:255" x14ac:dyDescent="0.2">
      <c r="A140" s="5">
        <v>50</v>
      </c>
      <c r="B140" s="5">
        <v>0</v>
      </c>
      <c r="C140" s="5">
        <v>0</v>
      </c>
      <c r="D140" s="5">
        <v>1</v>
      </c>
      <c r="E140" s="5">
        <v>226</v>
      </c>
      <c r="F140" s="5">
        <f>ROUND(Source!AW134,O140)</f>
        <v>4346.3500000000004</v>
      </c>
      <c r="G140" s="5" t="s">
        <v>114</v>
      </c>
      <c r="H140" s="5" t="s">
        <v>115</v>
      </c>
      <c r="I140" s="5"/>
      <c r="J140" s="5"/>
      <c r="K140" s="5">
        <v>226</v>
      </c>
      <c r="L140" s="5">
        <v>5</v>
      </c>
      <c r="M140" s="5">
        <v>3</v>
      </c>
      <c r="N140" s="5" t="s">
        <v>3</v>
      </c>
      <c r="O140" s="5">
        <v>2</v>
      </c>
      <c r="P140" s="5">
        <f>ROUND(Source!EO134,O140)</f>
        <v>27520.33</v>
      </c>
      <c r="Q140" s="5"/>
      <c r="R140" s="5"/>
      <c r="S140" s="5"/>
      <c r="T140" s="5"/>
      <c r="U140" s="5"/>
      <c r="V140" s="5"/>
      <c r="W140" s="5">
        <v>4346.3500000000004</v>
      </c>
      <c r="X140" s="5">
        <v>1</v>
      </c>
      <c r="Y140" s="5">
        <v>4346.3500000000004</v>
      </c>
      <c r="Z140" s="5">
        <v>27520.33</v>
      </c>
      <c r="AA140" s="5">
        <v>1</v>
      </c>
      <c r="AB140" s="5">
        <v>27520.33</v>
      </c>
    </row>
    <row r="141" spans="1:255" x14ac:dyDescent="0.2">
      <c r="A141" s="5">
        <v>50</v>
      </c>
      <c r="B141" s="5">
        <v>0</v>
      </c>
      <c r="C141" s="5">
        <v>0</v>
      </c>
      <c r="D141" s="5">
        <v>1</v>
      </c>
      <c r="E141" s="5">
        <v>227</v>
      </c>
      <c r="F141" s="5">
        <f>ROUND(Source!AX134,O141)</f>
        <v>0</v>
      </c>
      <c r="G141" s="5" t="s">
        <v>116</v>
      </c>
      <c r="H141" s="5" t="s">
        <v>117</v>
      </c>
      <c r="I141" s="5"/>
      <c r="J141" s="5"/>
      <c r="K141" s="5">
        <v>227</v>
      </c>
      <c r="L141" s="5">
        <v>6</v>
      </c>
      <c r="M141" s="5">
        <v>3</v>
      </c>
      <c r="N141" s="5" t="s">
        <v>3</v>
      </c>
      <c r="O141" s="5">
        <v>2</v>
      </c>
      <c r="P141" s="5">
        <f>ROUND(Source!EP134,O141)</f>
        <v>0</v>
      </c>
      <c r="Q141" s="5"/>
      <c r="R141" s="5"/>
      <c r="S141" s="5"/>
      <c r="T141" s="5"/>
      <c r="U141" s="5"/>
      <c r="V141" s="5"/>
      <c r="W141" s="5">
        <v>0</v>
      </c>
      <c r="X141" s="5">
        <v>1</v>
      </c>
      <c r="Y141" s="5">
        <v>0</v>
      </c>
      <c r="Z141" s="5">
        <v>0</v>
      </c>
      <c r="AA141" s="5">
        <v>1</v>
      </c>
      <c r="AB141" s="5">
        <v>0</v>
      </c>
    </row>
    <row r="142" spans="1:255" x14ac:dyDescent="0.2">
      <c r="A142" s="5">
        <v>50</v>
      </c>
      <c r="B142" s="5">
        <v>0</v>
      </c>
      <c r="C142" s="5">
        <v>0</v>
      </c>
      <c r="D142" s="5">
        <v>1</v>
      </c>
      <c r="E142" s="5">
        <v>228</v>
      </c>
      <c r="F142" s="5">
        <f>ROUND(Source!AY134,O142)</f>
        <v>4346.3500000000004</v>
      </c>
      <c r="G142" s="5" t="s">
        <v>118</v>
      </c>
      <c r="H142" s="5" t="s">
        <v>119</v>
      </c>
      <c r="I142" s="5"/>
      <c r="J142" s="5"/>
      <c r="K142" s="5">
        <v>228</v>
      </c>
      <c r="L142" s="5">
        <v>7</v>
      </c>
      <c r="M142" s="5">
        <v>3</v>
      </c>
      <c r="N142" s="5" t="s">
        <v>3</v>
      </c>
      <c r="O142" s="5">
        <v>2</v>
      </c>
      <c r="P142" s="5">
        <f>ROUND(Source!EQ134,O142)</f>
        <v>27520.33</v>
      </c>
      <c r="Q142" s="5"/>
      <c r="R142" s="5"/>
      <c r="S142" s="5"/>
      <c r="T142" s="5"/>
      <c r="U142" s="5"/>
      <c r="V142" s="5"/>
      <c r="W142" s="5">
        <v>4346.3500000000004</v>
      </c>
      <c r="X142" s="5">
        <v>1</v>
      </c>
      <c r="Y142" s="5">
        <v>4346.3500000000004</v>
      </c>
      <c r="Z142" s="5">
        <v>27520.33</v>
      </c>
      <c r="AA142" s="5">
        <v>1</v>
      </c>
      <c r="AB142" s="5">
        <v>27520.33</v>
      </c>
    </row>
    <row r="143" spans="1:255" x14ac:dyDescent="0.2">
      <c r="A143" s="5">
        <v>50</v>
      </c>
      <c r="B143" s="5">
        <v>0</v>
      </c>
      <c r="C143" s="5">
        <v>0</v>
      </c>
      <c r="D143" s="5">
        <v>1</v>
      </c>
      <c r="E143" s="5">
        <v>216</v>
      </c>
      <c r="F143" s="5">
        <f>ROUND(Source!AP134,O143)</f>
        <v>0</v>
      </c>
      <c r="G143" s="5" t="s">
        <v>120</v>
      </c>
      <c r="H143" s="5" t="s">
        <v>121</v>
      </c>
      <c r="I143" s="5"/>
      <c r="J143" s="5"/>
      <c r="K143" s="5">
        <v>216</v>
      </c>
      <c r="L143" s="5">
        <v>8</v>
      </c>
      <c r="M143" s="5">
        <v>3</v>
      </c>
      <c r="N143" s="5" t="s">
        <v>3</v>
      </c>
      <c r="O143" s="5">
        <v>2</v>
      </c>
      <c r="P143" s="5">
        <f>ROUND(Source!EH134,O143)</f>
        <v>0</v>
      </c>
      <c r="Q143" s="5"/>
      <c r="R143" s="5"/>
      <c r="S143" s="5"/>
      <c r="T143" s="5"/>
      <c r="U143" s="5"/>
      <c r="V143" s="5"/>
      <c r="W143" s="5">
        <v>0</v>
      </c>
      <c r="X143" s="5">
        <v>1</v>
      </c>
      <c r="Y143" s="5">
        <v>0</v>
      </c>
      <c r="Z143" s="5">
        <v>0</v>
      </c>
      <c r="AA143" s="5">
        <v>1</v>
      </c>
      <c r="AB143" s="5">
        <v>0</v>
      </c>
    </row>
    <row r="144" spans="1:255" x14ac:dyDescent="0.2">
      <c r="A144" s="5">
        <v>50</v>
      </c>
      <c r="B144" s="5">
        <v>0</v>
      </c>
      <c r="C144" s="5">
        <v>0</v>
      </c>
      <c r="D144" s="5">
        <v>1</v>
      </c>
      <c r="E144" s="5">
        <v>223</v>
      </c>
      <c r="F144" s="5">
        <f>ROUND(Source!AQ134,O144)</f>
        <v>0</v>
      </c>
      <c r="G144" s="5" t="s">
        <v>122</v>
      </c>
      <c r="H144" s="5" t="s">
        <v>123</v>
      </c>
      <c r="I144" s="5"/>
      <c r="J144" s="5"/>
      <c r="K144" s="5">
        <v>223</v>
      </c>
      <c r="L144" s="5">
        <v>9</v>
      </c>
      <c r="M144" s="5">
        <v>3</v>
      </c>
      <c r="N144" s="5" t="s">
        <v>3</v>
      </c>
      <c r="O144" s="5">
        <v>2</v>
      </c>
      <c r="P144" s="5">
        <f>ROUND(Source!EI134,O144)</f>
        <v>0</v>
      </c>
      <c r="Q144" s="5"/>
      <c r="R144" s="5"/>
      <c r="S144" s="5"/>
      <c r="T144" s="5"/>
      <c r="U144" s="5"/>
      <c r="V144" s="5"/>
      <c r="W144" s="5">
        <v>0</v>
      </c>
      <c r="X144" s="5">
        <v>1</v>
      </c>
      <c r="Y144" s="5">
        <v>0</v>
      </c>
      <c r="Z144" s="5">
        <v>0</v>
      </c>
      <c r="AA144" s="5">
        <v>1</v>
      </c>
      <c r="AB144" s="5">
        <v>0</v>
      </c>
    </row>
    <row r="145" spans="1:28" x14ac:dyDescent="0.2">
      <c r="A145" s="5">
        <v>50</v>
      </c>
      <c r="B145" s="5">
        <v>0</v>
      </c>
      <c r="C145" s="5">
        <v>0</v>
      </c>
      <c r="D145" s="5">
        <v>1</v>
      </c>
      <c r="E145" s="5">
        <v>229</v>
      </c>
      <c r="F145" s="5">
        <f>ROUND(Source!AZ134,O145)</f>
        <v>0</v>
      </c>
      <c r="G145" s="5" t="s">
        <v>124</v>
      </c>
      <c r="H145" s="5" t="s">
        <v>125</v>
      </c>
      <c r="I145" s="5"/>
      <c r="J145" s="5"/>
      <c r="K145" s="5">
        <v>229</v>
      </c>
      <c r="L145" s="5">
        <v>10</v>
      </c>
      <c r="M145" s="5">
        <v>3</v>
      </c>
      <c r="N145" s="5" t="s">
        <v>3</v>
      </c>
      <c r="O145" s="5">
        <v>2</v>
      </c>
      <c r="P145" s="5">
        <f>ROUND(Source!ER134,O145)</f>
        <v>0</v>
      </c>
      <c r="Q145" s="5"/>
      <c r="R145" s="5"/>
      <c r="S145" s="5"/>
      <c r="T145" s="5"/>
      <c r="U145" s="5"/>
      <c r="V145" s="5"/>
      <c r="W145" s="5">
        <v>0</v>
      </c>
      <c r="X145" s="5">
        <v>1</v>
      </c>
      <c r="Y145" s="5">
        <v>0</v>
      </c>
      <c r="Z145" s="5">
        <v>0</v>
      </c>
      <c r="AA145" s="5">
        <v>1</v>
      </c>
      <c r="AB145" s="5">
        <v>0</v>
      </c>
    </row>
    <row r="146" spans="1:28" x14ac:dyDescent="0.2">
      <c r="A146" s="5">
        <v>50</v>
      </c>
      <c r="B146" s="5">
        <v>0</v>
      </c>
      <c r="C146" s="5">
        <v>0</v>
      </c>
      <c r="D146" s="5">
        <v>1</v>
      </c>
      <c r="E146" s="5">
        <v>203</v>
      </c>
      <c r="F146" s="5">
        <f>ROUND(Source!Q134,O146)</f>
        <v>93.35</v>
      </c>
      <c r="G146" s="5" t="s">
        <v>126</v>
      </c>
      <c r="H146" s="5" t="s">
        <v>127</v>
      </c>
      <c r="I146" s="5"/>
      <c r="J146" s="5"/>
      <c r="K146" s="5">
        <v>203</v>
      </c>
      <c r="L146" s="5">
        <v>11</v>
      </c>
      <c r="M146" s="5">
        <v>3</v>
      </c>
      <c r="N146" s="5" t="s">
        <v>3</v>
      </c>
      <c r="O146" s="5">
        <v>2</v>
      </c>
      <c r="P146" s="5">
        <f>ROUND(Source!DI134,O146)</f>
        <v>777.09</v>
      </c>
      <c r="Q146" s="5"/>
      <c r="R146" s="5"/>
      <c r="S146" s="5"/>
      <c r="T146" s="5"/>
      <c r="U146" s="5"/>
      <c r="V146" s="5"/>
      <c r="W146" s="5">
        <v>93.35</v>
      </c>
      <c r="X146" s="5">
        <v>1</v>
      </c>
      <c r="Y146" s="5">
        <v>93.35</v>
      </c>
      <c r="Z146" s="5">
        <v>777.09</v>
      </c>
      <c r="AA146" s="5">
        <v>1</v>
      </c>
      <c r="AB146" s="5">
        <v>777.09</v>
      </c>
    </row>
    <row r="147" spans="1:28" x14ac:dyDescent="0.2">
      <c r="A147" s="5">
        <v>50</v>
      </c>
      <c r="B147" s="5">
        <v>0</v>
      </c>
      <c r="C147" s="5">
        <v>0</v>
      </c>
      <c r="D147" s="5">
        <v>1</v>
      </c>
      <c r="E147" s="5">
        <v>231</v>
      </c>
      <c r="F147" s="5">
        <f>ROUND(Source!BB134,O147)</f>
        <v>0</v>
      </c>
      <c r="G147" s="5" t="s">
        <v>128</v>
      </c>
      <c r="H147" s="5" t="s">
        <v>129</v>
      </c>
      <c r="I147" s="5"/>
      <c r="J147" s="5"/>
      <c r="K147" s="5">
        <v>231</v>
      </c>
      <c r="L147" s="5">
        <v>12</v>
      </c>
      <c r="M147" s="5">
        <v>3</v>
      </c>
      <c r="N147" s="5" t="s">
        <v>3</v>
      </c>
      <c r="O147" s="5">
        <v>2</v>
      </c>
      <c r="P147" s="5">
        <f>ROUND(Source!ET134,O147)</f>
        <v>0</v>
      </c>
      <c r="Q147" s="5"/>
      <c r="R147" s="5"/>
      <c r="S147" s="5"/>
      <c r="T147" s="5"/>
      <c r="U147" s="5"/>
      <c r="V147" s="5"/>
      <c r="W147" s="5">
        <v>0</v>
      </c>
      <c r="X147" s="5">
        <v>1</v>
      </c>
      <c r="Y147" s="5">
        <v>0</v>
      </c>
      <c r="Z147" s="5">
        <v>0</v>
      </c>
      <c r="AA147" s="5">
        <v>1</v>
      </c>
      <c r="AB147" s="5">
        <v>0</v>
      </c>
    </row>
    <row r="148" spans="1:28" x14ac:dyDescent="0.2">
      <c r="A148" s="5">
        <v>50</v>
      </c>
      <c r="B148" s="5">
        <v>0</v>
      </c>
      <c r="C148" s="5">
        <v>0</v>
      </c>
      <c r="D148" s="5">
        <v>1</v>
      </c>
      <c r="E148" s="5">
        <v>204</v>
      </c>
      <c r="F148" s="5">
        <f>ROUND(Source!R134,O148)</f>
        <v>8.92</v>
      </c>
      <c r="G148" s="5" t="s">
        <v>130</v>
      </c>
      <c r="H148" s="5" t="s">
        <v>131</v>
      </c>
      <c r="I148" s="5"/>
      <c r="J148" s="5"/>
      <c r="K148" s="5">
        <v>204</v>
      </c>
      <c r="L148" s="5">
        <v>13</v>
      </c>
      <c r="M148" s="5">
        <v>3</v>
      </c>
      <c r="N148" s="5" t="s">
        <v>3</v>
      </c>
      <c r="O148" s="5">
        <v>2</v>
      </c>
      <c r="P148" s="5">
        <f>ROUND(Source!DJ134,O148)</f>
        <v>307.83</v>
      </c>
      <c r="Q148" s="5"/>
      <c r="R148" s="5"/>
      <c r="S148" s="5"/>
      <c r="T148" s="5"/>
      <c r="U148" s="5"/>
      <c r="V148" s="5"/>
      <c r="W148" s="5">
        <v>8.92</v>
      </c>
      <c r="X148" s="5">
        <v>1</v>
      </c>
      <c r="Y148" s="5">
        <v>8.92</v>
      </c>
      <c r="Z148" s="5">
        <v>307.83</v>
      </c>
      <c r="AA148" s="5">
        <v>1</v>
      </c>
      <c r="AB148" s="5">
        <v>307.83</v>
      </c>
    </row>
    <row r="149" spans="1:28" x14ac:dyDescent="0.2">
      <c r="A149" s="5">
        <v>50</v>
      </c>
      <c r="B149" s="5">
        <v>0</v>
      </c>
      <c r="C149" s="5">
        <v>0</v>
      </c>
      <c r="D149" s="5">
        <v>1</v>
      </c>
      <c r="E149" s="5">
        <v>205</v>
      </c>
      <c r="F149" s="5">
        <f>ROUND(Source!S134,O149)</f>
        <v>296.56</v>
      </c>
      <c r="G149" s="5" t="s">
        <v>132</v>
      </c>
      <c r="H149" s="5" t="s">
        <v>133</v>
      </c>
      <c r="I149" s="5"/>
      <c r="J149" s="5"/>
      <c r="K149" s="5">
        <v>205</v>
      </c>
      <c r="L149" s="5">
        <v>14</v>
      </c>
      <c r="M149" s="5">
        <v>3</v>
      </c>
      <c r="N149" s="5" t="s">
        <v>3</v>
      </c>
      <c r="O149" s="5">
        <v>2</v>
      </c>
      <c r="P149" s="5">
        <f>ROUND(Source!DK134,O149)</f>
        <v>10234.280000000001</v>
      </c>
      <c r="Q149" s="5"/>
      <c r="R149" s="5"/>
      <c r="S149" s="5"/>
      <c r="T149" s="5"/>
      <c r="U149" s="5"/>
      <c r="V149" s="5"/>
      <c r="W149" s="5">
        <v>296.56</v>
      </c>
      <c r="X149" s="5">
        <v>1</v>
      </c>
      <c r="Y149" s="5">
        <v>296.56</v>
      </c>
      <c r="Z149" s="5">
        <v>10234.280000000001</v>
      </c>
      <c r="AA149" s="5">
        <v>1</v>
      </c>
      <c r="AB149" s="5">
        <v>10234.280000000001</v>
      </c>
    </row>
    <row r="150" spans="1:28" x14ac:dyDescent="0.2">
      <c r="A150" s="5">
        <v>50</v>
      </c>
      <c r="B150" s="5">
        <v>0</v>
      </c>
      <c r="C150" s="5">
        <v>0</v>
      </c>
      <c r="D150" s="5">
        <v>1</v>
      </c>
      <c r="E150" s="5">
        <v>232</v>
      </c>
      <c r="F150" s="5">
        <f>ROUND(Source!BC134,O150)</f>
        <v>0</v>
      </c>
      <c r="G150" s="5" t="s">
        <v>134</v>
      </c>
      <c r="H150" s="5" t="s">
        <v>135</v>
      </c>
      <c r="I150" s="5"/>
      <c r="J150" s="5"/>
      <c r="K150" s="5">
        <v>232</v>
      </c>
      <c r="L150" s="5">
        <v>15</v>
      </c>
      <c r="M150" s="5">
        <v>3</v>
      </c>
      <c r="N150" s="5" t="s">
        <v>3</v>
      </c>
      <c r="O150" s="5">
        <v>2</v>
      </c>
      <c r="P150" s="5">
        <f>ROUND(Source!EU134,O150)</f>
        <v>0</v>
      </c>
      <c r="Q150" s="5"/>
      <c r="R150" s="5"/>
      <c r="S150" s="5"/>
      <c r="T150" s="5"/>
      <c r="U150" s="5"/>
      <c r="V150" s="5"/>
      <c r="W150" s="5">
        <v>0</v>
      </c>
      <c r="X150" s="5">
        <v>1</v>
      </c>
      <c r="Y150" s="5">
        <v>0</v>
      </c>
      <c r="Z150" s="5">
        <v>0</v>
      </c>
      <c r="AA150" s="5">
        <v>1</v>
      </c>
      <c r="AB150" s="5">
        <v>0</v>
      </c>
    </row>
    <row r="151" spans="1:28" x14ac:dyDescent="0.2">
      <c r="A151" s="5">
        <v>50</v>
      </c>
      <c r="B151" s="5">
        <v>0</v>
      </c>
      <c r="C151" s="5">
        <v>0</v>
      </c>
      <c r="D151" s="5">
        <v>1</v>
      </c>
      <c r="E151" s="5">
        <v>214</v>
      </c>
      <c r="F151" s="5">
        <f>ROUND(Source!AS134,O151)</f>
        <v>0</v>
      </c>
      <c r="G151" s="5" t="s">
        <v>136</v>
      </c>
      <c r="H151" s="5" t="s">
        <v>137</v>
      </c>
      <c r="I151" s="5"/>
      <c r="J151" s="5"/>
      <c r="K151" s="5">
        <v>214</v>
      </c>
      <c r="L151" s="5">
        <v>16</v>
      </c>
      <c r="M151" s="5">
        <v>3</v>
      </c>
      <c r="N151" s="5" t="s">
        <v>3</v>
      </c>
      <c r="O151" s="5">
        <v>2</v>
      </c>
      <c r="P151" s="5">
        <f>ROUND(Source!EK134,O151)</f>
        <v>0</v>
      </c>
      <c r="Q151" s="5"/>
      <c r="R151" s="5"/>
      <c r="S151" s="5"/>
      <c r="T151" s="5"/>
      <c r="U151" s="5"/>
      <c r="V151" s="5"/>
      <c r="W151" s="5">
        <v>0</v>
      </c>
      <c r="X151" s="5">
        <v>1</v>
      </c>
      <c r="Y151" s="5">
        <v>0</v>
      </c>
      <c r="Z151" s="5">
        <v>0</v>
      </c>
      <c r="AA151" s="5">
        <v>1</v>
      </c>
      <c r="AB151" s="5">
        <v>0</v>
      </c>
    </row>
    <row r="152" spans="1:28" x14ac:dyDescent="0.2">
      <c r="A152" s="5">
        <v>50</v>
      </c>
      <c r="B152" s="5">
        <v>0</v>
      </c>
      <c r="C152" s="5">
        <v>0</v>
      </c>
      <c r="D152" s="5">
        <v>1</v>
      </c>
      <c r="E152" s="5">
        <v>215</v>
      </c>
      <c r="F152" s="5">
        <f>ROUND(Source!AT134,O152)</f>
        <v>5291.61</v>
      </c>
      <c r="G152" s="5" t="s">
        <v>138</v>
      </c>
      <c r="H152" s="5" t="s">
        <v>139</v>
      </c>
      <c r="I152" s="5"/>
      <c r="J152" s="5"/>
      <c r="K152" s="5">
        <v>215</v>
      </c>
      <c r="L152" s="5">
        <v>17</v>
      </c>
      <c r="M152" s="5">
        <v>3</v>
      </c>
      <c r="N152" s="5" t="s">
        <v>3</v>
      </c>
      <c r="O152" s="5">
        <v>2</v>
      </c>
      <c r="P152" s="5">
        <f>ROUND(Source!EL134,O152)</f>
        <v>52840.53</v>
      </c>
      <c r="Q152" s="5"/>
      <c r="R152" s="5"/>
      <c r="S152" s="5"/>
      <c r="T152" s="5"/>
      <c r="U152" s="5"/>
      <c r="V152" s="5"/>
      <c r="W152" s="5">
        <v>5291.61</v>
      </c>
      <c r="X152" s="5">
        <v>1</v>
      </c>
      <c r="Y152" s="5">
        <v>5291.61</v>
      </c>
      <c r="Z152" s="5">
        <v>52840.53</v>
      </c>
      <c r="AA152" s="5">
        <v>1</v>
      </c>
      <c r="AB152" s="5">
        <v>52840.53</v>
      </c>
    </row>
    <row r="153" spans="1:28" x14ac:dyDescent="0.2">
      <c r="A153" s="5">
        <v>50</v>
      </c>
      <c r="B153" s="5">
        <v>0</v>
      </c>
      <c r="C153" s="5">
        <v>0</v>
      </c>
      <c r="D153" s="5">
        <v>1</v>
      </c>
      <c r="E153" s="5">
        <v>217</v>
      </c>
      <c r="F153" s="5">
        <f>ROUND(Source!AU134,O153)</f>
        <v>0</v>
      </c>
      <c r="G153" s="5" t="s">
        <v>140</v>
      </c>
      <c r="H153" s="5" t="s">
        <v>141</v>
      </c>
      <c r="I153" s="5"/>
      <c r="J153" s="5"/>
      <c r="K153" s="5">
        <v>217</v>
      </c>
      <c r="L153" s="5">
        <v>18</v>
      </c>
      <c r="M153" s="5">
        <v>3</v>
      </c>
      <c r="N153" s="5" t="s">
        <v>3</v>
      </c>
      <c r="O153" s="5">
        <v>2</v>
      </c>
      <c r="P153" s="5">
        <f>ROUND(Source!EM134,O153)</f>
        <v>0</v>
      </c>
      <c r="Q153" s="5"/>
      <c r="R153" s="5"/>
      <c r="S153" s="5"/>
      <c r="T153" s="5"/>
      <c r="U153" s="5"/>
      <c r="V153" s="5"/>
      <c r="W153" s="5">
        <v>0</v>
      </c>
      <c r="X153" s="5">
        <v>1</v>
      </c>
      <c r="Y153" s="5">
        <v>0</v>
      </c>
      <c r="Z153" s="5">
        <v>0</v>
      </c>
      <c r="AA153" s="5">
        <v>1</v>
      </c>
      <c r="AB153" s="5">
        <v>0</v>
      </c>
    </row>
    <row r="154" spans="1:28" x14ac:dyDescent="0.2">
      <c r="A154" s="5">
        <v>50</v>
      </c>
      <c r="B154" s="5">
        <v>0</v>
      </c>
      <c r="C154" s="5">
        <v>0</v>
      </c>
      <c r="D154" s="5">
        <v>1</v>
      </c>
      <c r="E154" s="5">
        <v>230</v>
      </c>
      <c r="F154" s="5">
        <f>ROUND(Source!BA134,O154)</f>
        <v>0</v>
      </c>
      <c r="G154" s="5" t="s">
        <v>142</v>
      </c>
      <c r="H154" s="5" t="s">
        <v>143</v>
      </c>
      <c r="I154" s="5"/>
      <c r="J154" s="5"/>
      <c r="K154" s="5">
        <v>230</v>
      </c>
      <c r="L154" s="5">
        <v>19</v>
      </c>
      <c r="M154" s="5">
        <v>3</v>
      </c>
      <c r="N154" s="5" t="s">
        <v>3</v>
      </c>
      <c r="O154" s="5">
        <v>2</v>
      </c>
      <c r="P154" s="5">
        <f>ROUND(Source!ES134,O154)</f>
        <v>0</v>
      </c>
      <c r="Q154" s="5"/>
      <c r="R154" s="5"/>
      <c r="S154" s="5"/>
      <c r="T154" s="5"/>
      <c r="U154" s="5"/>
      <c r="V154" s="5"/>
      <c r="W154" s="5">
        <v>0</v>
      </c>
      <c r="X154" s="5">
        <v>1</v>
      </c>
      <c r="Y154" s="5">
        <v>0</v>
      </c>
      <c r="Z154" s="5">
        <v>0</v>
      </c>
      <c r="AA154" s="5">
        <v>1</v>
      </c>
      <c r="AB154" s="5">
        <v>0</v>
      </c>
    </row>
    <row r="155" spans="1:28" x14ac:dyDescent="0.2">
      <c r="A155" s="5">
        <v>50</v>
      </c>
      <c r="B155" s="5">
        <v>0</v>
      </c>
      <c r="C155" s="5">
        <v>0</v>
      </c>
      <c r="D155" s="5">
        <v>1</v>
      </c>
      <c r="E155" s="5">
        <v>206</v>
      </c>
      <c r="F155" s="5">
        <f>ROUND(Source!T134,O155)</f>
        <v>0</v>
      </c>
      <c r="G155" s="5" t="s">
        <v>144</v>
      </c>
      <c r="H155" s="5" t="s">
        <v>145</v>
      </c>
      <c r="I155" s="5"/>
      <c r="J155" s="5"/>
      <c r="K155" s="5">
        <v>206</v>
      </c>
      <c r="L155" s="5">
        <v>20</v>
      </c>
      <c r="M155" s="5">
        <v>3</v>
      </c>
      <c r="N155" s="5" t="s">
        <v>3</v>
      </c>
      <c r="O155" s="5">
        <v>2</v>
      </c>
      <c r="P155" s="5">
        <f>ROUND(Source!DL134,O155)</f>
        <v>0</v>
      </c>
      <c r="Q155" s="5"/>
      <c r="R155" s="5"/>
      <c r="S155" s="5"/>
      <c r="T155" s="5"/>
      <c r="U155" s="5"/>
      <c r="V155" s="5"/>
      <c r="W155" s="5">
        <v>0</v>
      </c>
      <c r="X155" s="5">
        <v>1</v>
      </c>
      <c r="Y155" s="5">
        <v>0</v>
      </c>
      <c r="Z155" s="5">
        <v>0</v>
      </c>
      <c r="AA155" s="5">
        <v>1</v>
      </c>
      <c r="AB155" s="5">
        <v>0</v>
      </c>
    </row>
    <row r="156" spans="1:28" x14ac:dyDescent="0.2">
      <c r="A156" s="5">
        <v>50</v>
      </c>
      <c r="B156" s="5">
        <v>0</v>
      </c>
      <c r="C156" s="5">
        <v>0</v>
      </c>
      <c r="D156" s="5">
        <v>1</v>
      </c>
      <c r="E156" s="5">
        <v>207</v>
      </c>
      <c r="F156" s="5">
        <f>Source!U134</f>
        <v>22.298364918720001</v>
      </c>
      <c r="G156" s="5" t="s">
        <v>146</v>
      </c>
      <c r="H156" s="5" t="s">
        <v>147</v>
      </c>
      <c r="I156" s="5"/>
      <c r="J156" s="5"/>
      <c r="K156" s="5">
        <v>207</v>
      </c>
      <c r="L156" s="5">
        <v>21</v>
      </c>
      <c r="M156" s="5">
        <v>3</v>
      </c>
      <c r="N156" s="5" t="s">
        <v>3</v>
      </c>
      <c r="O156" s="5">
        <v>-1</v>
      </c>
      <c r="P156" s="5">
        <f>Source!DM134</f>
        <v>22.298364918720001</v>
      </c>
      <c r="Q156" s="5"/>
      <c r="R156" s="5"/>
      <c r="S156" s="5"/>
      <c r="T156" s="5"/>
      <c r="U156" s="5"/>
      <c r="V156" s="5"/>
      <c r="W156" s="5">
        <v>22.298364918720001</v>
      </c>
      <c r="X156" s="5">
        <v>1</v>
      </c>
      <c r="Y156" s="5">
        <v>22.298364918720001</v>
      </c>
      <c r="Z156" s="5">
        <v>22.298364918720001</v>
      </c>
      <c r="AA156" s="5">
        <v>1</v>
      </c>
      <c r="AB156" s="5">
        <v>22.298364918720001</v>
      </c>
    </row>
    <row r="157" spans="1:28" x14ac:dyDescent="0.2">
      <c r="A157" s="5">
        <v>50</v>
      </c>
      <c r="B157" s="5">
        <v>0</v>
      </c>
      <c r="C157" s="5">
        <v>0</v>
      </c>
      <c r="D157" s="5">
        <v>1</v>
      </c>
      <c r="E157" s="5">
        <v>208</v>
      </c>
      <c r="F157" s="5">
        <f>Source!V134</f>
        <v>0</v>
      </c>
      <c r="G157" s="5" t="s">
        <v>148</v>
      </c>
      <c r="H157" s="5" t="s">
        <v>149</v>
      </c>
      <c r="I157" s="5"/>
      <c r="J157" s="5"/>
      <c r="K157" s="5">
        <v>208</v>
      </c>
      <c r="L157" s="5">
        <v>22</v>
      </c>
      <c r="M157" s="5">
        <v>3</v>
      </c>
      <c r="N157" s="5" t="s">
        <v>3</v>
      </c>
      <c r="O157" s="5">
        <v>-1</v>
      </c>
      <c r="P157" s="5">
        <f>Source!DN134</f>
        <v>0</v>
      </c>
      <c r="Q157" s="5"/>
      <c r="R157" s="5"/>
      <c r="S157" s="5"/>
      <c r="T157" s="5"/>
      <c r="U157" s="5"/>
      <c r="V157" s="5"/>
      <c r="W157" s="5">
        <v>0</v>
      </c>
      <c r="X157" s="5">
        <v>1</v>
      </c>
      <c r="Y157" s="5">
        <v>0</v>
      </c>
      <c r="Z157" s="5">
        <v>0</v>
      </c>
      <c r="AA157" s="5">
        <v>1</v>
      </c>
      <c r="AB157" s="5">
        <v>0</v>
      </c>
    </row>
    <row r="158" spans="1:28" x14ac:dyDescent="0.2">
      <c r="A158" s="5">
        <v>50</v>
      </c>
      <c r="B158" s="5">
        <v>0</v>
      </c>
      <c r="C158" s="5">
        <v>0</v>
      </c>
      <c r="D158" s="5">
        <v>1</v>
      </c>
      <c r="E158" s="5">
        <v>209</v>
      </c>
      <c r="F158" s="5">
        <f>ROUND(Source!W134,O158)</f>
        <v>0</v>
      </c>
      <c r="G158" s="5" t="s">
        <v>150</v>
      </c>
      <c r="H158" s="5" t="s">
        <v>151</v>
      </c>
      <c r="I158" s="5"/>
      <c r="J158" s="5"/>
      <c r="K158" s="5">
        <v>209</v>
      </c>
      <c r="L158" s="5">
        <v>23</v>
      </c>
      <c r="M158" s="5">
        <v>3</v>
      </c>
      <c r="N158" s="5" t="s">
        <v>3</v>
      </c>
      <c r="O158" s="5">
        <v>2</v>
      </c>
      <c r="P158" s="5">
        <f>ROUND(Source!DO134,O158)</f>
        <v>0</v>
      </c>
      <c r="Q158" s="5"/>
      <c r="R158" s="5"/>
      <c r="S158" s="5"/>
      <c r="T158" s="5"/>
      <c r="U158" s="5"/>
      <c r="V158" s="5"/>
      <c r="W158" s="5">
        <v>0</v>
      </c>
      <c r="X158" s="5">
        <v>1</v>
      </c>
      <c r="Y158" s="5">
        <v>0</v>
      </c>
      <c r="Z158" s="5">
        <v>0</v>
      </c>
      <c r="AA158" s="5">
        <v>1</v>
      </c>
      <c r="AB158" s="5">
        <v>0</v>
      </c>
    </row>
    <row r="159" spans="1:28" x14ac:dyDescent="0.2">
      <c r="A159" s="5">
        <v>50</v>
      </c>
      <c r="B159" s="5">
        <v>0</v>
      </c>
      <c r="C159" s="5">
        <v>0</v>
      </c>
      <c r="D159" s="5">
        <v>1</v>
      </c>
      <c r="E159" s="5">
        <v>233</v>
      </c>
      <c r="F159" s="5">
        <f>ROUND(Source!BD134,O159)</f>
        <v>0</v>
      </c>
      <c r="G159" s="5" t="s">
        <v>152</v>
      </c>
      <c r="H159" s="5" t="s">
        <v>153</v>
      </c>
      <c r="I159" s="5"/>
      <c r="J159" s="5"/>
      <c r="K159" s="5">
        <v>233</v>
      </c>
      <c r="L159" s="5">
        <v>24</v>
      </c>
      <c r="M159" s="5">
        <v>3</v>
      </c>
      <c r="N159" s="5" t="s">
        <v>3</v>
      </c>
      <c r="O159" s="5">
        <v>2</v>
      </c>
      <c r="P159" s="5">
        <f>ROUND(Source!EV134,O159)</f>
        <v>0</v>
      </c>
      <c r="Q159" s="5"/>
      <c r="R159" s="5"/>
      <c r="S159" s="5"/>
      <c r="T159" s="5"/>
      <c r="U159" s="5"/>
      <c r="V159" s="5"/>
      <c r="W159" s="5">
        <v>0</v>
      </c>
      <c r="X159" s="5">
        <v>1</v>
      </c>
      <c r="Y159" s="5">
        <v>0</v>
      </c>
      <c r="Z159" s="5">
        <v>0</v>
      </c>
      <c r="AA159" s="5">
        <v>1</v>
      </c>
      <c r="AB159" s="5">
        <v>0</v>
      </c>
    </row>
    <row r="160" spans="1:28" x14ac:dyDescent="0.2">
      <c r="A160" s="5">
        <v>50</v>
      </c>
      <c r="B160" s="5">
        <v>0</v>
      </c>
      <c r="C160" s="5">
        <v>0</v>
      </c>
      <c r="D160" s="5">
        <v>1</v>
      </c>
      <c r="E160" s="5">
        <v>210</v>
      </c>
      <c r="F160" s="5">
        <f>ROUND(Source!X134,O160)</f>
        <v>332.15</v>
      </c>
      <c r="G160" s="5" t="s">
        <v>154</v>
      </c>
      <c r="H160" s="5" t="s">
        <v>155</v>
      </c>
      <c r="I160" s="5"/>
      <c r="J160" s="5"/>
      <c r="K160" s="5">
        <v>210</v>
      </c>
      <c r="L160" s="5">
        <v>25</v>
      </c>
      <c r="M160" s="5">
        <v>3</v>
      </c>
      <c r="N160" s="5" t="s">
        <v>3</v>
      </c>
      <c r="O160" s="5">
        <v>2</v>
      </c>
      <c r="P160" s="5">
        <f>ROUND(Source!DP134,O160)</f>
        <v>9415.5400000000009</v>
      </c>
      <c r="Q160" s="5"/>
      <c r="R160" s="5"/>
      <c r="S160" s="5"/>
      <c r="T160" s="5"/>
      <c r="U160" s="5"/>
      <c r="V160" s="5"/>
      <c r="W160" s="5">
        <v>332.15</v>
      </c>
      <c r="X160" s="5">
        <v>1</v>
      </c>
      <c r="Y160" s="5">
        <v>332.15</v>
      </c>
      <c r="Z160" s="5">
        <v>9415.5400000000009</v>
      </c>
      <c r="AA160" s="5">
        <v>1</v>
      </c>
      <c r="AB160" s="5">
        <v>9415.5400000000009</v>
      </c>
    </row>
    <row r="161" spans="1:255" x14ac:dyDescent="0.2">
      <c r="A161" s="5">
        <v>50</v>
      </c>
      <c r="B161" s="5">
        <v>0</v>
      </c>
      <c r="C161" s="5">
        <v>0</v>
      </c>
      <c r="D161" s="5">
        <v>1</v>
      </c>
      <c r="E161" s="5">
        <v>211</v>
      </c>
      <c r="F161" s="5">
        <f>ROUND(Source!Y134,O161)</f>
        <v>207.59</v>
      </c>
      <c r="G161" s="5" t="s">
        <v>156</v>
      </c>
      <c r="H161" s="5" t="s">
        <v>157</v>
      </c>
      <c r="I161" s="5"/>
      <c r="J161" s="5"/>
      <c r="K161" s="5">
        <v>211</v>
      </c>
      <c r="L161" s="5">
        <v>26</v>
      </c>
      <c r="M161" s="5">
        <v>3</v>
      </c>
      <c r="N161" s="5" t="s">
        <v>3</v>
      </c>
      <c r="O161" s="5">
        <v>2</v>
      </c>
      <c r="P161" s="5">
        <f>ROUND(Source!DQ134,O161)</f>
        <v>4400.75</v>
      </c>
      <c r="Q161" s="5"/>
      <c r="R161" s="5"/>
      <c r="S161" s="5"/>
      <c r="T161" s="5"/>
      <c r="U161" s="5"/>
      <c r="V161" s="5"/>
      <c r="W161" s="5">
        <v>207.59</v>
      </c>
      <c r="X161" s="5">
        <v>1</v>
      </c>
      <c r="Y161" s="5">
        <v>207.59</v>
      </c>
      <c r="Z161" s="5">
        <v>4400.75</v>
      </c>
      <c r="AA161" s="5">
        <v>1</v>
      </c>
      <c r="AB161" s="5">
        <v>4400.75</v>
      </c>
    </row>
    <row r="162" spans="1:255" x14ac:dyDescent="0.2">
      <c r="A162" s="5">
        <v>50</v>
      </c>
      <c r="B162" s="5">
        <v>0</v>
      </c>
      <c r="C162" s="5">
        <v>0</v>
      </c>
      <c r="D162" s="5">
        <v>1</v>
      </c>
      <c r="E162" s="5">
        <v>224</v>
      </c>
      <c r="F162" s="5">
        <f>ROUND(Source!AR134,O162)</f>
        <v>5291.61</v>
      </c>
      <c r="G162" s="5" t="s">
        <v>158</v>
      </c>
      <c r="H162" s="5" t="s">
        <v>159</v>
      </c>
      <c r="I162" s="5"/>
      <c r="J162" s="5"/>
      <c r="K162" s="5">
        <v>224</v>
      </c>
      <c r="L162" s="5">
        <v>27</v>
      </c>
      <c r="M162" s="5">
        <v>3</v>
      </c>
      <c r="N162" s="5" t="s">
        <v>3</v>
      </c>
      <c r="O162" s="5">
        <v>2</v>
      </c>
      <c r="P162" s="5">
        <f>ROUND(Source!EJ134,O162)</f>
        <v>52840.53</v>
      </c>
      <c r="Q162" s="5"/>
      <c r="R162" s="5"/>
      <c r="S162" s="5"/>
      <c r="T162" s="5"/>
      <c r="U162" s="5"/>
      <c r="V162" s="5"/>
      <c r="W162" s="5">
        <v>5291.61</v>
      </c>
      <c r="X162" s="5">
        <v>1</v>
      </c>
      <c r="Y162" s="5">
        <v>5291.61</v>
      </c>
      <c r="Z162" s="5">
        <v>52840.53</v>
      </c>
      <c r="AA162" s="5">
        <v>1</v>
      </c>
      <c r="AB162" s="5">
        <v>52840.53</v>
      </c>
    </row>
    <row r="164" spans="1:255" x14ac:dyDescent="0.2">
      <c r="A164" s="1">
        <v>4</v>
      </c>
      <c r="B164" s="1">
        <v>1</v>
      </c>
      <c r="C164" s="1"/>
      <c r="D164" s="1">
        <f>ROW(A410)</f>
        <v>410</v>
      </c>
      <c r="E164" s="1"/>
      <c r="F164" s="1" t="s">
        <v>15</v>
      </c>
      <c r="G164" s="1" t="s">
        <v>244</v>
      </c>
      <c r="H164" s="1" t="s">
        <v>3</v>
      </c>
      <c r="I164" s="1">
        <v>0</v>
      </c>
      <c r="J164" s="1"/>
      <c r="K164" s="1">
        <v>0</v>
      </c>
      <c r="L164" s="1"/>
      <c r="M164" s="1" t="s">
        <v>3</v>
      </c>
      <c r="N164" s="1"/>
      <c r="O164" s="1"/>
      <c r="P164" s="1"/>
      <c r="Q164" s="1"/>
      <c r="R164" s="1"/>
      <c r="S164" s="1">
        <v>0</v>
      </c>
      <c r="T164" s="1">
        <v>0</v>
      </c>
      <c r="U164" s="1" t="s">
        <v>3</v>
      </c>
      <c r="V164" s="1">
        <v>0</v>
      </c>
      <c r="W164" s="1"/>
      <c r="X164" s="1"/>
      <c r="Y164" s="1"/>
      <c r="Z164" s="1"/>
      <c r="AA164" s="1"/>
      <c r="AB164" s="1" t="s">
        <v>3</v>
      </c>
      <c r="AC164" s="1" t="s">
        <v>3</v>
      </c>
      <c r="AD164" s="1" t="s">
        <v>3</v>
      </c>
      <c r="AE164" s="1" t="s">
        <v>3</v>
      </c>
      <c r="AF164" s="1" t="s">
        <v>3</v>
      </c>
      <c r="AG164" s="1" t="s">
        <v>3</v>
      </c>
      <c r="AH164" s="1"/>
      <c r="AI164" s="1"/>
      <c r="AJ164" s="1"/>
      <c r="AK164" s="1"/>
      <c r="AL164" s="1"/>
      <c r="AM164" s="1"/>
      <c r="AN164" s="1"/>
      <c r="AO164" s="1"/>
      <c r="AP164" s="1" t="s">
        <v>3</v>
      </c>
      <c r="AQ164" s="1" t="s">
        <v>3</v>
      </c>
      <c r="AR164" s="1" t="s">
        <v>3</v>
      </c>
      <c r="AS164" s="1"/>
      <c r="AT164" s="1"/>
      <c r="AU164" s="1"/>
      <c r="AV164" s="1"/>
      <c r="AW164" s="1"/>
      <c r="AX164" s="1"/>
      <c r="AY164" s="1"/>
      <c r="AZ164" s="1" t="s">
        <v>3</v>
      </c>
      <c r="BA164" s="1"/>
      <c r="BB164" s="1" t="s">
        <v>3</v>
      </c>
      <c r="BC164" s="1" t="s">
        <v>3</v>
      </c>
      <c r="BD164" s="1" t="s">
        <v>3</v>
      </c>
      <c r="BE164" s="1" t="s">
        <v>3</v>
      </c>
      <c r="BF164" s="1" t="s">
        <v>3</v>
      </c>
      <c r="BG164" s="1" t="s">
        <v>3</v>
      </c>
      <c r="BH164" s="1" t="s">
        <v>3</v>
      </c>
      <c r="BI164" s="1" t="s">
        <v>3</v>
      </c>
      <c r="BJ164" s="1" t="s">
        <v>3</v>
      </c>
      <c r="BK164" s="1" t="s">
        <v>3</v>
      </c>
      <c r="BL164" s="1" t="s">
        <v>3</v>
      </c>
      <c r="BM164" s="1" t="s">
        <v>3</v>
      </c>
      <c r="BN164" s="1" t="s">
        <v>3</v>
      </c>
      <c r="BO164" s="1" t="s">
        <v>3</v>
      </c>
      <c r="BP164" s="1" t="s">
        <v>3</v>
      </c>
      <c r="BQ164" s="1"/>
      <c r="BR164" s="1"/>
      <c r="BS164" s="1"/>
      <c r="BT164" s="1"/>
      <c r="BU164" s="1"/>
      <c r="BV164" s="1"/>
      <c r="BW164" s="1"/>
      <c r="BX164" s="1">
        <v>0</v>
      </c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>
        <v>0</v>
      </c>
    </row>
    <row r="166" spans="1:255" x14ac:dyDescent="0.2">
      <c r="A166" s="3">
        <v>52</v>
      </c>
      <c r="B166" s="3">
        <f t="shared" ref="B166:G166" si="121">B410</f>
        <v>1</v>
      </c>
      <c r="C166" s="3">
        <f t="shared" si="121"/>
        <v>4</v>
      </c>
      <c r="D166" s="3">
        <f t="shared" si="121"/>
        <v>164</v>
      </c>
      <c r="E166" s="3">
        <f t="shared" si="121"/>
        <v>0</v>
      </c>
      <c r="F166" s="3" t="str">
        <f t="shared" si="121"/>
        <v>Новый раздел</v>
      </c>
      <c r="G166" s="3" t="str">
        <f t="shared" si="121"/>
        <v>Благоустройство</v>
      </c>
      <c r="H166" s="3"/>
      <c r="I166" s="3"/>
      <c r="J166" s="3"/>
      <c r="K166" s="3"/>
      <c r="L166" s="3"/>
      <c r="M166" s="3"/>
      <c r="N166" s="3"/>
      <c r="O166" s="3">
        <f t="shared" ref="O166:AT166" si="122">O410</f>
        <v>656.25</v>
      </c>
      <c r="P166" s="3">
        <f t="shared" si="122"/>
        <v>538.19000000000005</v>
      </c>
      <c r="Q166" s="3">
        <f t="shared" si="122"/>
        <v>74.83</v>
      </c>
      <c r="R166" s="3">
        <f t="shared" si="122"/>
        <v>8.5500000000000007</v>
      </c>
      <c r="S166" s="3">
        <f t="shared" si="122"/>
        <v>43.23</v>
      </c>
      <c r="T166" s="3">
        <f t="shared" si="122"/>
        <v>0</v>
      </c>
      <c r="U166" s="3">
        <f t="shared" si="122"/>
        <v>3.9654789042000003</v>
      </c>
      <c r="V166" s="3">
        <f t="shared" si="122"/>
        <v>0</v>
      </c>
      <c r="W166" s="3">
        <f t="shared" si="122"/>
        <v>0</v>
      </c>
      <c r="X166" s="3">
        <f t="shared" si="122"/>
        <v>70.2</v>
      </c>
      <c r="Y166" s="3">
        <f t="shared" si="122"/>
        <v>40.75</v>
      </c>
      <c r="Z166" s="3">
        <f t="shared" si="122"/>
        <v>0</v>
      </c>
      <c r="AA166" s="3">
        <f t="shared" si="122"/>
        <v>0</v>
      </c>
      <c r="AB166" s="3">
        <f t="shared" si="122"/>
        <v>0</v>
      </c>
      <c r="AC166" s="3">
        <f t="shared" si="122"/>
        <v>0</v>
      </c>
      <c r="AD166" s="3">
        <f t="shared" si="122"/>
        <v>0</v>
      </c>
      <c r="AE166" s="3">
        <f t="shared" si="122"/>
        <v>0</v>
      </c>
      <c r="AF166" s="3">
        <f t="shared" si="122"/>
        <v>0</v>
      </c>
      <c r="AG166" s="3">
        <f t="shared" si="122"/>
        <v>0</v>
      </c>
      <c r="AH166" s="3">
        <f t="shared" si="122"/>
        <v>0</v>
      </c>
      <c r="AI166" s="3">
        <f t="shared" si="122"/>
        <v>0</v>
      </c>
      <c r="AJ166" s="3">
        <f t="shared" si="122"/>
        <v>0</v>
      </c>
      <c r="AK166" s="3">
        <f t="shared" si="122"/>
        <v>0</v>
      </c>
      <c r="AL166" s="3">
        <f t="shared" si="122"/>
        <v>0</v>
      </c>
      <c r="AM166" s="3">
        <f t="shared" si="122"/>
        <v>0</v>
      </c>
      <c r="AN166" s="3">
        <f t="shared" si="122"/>
        <v>0</v>
      </c>
      <c r="AO166" s="3">
        <f t="shared" si="122"/>
        <v>0</v>
      </c>
      <c r="AP166" s="3">
        <f t="shared" si="122"/>
        <v>0</v>
      </c>
      <c r="AQ166" s="3">
        <f t="shared" si="122"/>
        <v>0</v>
      </c>
      <c r="AR166" s="3">
        <f t="shared" si="122"/>
        <v>782.18</v>
      </c>
      <c r="AS166" s="3">
        <f t="shared" si="122"/>
        <v>782.18</v>
      </c>
      <c r="AT166" s="3">
        <f t="shared" si="122"/>
        <v>0</v>
      </c>
      <c r="AU166" s="3">
        <f t="shared" ref="AU166:BZ166" si="123">AU410</f>
        <v>0</v>
      </c>
      <c r="AV166" s="3">
        <f t="shared" si="123"/>
        <v>538.19000000000005</v>
      </c>
      <c r="AW166" s="3">
        <f t="shared" si="123"/>
        <v>538.19000000000005</v>
      </c>
      <c r="AX166" s="3">
        <f t="shared" si="123"/>
        <v>0</v>
      </c>
      <c r="AY166" s="3">
        <f t="shared" si="123"/>
        <v>538.19000000000005</v>
      </c>
      <c r="AZ166" s="3">
        <f t="shared" si="123"/>
        <v>0</v>
      </c>
      <c r="BA166" s="3">
        <f t="shared" si="123"/>
        <v>0</v>
      </c>
      <c r="BB166" s="3">
        <f t="shared" si="123"/>
        <v>0</v>
      </c>
      <c r="BC166" s="3">
        <f t="shared" si="123"/>
        <v>0</v>
      </c>
      <c r="BD166" s="3">
        <f t="shared" si="123"/>
        <v>0</v>
      </c>
      <c r="BE166" s="3">
        <f t="shared" si="123"/>
        <v>0</v>
      </c>
      <c r="BF166" s="3">
        <f t="shared" si="123"/>
        <v>0</v>
      </c>
      <c r="BG166" s="3">
        <f t="shared" si="123"/>
        <v>0</v>
      </c>
      <c r="BH166" s="3">
        <f t="shared" si="123"/>
        <v>0</v>
      </c>
      <c r="BI166" s="3">
        <f t="shared" si="123"/>
        <v>0</v>
      </c>
      <c r="BJ166" s="3">
        <f t="shared" si="123"/>
        <v>0</v>
      </c>
      <c r="BK166" s="3">
        <f t="shared" si="123"/>
        <v>0</v>
      </c>
      <c r="BL166" s="3">
        <f t="shared" si="123"/>
        <v>0</v>
      </c>
      <c r="BM166" s="3">
        <f t="shared" si="123"/>
        <v>0</v>
      </c>
      <c r="BN166" s="3">
        <f t="shared" si="123"/>
        <v>0</v>
      </c>
      <c r="BO166" s="3">
        <f t="shared" si="123"/>
        <v>0</v>
      </c>
      <c r="BP166" s="3">
        <f t="shared" si="123"/>
        <v>0</v>
      </c>
      <c r="BQ166" s="3">
        <f t="shared" si="123"/>
        <v>0</v>
      </c>
      <c r="BR166" s="3">
        <f t="shared" si="123"/>
        <v>0</v>
      </c>
      <c r="BS166" s="3">
        <f t="shared" si="123"/>
        <v>0</v>
      </c>
      <c r="BT166" s="3">
        <f t="shared" si="123"/>
        <v>0</v>
      </c>
      <c r="BU166" s="3">
        <f t="shared" si="123"/>
        <v>0</v>
      </c>
      <c r="BV166" s="3">
        <f t="shared" si="123"/>
        <v>0</v>
      </c>
      <c r="BW166" s="3">
        <f t="shared" si="123"/>
        <v>0</v>
      </c>
      <c r="BX166" s="3">
        <f t="shared" si="123"/>
        <v>0</v>
      </c>
      <c r="BY166" s="3">
        <f t="shared" si="123"/>
        <v>0</v>
      </c>
      <c r="BZ166" s="3">
        <f t="shared" si="123"/>
        <v>0</v>
      </c>
      <c r="CA166" s="3">
        <f t="shared" ref="CA166:DF166" si="124">CA410</f>
        <v>0</v>
      </c>
      <c r="CB166" s="3">
        <f t="shared" si="124"/>
        <v>0</v>
      </c>
      <c r="CC166" s="3">
        <f t="shared" si="124"/>
        <v>0</v>
      </c>
      <c r="CD166" s="3">
        <f t="shared" si="124"/>
        <v>0</v>
      </c>
      <c r="CE166" s="3">
        <f t="shared" si="124"/>
        <v>0</v>
      </c>
      <c r="CF166" s="3">
        <f t="shared" si="124"/>
        <v>0</v>
      </c>
      <c r="CG166" s="3">
        <f t="shared" si="124"/>
        <v>0</v>
      </c>
      <c r="CH166" s="3">
        <f t="shared" si="124"/>
        <v>0</v>
      </c>
      <c r="CI166" s="3">
        <f t="shared" si="124"/>
        <v>0</v>
      </c>
      <c r="CJ166" s="3">
        <f t="shared" si="124"/>
        <v>0</v>
      </c>
      <c r="CK166" s="3">
        <f t="shared" si="124"/>
        <v>0</v>
      </c>
      <c r="CL166" s="3">
        <f t="shared" si="124"/>
        <v>0</v>
      </c>
      <c r="CM166" s="3">
        <f t="shared" si="124"/>
        <v>0</v>
      </c>
      <c r="CN166" s="3">
        <f t="shared" si="124"/>
        <v>0</v>
      </c>
      <c r="CO166" s="3">
        <f t="shared" si="124"/>
        <v>0</v>
      </c>
      <c r="CP166" s="3">
        <f t="shared" si="124"/>
        <v>0</v>
      </c>
      <c r="CQ166" s="3">
        <f t="shared" si="124"/>
        <v>0</v>
      </c>
      <c r="CR166" s="3">
        <f t="shared" si="124"/>
        <v>0</v>
      </c>
      <c r="CS166" s="3">
        <f t="shared" si="124"/>
        <v>0</v>
      </c>
      <c r="CT166" s="3">
        <f t="shared" si="124"/>
        <v>0</v>
      </c>
      <c r="CU166" s="3">
        <f t="shared" si="124"/>
        <v>0</v>
      </c>
      <c r="CV166" s="3">
        <f t="shared" si="124"/>
        <v>0</v>
      </c>
      <c r="CW166" s="3">
        <f t="shared" si="124"/>
        <v>0</v>
      </c>
      <c r="CX166" s="3">
        <f t="shared" si="124"/>
        <v>0</v>
      </c>
      <c r="CY166" s="3">
        <f t="shared" si="124"/>
        <v>0</v>
      </c>
      <c r="CZ166" s="3">
        <f t="shared" si="124"/>
        <v>0</v>
      </c>
      <c r="DA166" s="3">
        <f t="shared" si="124"/>
        <v>0</v>
      </c>
      <c r="DB166" s="3">
        <f t="shared" si="124"/>
        <v>0</v>
      </c>
      <c r="DC166" s="3">
        <f t="shared" si="124"/>
        <v>0</v>
      </c>
      <c r="DD166" s="3">
        <f t="shared" si="124"/>
        <v>0</v>
      </c>
      <c r="DE166" s="3">
        <f t="shared" si="124"/>
        <v>0</v>
      </c>
      <c r="DF166" s="3">
        <f t="shared" si="124"/>
        <v>0</v>
      </c>
      <c r="DG166" s="4">
        <f t="shared" ref="DG166:EL166" si="125">DG410</f>
        <v>8558.9699999999993</v>
      </c>
      <c r="DH166" s="4">
        <f t="shared" si="125"/>
        <v>6128.9</v>
      </c>
      <c r="DI166" s="4">
        <f t="shared" si="125"/>
        <v>938.19</v>
      </c>
      <c r="DJ166" s="4">
        <f t="shared" si="125"/>
        <v>295.07</v>
      </c>
      <c r="DK166" s="4">
        <f t="shared" si="125"/>
        <v>1491.88</v>
      </c>
      <c r="DL166" s="4">
        <f t="shared" si="125"/>
        <v>0</v>
      </c>
      <c r="DM166" s="4">
        <f t="shared" si="125"/>
        <v>3.9654789042000003</v>
      </c>
      <c r="DN166" s="4">
        <f t="shared" si="125"/>
        <v>0</v>
      </c>
      <c r="DO166" s="4">
        <f t="shared" si="125"/>
        <v>0</v>
      </c>
      <c r="DP166" s="4">
        <f t="shared" si="125"/>
        <v>1571.26</v>
      </c>
      <c r="DQ166" s="4">
        <f t="shared" si="125"/>
        <v>721.05</v>
      </c>
      <c r="DR166" s="4">
        <f t="shared" si="125"/>
        <v>0</v>
      </c>
      <c r="DS166" s="4">
        <f t="shared" si="125"/>
        <v>0</v>
      </c>
      <c r="DT166" s="4">
        <f t="shared" si="125"/>
        <v>0</v>
      </c>
      <c r="DU166" s="4">
        <f t="shared" si="125"/>
        <v>0</v>
      </c>
      <c r="DV166" s="4">
        <f t="shared" si="125"/>
        <v>0</v>
      </c>
      <c r="DW166" s="4">
        <f t="shared" si="125"/>
        <v>0</v>
      </c>
      <c r="DX166" s="4">
        <f t="shared" si="125"/>
        <v>0</v>
      </c>
      <c r="DY166" s="4">
        <f t="shared" si="125"/>
        <v>0</v>
      </c>
      <c r="DZ166" s="4">
        <f t="shared" si="125"/>
        <v>0</v>
      </c>
      <c r="EA166" s="4">
        <f t="shared" si="125"/>
        <v>0</v>
      </c>
      <c r="EB166" s="4">
        <f t="shared" si="125"/>
        <v>0</v>
      </c>
      <c r="EC166" s="4">
        <f t="shared" si="125"/>
        <v>0</v>
      </c>
      <c r="ED166" s="4">
        <f t="shared" si="125"/>
        <v>0</v>
      </c>
      <c r="EE166" s="4">
        <f t="shared" si="125"/>
        <v>0</v>
      </c>
      <c r="EF166" s="4">
        <f t="shared" si="125"/>
        <v>0</v>
      </c>
      <c r="EG166" s="4">
        <f t="shared" si="125"/>
        <v>0</v>
      </c>
      <c r="EH166" s="4">
        <f t="shared" si="125"/>
        <v>0</v>
      </c>
      <c r="EI166" s="4">
        <f t="shared" si="125"/>
        <v>0</v>
      </c>
      <c r="EJ166" s="4">
        <f t="shared" si="125"/>
        <v>11323.41</v>
      </c>
      <c r="EK166" s="4">
        <f t="shared" si="125"/>
        <v>11323.41</v>
      </c>
      <c r="EL166" s="4">
        <f t="shared" si="125"/>
        <v>0</v>
      </c>
      <c r="EM166" s="4">
        <f t="shared" ref="EM166:FR166" si="126">EM410</f>
        <v>0</v>
      </c>
      <c r="EN166" s="4">
        <f t="shared" si="126"/>
        <v>6128.9</v>
      </c>
      <c r="EO166" s="4">
        <f t="shared" si="126"/>
        <v>6128.9</v>
      </c>
      <c r="EP166" s="4">
        <f t="shared" si="126"/>
        <v>0</v>
      </c>
      <c r="EQ166" s="4">
        <f t="shared" si="126"/>
        <v>6128.9</v>
      </c>
      <c r="ER166" s="4">
        <f t="shared" si="126"/>
        <v>0</v>
      </c>
      <c r="ES166" s="4">
        <f t="shared" si="126"/>
        <v>0</v>
      </c>
      <c r="ET166" s="4">
        <f t="shared" si="126"/>
        <v>0</v>
      </c>
      <c r="EU166" s="4">
        <f t="shared" si="126"/>
        <v>0</v>
      </c>
      <c r="EV166" s="4">
        <f t="shared" si="126"/>
        <v>0</v>
      </c>
      <c r="EW166" s="4">
        <f t="shared" si="126"/>
        <v>0</v>
      </c>
      <c r="EX166" s="4">
        <f t="shared" si="126"/>
        <v>0</v>
      </c>
      <c r="EY166" s="4">
        <f t="shared" si="126"/>
        <v>0</v>
      </c>
      <c r="EZ166" s="4">
        <f t="shared" si="126"/>
        <v>0</v>
      </c>
      <c r="FA166" s="4">
        <f t="shared" si="126"/>
        <v>0</v>
      </c>
      <c r="FB166" s="4">
        <f t="shared" si="126"/>
        <v>0</v>
      </c>
      <c r="FC166" s="4">
        <f t="shared" si="126"/>
        <v>0</v>
      </c>
      <c r="FD166" s="4">
        <f t="shared" si="126"/>
        <v>0</v>
      </c>
      <c r="FE166" s="4">
        <f t="shared" si="126"/>
        <v>0</v>
      </c>
      <c r="FF166" s="4">
        <f t="shared" si="126"/>
        <v>0</v>
      </c>
      <c r="FG166" s="4">
        <f t="shared" si="126"/>
        <v>0</v>
      </c>
      <c r="FH166" s="4">
        <f t="shared" si="126"/>
        <v>0</v>
      </c>
      <c r="FI166" s="4">
        <f t="shared" si="126"/>
        <v>0</v>
      </c>
      <c r="FJ166" s="4">
        <f t="shared" si="126"/>
        <v>0</v>
      </c>
      <c r="FK166" s="4">
        <f t="shared" si="126"/>
        <v>0</v>
      </c>
      <c r="FL166" s="4">
        <f t="shared" si="126"/>
        <v>0</v>
      </c>
      <c r="FM166" s="4">
        <f t="shared" si="126"/>
        <v>0</v>
      </c>
      <c r="FN166" s="4">
        <f t="shared" si="126"/>
        <v>0</v>
      </c>
      <c r="FO166" s="4">
        <f t="shared" si="126"/>
        <v>0</v>
      </c>
      <c r="FP166" s="4">
        <f t="shared" si="126"/>
        <v>0</v>
      </c>
      <c r="FQ166" s="4">
        <f t="shared" si="126"/>
        <v>0</v>
      </c>
      <c r="FR166" s="4">
        <f t="shared" si="126"/>
        <v>0</v>
      </c>
      <c r="FS166" s="4">
        <f t="shared" ref="FS166:GX166" si="127">FS410</f>
        <v>0</v>
      </c>
      <c r="FT166" s="4">
        <f t="shared" si="127"/>
        <v>0</v>
      </c>
      <c r="FU166" s="4">
        <f t="shared" si="127"/>
        <v>0</v>
      </c>
      <c r="FV166" s="4">
        <f t="shared" si="127"/>
        <v>0</v>
      </c>
      <c r="FW166" s="4">
        <f t="shared" si="127"/>
        <v>0</v>
      </c>
      <c r="FX166" s="4">
        <f t="shared" si="127"/>
        <v>0</v>
      </c>
      <c r="FY166" s="4">
        <f t="shared" si="127"/>
        <v>0</v>
      </c>
      <c r="FZ166" s="4">
        <f t="shared" si="127"/>
        <v>0</v>
      </c>
      <c r="GA166" s="4">
        <f t="shared" si="127"/>
        <v>0</v>
      </c>
      <c r="GB166" s="4">
        <f t="shared" si="127"/>
        <v>0</v>
      </c>
      <c r="GC166" s="4">
        <f t="shared" si="127"/>
        <v>0</v>
      </c>
      <c r="GD166" s="4">
        <f t="shared" si="127"/>
        <v>0</v>
      </c>
      <c r="GE166" s="4">
        <f t="shared" si="127"/>
        <v>0</v>
      </c>
      <c r="GF166" s="4">
        <f t="shared" si="127"/>
        <v>0</v>
      </c>
      <c r="GG166" s="4">
        <f t="shared" si="127"/>
        <v>0</v>
      </c>
      <c r="GH166" s="4">
        <f t="shared" si="127"/>
        <v>0</v>
      </c>
      <c r="GI166" s="4">
        <f t="shared" si="127"/>
        <v>0</v>
      </c>
      <c r="GJ166" s="4">
        <f t="shared" si="127"/>
        <v>0</v>
      </c>
      <c r="GK166" s="4">
        <f t="shared" si="127"/>
        <v>0</v>
      </c>
      <c r="GL166" s="4">
        <f t="shared" si="127"/>
        <v>0</v>
      </c>
      <c r="GM166" s="4">
        <f t="shared" si="127"/>
        <v>0</v>
      </c>
      <c r="GN166" s="4">
        <f t="shared" si="127"/>
        <v>0</v>
      </c>
      <c r="GO166" s="4">
        <f t="shared" si="127"/>
        <v>0</v>
      </c>
      <c r="GP166" s="4">
        <f t="shared" si="127"/>
        <v>0</v>
      </c>
      <c r="GQ166" s="4">
        <f t="shared" si="127"/>
        <v>0</v>
      </c>
      <c r="GR166" s="4">
        <f t="shared" si="127"/>
        <v>0</v>
      </c>
      <c r="GS166" s="4">
        <f t="shared" si="127"/>
        <v>0</v>
      </c>
      <c r="GT166" s="4">
        <f t="shared" si="127"/>
        <v>0</v>
      </c>
      <c r="GU166" s="4">
        <f t="shared" si="127"/>
        <v>0</v>
      </c>
      <c r="GV166" s="4">
        <f t="shared" si="127"/>
        <v>0</v>
      </c>
      <c r="GW166" s="4">
        <f t="shared" si="127"/>
        <v>0</v>
      </c>
      <c r="GX166" s="4">
        <f t="shared" si="127"/>
        <v>0</v>
      </c>
    </row>
    <row r="168" spans="1:255" x14ac:dyDescent="0.2">
      <c r="A168" s="1">
        <v>5</v>
      </c>
      <c r="B168" s="1">
        <v>1</v>
      </c>
      <c r="C168" s="1"/>
      <c r="D168" s="1">
        <f>ROW(A189)</f>
        <v>189</v>
      </c>
      <c r="E168" s="1"/>
      <c r="F168" s="1" t="s">
        <v>245</v>
      </c>
      <c r="G168" s="1" t="s">
        <v>246</v>
      </c>
      <c r="H168" s="1" t="s">
        <v>3</v>
      </c>
      <c r="I168" s="1">
        <v>0</v>
      </c>
      <c r="J168" s="1"/>
      <c r="K168" s="1">
        <v>0</v>
      </c>
      <c r="L168" s="1"/>
      <c r="M168" s="1" t="s">
        <v>3</v>
      </c>
      <c r="N168" s="1"/>
      <c r="O168" s="1"/>
      <c r="P168" s="1"/>
      <c r="Q168" s="1"/>
      <c r="R168" s="1"/>
      <c r="S168" s="1">
        <v>0</v>
      </c>
      <c r="T168" s="1">
        <v>0</v>
      </c>
      <c r="U168" s="1" t="s">
        <v>3</v>
      </c>
      <c r="V168" s="1">
        <v>0</v>
      </c>
      <c r="W168" s="1"/>
      <c r="X168" s="1"/>
      <c r="Y168" s="1"/>
      <c r="Z168" s="1"/>
      <c r="AA168" s="1"/>
      <c r="AB168" s="1" t="s">
        <v>3</v>
      </c>
      <c r="AC168" s="1" t="s">
        <v>3</v>
      </c>
      <c r="AD168" s="1" t="s">
        <v>3</v>
      </c>
      <c r="AE168" s="1" t="s">
        <v>3</v>
      </c>
      <c r="AF168" s="1" t="s">
        <v>3</v>
      </c>
      <c r="AG168" s="1" t="s">
        <v>3</v>
      </c>
      <c r="AH168" s="1"/>
      <c r="AI168" s="1"/>
      <c r="AJ168" s="1"/>
      <c r="AK168" s="1"/>
      <c r="AL168" s="1"/>
      <c r="AM168" s="1"/>
      <c r="AN168" s="1"/>
      <c r="AO168" s="1"/>
      <c r="AP168" s="1" t="s">
        <v>3</v>
      </c>
      <c r="AQ168" s="1" t="s">
        <v>3</v>
      </c>
      <c r="AR168" s="1" t="s">
        <v>3</v>
      </c>
      <c r="AS168" s="1"/>
      <c r="AT168" s="1"/>
      <c r="AU168" s="1"/>
      <c r="AV168" s="1"/>
      <c r="AW168" s="1"/>
      <c r="AX168" s="1"/>
      <c r="AY168" s="1"/>
      <c r="AZ168" s="1" t="s">
        <v>3</v>
      </c>
      <c r="BA168" s="1"/>
      <c r="BB168" s="1" t="s">
        <v>3</v>
      </c>
      <c r="BC168" s="1" t="s">
        <v>3</v>
      </c>
      <c r="BD168" s="1" t="s">
        <v>3</v>
      </c>
      <c r="BE168" s="1" t="s">
        <v>3</v>
      </c>
      <c r="BF168" s="1" t="s">
        <v>3</v>
      </c>
      <c r="BG168" s="1" t="s">
        <v>3</v>
      </c>
      <c r="BH168" s="1" t="s">
        <v>3</v>
      </c>
      <c r="BI168" s="1" t="s">
        <v>3</v>
      </c>
      <c r="BJ168" s="1" t="s">
        <v>3</v>
      </c>
      <c r="BK168" s="1" t="s">
        <v>3</v>
      </c>
      <c r="BL168" s="1" t="s">
        <v>3</v>
      </c>
      <c r="BM168" s="1" t="s">
        <v>3</v>
      </c>
      <c r="BN168" s="1" t="s">
        <v>3</v>
      </c>
      <c r="BO168" s="1" t="s">
        <v>3</v>
      </c>
      <c r="BP168" s="1" t="s">
        <v>3</v>
      </c>
      <c r="BQ168" s="1"/>
      <c r="BR168" s="1"/>
      <c r="BS168" s="1"/>
      <c r="BT168" s="1"/>
      <c r="BU168" s="1"/>
      <c r="BV168" s="1"/>
      <c r="BW168" s="1"/>
      <c r="BX168" s="1">
        <v>0</v>
      </c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>
        <v>0</v>
      </c>
    </row>
    <row r="170" spans="1:255" x14ac:dyDescent="0.2">
      <c r="A170" s="3">
        <v>52</v>
      </c>
      <c r="B170" s="3">
        <f t="shared" ref="B170:G170" si="128">B189</f>
        <v>1</v>
      </c>
      <c r="C170" s="3">
        <f t="shared" si="128"/>
        <v>5</v>
      </c>
      <c r="D170" s="3">
        <f t="shared" si="128"/>
        <v>168</v>
      </c>
      <c r="E170" s="3">
        <f t="shared" si="128"/>
        <v>0</v>
      </c>
      <c r="F170" s="3" t="str">
        <f t="shared" si="128"/>
        <v>Новый подраздел</v>
      </c>
      <c r="G170" s="3" t="str">
        <f t="shared" si="128"/>
        <v>Газон</v>
      </c>
      <c r="H170" s="3"/>
      <c r="I170" s="3"/>
      <c r="J170" s="3"/>
      <c r="K170" s="3"/>
      <c r="L170" s="3"/>
      <c r="M170" s="3"/>
      <c r="N170" s="3"/>
      <c r="O170" s="3">
        <f t="shared" ref="O170:AT170" si="129">O189</f>
        <v>159.1</v>
      </c>
      <c r="P170" s="3">
        <f t="shared" si="129"/>
        <v>132.81</v>
      </c>
      <c r="Q170" s="3">
        <f t="shared" si="129"/>
        <v>0.31</v>
      </c>
      <c r="R170" s="3">
        <f t="shared" si="129"/>
        <v>0.04</v>
      </c>
      <c r="S170" s="3">
        <f t="shared" si="129"/>
        <v>25.98</v>
      </c>
      <c r="T170" s="3">
        <f t="shared" si="129"/>
        <v>0</v>
      </c>
      <c r="U170" s="3">
        <f t="shared" si="129"/>
        <v>2.4638625000000003</v>
      </c>
      <c r="V170" s="3">
        <f t="shared" si="129"/>
        <v>0</v>
      </c>
      <c r="W170" s="3">
        <f t="shared" si="129"/>
        <v>0</v>
      </c>
      <c r="X170" s="3">
        <f t="shared" si="129"/>
        <v>48.58</v>
      </c>
      <c r="Y170" s="3">
        <f t="shared" si="129"/>
        <v>26.24</v>
      </c>
      <c r="Z170" s="3">
        <f t="shared" si="129"/>
        <v>0</v>
      </c>
      <c r="AA170" s="3">
        <f t="shared" si="129"/>
        <v>0</v>
      </c>
      <c r="AB170" s="3">
        <f t="shared" si="129"/>
        <v>159.1</v>
      </c>
      <c r="AC170" s="3">
        <f t="shared" si="129"/>
        <v>132.81</v>
      </c>
      <c r="AD170" s="3">
        <f t="shared" si="129"/>
        <v>0.31</v>
      </c>
      <c r="AE170" s="3">
        <f t="shared" si="129"/>
        <v>0.04</v>
      </c>
      <c r="AF170" s="3">
        <f t="shared" si="129"/>
        <v>25.98</v>
      </c>
      <c r="AG170" s="3">
        <f t="shared" si="129"/>
        <v>0</v>
      </c>
      <c r="AH170" s="3">
        <f t="shared" si="129"/>
        <v>2.4638625000000003</v>
      </c>
      <c r="AI170" s="3">
        <f t="shared" si="129"/>
        <v>0</v>
      </c>
      <c r="AJ170" s="3">
        <f t="shared" si="129"/>
        <v>0</v>
      </c>
      <c r="AK170" s="3">
        <f t="shared" si="129"/>
        <v>48.58</v>
      </c>
      <c r="AL170" s="3">
        <f t="shared" si="129"/>
        <v>26.24</v>
      </c>
      <c r="AM170" s="3">
        <f t="shared" si="129"/>
        <v>0</v>
      </c>
      <c r="AN170" s="3">
        <f t="shared" si="129"/>
        <v>0</v>
      </c>
      <c r="AO170" s="3">
        <f t="shared" si="129"/>
        <v>0</v>
      </c>
      <c r="AP170" s="3">
        <f t="shared" si="129"/>
        <v>0</v>
      </c>
      <c r="AQ170" s="3">
        <f t="shared" si="129"/>
        <v>0</v>
      </c>
      <c r="AR170" s="3">
        <f t="shared" si="129"/>
        <v>233.99</v>
      </c>
      <c r="AS170" s="3">
        <f t="shared" si="129"/>
        <v>233.99</v>
      </c>
      <c r="AT170" s="3">
        <f t="shared" si="129"/>
        <v>0</v>
      </c>
      <c r="AU170" s="3">
        <f t="shared" ref="AU170:BZ170" si="130">AU189</f>
        <v>0</v>
      </c>
      <c r="AV170" s="3">
        <f t="shared" si="130"/>
        <v>132.81</v>
      </c>
      <c r="AW170" s="3">
        <f t="shared" si="130"/>
        <v>132.81</v>
      </c>
      <c r="AX170" s="3">
        <f t="shared" si="130"/>
        <v>0</v>
      </c>
      <c r="AY170" s="3">
        <f t="shared" si="130"/>
        <v>132.81</v>
      </c>
      <c r="AZ170" s="3">
        <f t="shared" si="130"/>
        <v>0</v>
      </c>
      <c r="BA170" s="3">
        <f t="shared" si="130"/>
        <v>0</v>
      </c>
      <c r="BB170" s="3">
        <f t="shared" si="130"/>
        <v>0</v>
      </c>
      <c r="BC170" s="3">
        <f t="shared" si="130"/>
        <v>0</v>
      </c>
      <c r="BD170" s="3">
        <f t="shared" si="130"/>
        <v>0</v>
      </c>
      <c r="BE170" s="3">
        <f t="shared" si="130"/>
        <v>0</v>
      </c>
      <c r="BF170" s="3">
        <f t="shared" si="130"/>
        <v>0</v>
      </c>
      <c r="BG170" s="3">
        <f t="shared" si="130"/>
        <v>0</v>
      </c>
      <c r="BH170" s="3">
        <f t="shared" si="130"/>
        <v>0</v>
      </c>
      <c r="BI170" s="3">
        <f t="shared" si="130"/>
        <v>0</v>
      </c>
      <c r="BJ170" s="3">
        <f t="shared" si="130"/>
        <v>0</v>
      </c>
      <c r="BK170" s="3">
        <f t="shared" si="130"/>
        <v>0</v>
      </c>
      <c r="BL170" s="3">
        <f t="shared" si="130"/>
        <v>0</v>
      </c>
      <c r="BM170" s="3">
        <f t="shared" si="130"/>
        <v>0</v>
      </c>
      <c r="BN170" s="3">
        <f t="shared" si="130"/>
        <v>0</v>
      </c>
      <c r="BO170" s="3">
        <f t="shared" si="130"/>
        <v>0</v>
      </c>
      <c r="BP170" s="3">
        <f t="shared" si="130"/>
        <v>0</v>
      </c>
      <c r="BQ170" s="3">
        <f t="shared" si="130"/>
        <v>0</v>
      </c>
      <c r="BR170" s="3">
        <f t="shared" si="130"/>
        <v>0</v>
      </c>
      <c r="BS170" s="3">
        <f t="shared" si="130"/>
        <v>0</v>
      </c>
      <c r="BT170" s="3">
        <f t="shared" si="130"/>
        <v>0</v>
      </c>
      <c r="BU170" s="3">
        <f t="shared" si="130"/>
        <v>0</v>
      </c>
      <c r="BV170" s="3">
        <f t="shared" si="130"/>
        <v>0</v>
      </c>
      <c r="BW170" s="3">
        <f t="shared" si="130"/>
        <v>0</v>
      </c>
      <c r="BX170" s="3">
        <f t="shared" si="130"/>
        <v>0</v>
      </c>
      <c r="BY170" s="3">
        <f t="shared" si="130"/>
        <v>0</v>
      </c>
      <c r="BZ170" s="3">
        <f t="shared" si="130"/>
        <v>0</v>
      </c>
      <c r="CA170" s="3">
        <f t="shared" ref="CA170:DF170" si="131">CA189</f>
        <v>233.99</v>
      </c>
      <c r="CB170" s="3">
        <f t="shared" si="131"/>
        <v>233.99</v>
      </c>
      <c r="CC170" s="3">
        <f t="shared" si="131"/>
        <v>0</v>
      </c>
      <c r="CD170" s="3">
        <f t="shared" si="131"/>
        <v>0</v>
      </c>
      <c r="CE170" s="3">
        <f t="shared" si="131"/>
        <v>132.81</v>
      </c>
      <c r="CF170" s="3">
        <f t="shared" si="131"/>
        <v>132.81</v>
      </c>
      <c r="CG170" s="3">
        <f t="shared" si="131"/>
        <v>0</v>
      </c>
      <c r="CH170" s="3">
        <f t="shared" si="131"/>
        <v>132.81</v>
      </c>
      <c r="CI170" s="3">
        <f t="shared" si="131"/>
        <v>0</v>
      </c>
      <c r="CJ170" s="3">
        <f t="shared" si="131"/>
        <v>0</v>
      </c>
      <c r="CK170" s="3">
        <f t="shared" si="131"/>
        <v>0</v>
      </c>
      <c r="CL170" s="3">
        <f t="shared" si="131"/>
        <v>0</v>
      </c>
      <c r="CM170" s="3">
        <f t="shared" si="131"/>
        <v>0</v>
      </c>
      <c r="CN170" s="3">
        <f t="shared" si="131"/>
        <v>0</v>
      </c>
      <c r="CO170" s="3">
        <f t="shared" si="131"/>
        <v>0</v>
      </c>
      <c r="CP170" s="3">
        <f t="shared" si="131"/>
        <v>0</v>
      </c>
      <c r="CQ170" s="3">
        <f t="shared" si="131"/>
        <v>0</v>
      </c>
      <c r="CR170" s="3">
        <f t="shared" si="131"/>
        <v>0</v>
      </c>
      <c r="CS170" s="3">
        <f t="shared" si="131"/>
        <v>0</v>
      </c>
      <c r="CT170" s="3">
        <f t="shared" si="131"/>
        <v>0</v>
      </c>
      <c r="CU170" s="3">
        <f t="shared" si="131"/>
        <v>0</v>
      </c>
      <c r="CV170" s="3">
        <f t="shared" si="131"/>
        <v>0</v>
      </c>
      <c r="CW170" s="3">
        <f t="shared" si="131"/>
        <v>0</v>
      </c>
      <c r="CX170" s="3">
        <f t="shared" si="131"/>
        <v>0</v>
      </c>
      <c r="CY170" s="3">
        <f t="shared" si="131"/>
        <v>0</v>
      </c>
      <c r="CZ170" s="3">
        <f t="shared" si="131"/>
        <v>0</v>
      </c>
      <c r="DA170" s="3">
        <f t="shared" si="131"/>
        <v>0</v>
      </c>
      <c r="DB170" s="3">
        <f t="shared" si="131"/>
        <v>0</v>
      </c>
      <c r="DC170" s="3">
        <f t="shared" si="131"/>
        <v>0</v>
      </c>
      <c r="DD170" s="3">
        <f t="shared" si="131"/>
        <v>0</v>
      </c>
      <c r="DE170" s="3">
        <f t="shared" si="131"/>
        <v>0</v>
      </c>
      <c r="DF170" s="3">
        <f t="shared" si="131"/>
        <v>0</v>
      </c>
      <c r="DG170" s="4">
        <f t="shared" ref="DG170:EL170" si="132">DG189</f>
        <v>1780.22</v>
      </c>
      <c r="DH170" s="4">
        <f t="shared" si="132"/>
        <v>879.55</v>
      </c>
      <c r="DI170" s="4">
        <f t="shared" si="132"/>
        <v>4.0999999999999996</v>
      </c>
      <c r="DJ170" s="4">
        <f t="shared" si="132"/>
        <v>1.38</v>
      </c>
      <c r="DK170" s="4">
        <f t="shared" si="132"/>
        <v>896.57</v>
      </c>
      <c r="DL170" s="4">
        <f t="shared" si="132"/>
        <v>0</v>
      </c>
      <c r="DM170" s="4">
        <f t="shared" si="132"/>
        <v>2.4638625000000003</v>
      </c>
      <c r="DN170" s="4">
        <f t="shared" si="132"/>
        <v>0</v>
      </c>
      <c r="DO170" s="4">
        <f t="shared" si="132"/>
        <v>0</v>
      </c>
      <c r="DP170" s="4">
        <f t="shared" si="132"/>
        <v>941.4</v>
      </c>
      <c r="DQ170" s="4">
        <f t="shared" si="132"/>
        <v>430.34</v>
      </c>
      <c r="DR170" s="4">
        <f t="shared" si="132"/>
        <v>0</v>
      </c>
      <c r="DS170" s="4">
        <f t="shared" si="132"/>
        <v>0</v>
      </c>
      <c r="DT170" s="4">
        <f t="shared" si="132"/>
        <v>1780.22</v>
      </c>
      <c r="DU170" s="4">
        <f t="shared" si="132"/>
        <v>879.55</v>
      </c>
      <c r="DV170" s="4">
        <f t="shared" si="132"/>
        <v>4.0999999999999996</v>
      </c>
      <c r="DW170" s="4">
        <f t="shared" si="132"/>
        <v>1.38</v>
      </c>
      <c r="DX170" s="4">
        <f t="shared" si="132"/>
        <v>896.57</v>
      </c>
      <c r="DY170" s="4">
        <f t="shared" si="132"/>
        <v>0</v>
      </c>
      <c r="DZ170" s="4">
        <f t="shared" si="132"/>
        <v>2.4638625000000003</v>
      </c>
      <c r="EA170" s="4">
        <f t="shared" si="132"/>
        <v>0</v>
      </c>
      <c r="EB170" s="4">
        <f t="shared" si="132"/>
        <v>0</v>
      </c>
      <c r="EC170" s="4">
        <f t="shared" si="132"/>
        <v>941.4</v>
      </c>
      <c r="ED170" s="4">
        <f t="shared" si="132"/>
        <v>430.34</v>
      </c>
      <c r="EE170" s="4">
        <f t="shared" si="132"/>
        <v>0</v>
      </c>
      <c r="EF170" s="4">
        <f t="shared" si="132"/>
        <v>0</v>
      </c>
      <c r="EG170" s="4">
        <f t="shared" si="132"/>
        <v>0</v>
      </c>
      <c r="EH170" s="4">
        <f t="shared" si="132"/>
        <v>0</v>
      </c>
      <c r="EI170" s="4">
        <f t="shared" si="132"/>
        <v>0</v>
      </c>
      <c r="EJ170" s="4">
        <f t="shared" si="132"/>
        <v>3154.17</v>
      </c>
      <c r="EK170" s="4">
        <f t="shared" si="132"/>
        <v>3154.17</v>
      </c>
      <c r="EL170" s="4">
        <f t="shared" si="132"/>
        <v>0</v>
      </c>
      <c r="EM170" s="4">
        <f t="shared" ref="EM170:FR170" si="133">EM189</f>
        <v>0</v>
      </c>
      <c r="EN170" s="4">
        <f t="shared" si="133"/>
        <v>879.55</v>
      </c>
      <c r="EO170" s="4">
        <f t="shared" si="133"/>
        <v>879.55</v>
      </c>
      <c r="EP170" s="4">
        <f t="shared" si="133"/>
        <v>0</v>
      </c>
      <c r="EQ170" s="4">
        <f t="shared" si="133"/>
        <v>879.55</v>
      </c>
      <c r="ER170" s="4">
        <f t="shared" si="133"/>
        <v>0</v>
      </c>
      <c r="ES170" s="4">
        <f t="shared" si="133"/>
        <v>0</v>
      </c>
      <c r="ET170" s="4">
        <f t="shared" si="133"/>
        <v>0</v>
      </c>
      <c r="EU170" s="4">
        <f t="shared" si="133"/>
        <v>0</v>
      </c>
      <c r="EV170" s="4">
        <f t="shared" si="133"/>
        <v>0</v>
      </c>
      <c r="EW170" s="4">
        <f t="shared" si="133"/>
        <v>0</v>
      </c>
      <c r="EX170" s="4">
        <f t="shared" si="133"/>
        <v>0</v>
      </c>
      <c r="EY170" s="4">
        <f t="shared" si="133"/>
        <v>0</v>
      </c>
      <c r="EZ170" s="4">
        <f t="shared" si="133"/>
        <v>0</v>
      </c>
      <c r="FA170" s="4">
        <f t="shared" si="133"/>
        <v>0</v>
      </c>
      <c r="FB170" s="4">
        <f t="shared" si="133"/>
        <v>0</v>
      </c>
      <c r="FC170" s="4">
        <f t="shared" si="133"/>
        <v>0</v>
      </c>
      <c r="FD170" s="4">
        <f t="shared" si="133"/>
        <v>0</v>
      </c>
      <c r="FE170" s="4">
        <f t="shared" si="133"/>
        <v>0</v>
      </c>
      <c r="FF170" s="4">
        <f t="shared" si="133"/>
        <v>0</v>
      </c>
      <c r="FG170" s="4">
        <f t="shared" si="133"/>
        <v>0</v>
      </c>
      <c r="FH170" s="4">
        <f t="shared" si="133"/>
        <v>0</v>
      </c>
      <c r="FI170" s="4">
        <f t="shared" si="133"/>
        <v>0</v>
      </c>
      <c r="FJ170" s="4">
        <f t="shared" si="133"/>
        <v>0</v>
      </c>
      <c r="FK170" s="4">
        <f t="shared" si="133"/>
        <v>0</v>
      </c>
      <c r="FL170" s="4">
        <f t="shared" si="133"/>
        <v>0</v>
      </c>
      <c r="FM170" s="4">
        <f t="shared" si="133"/>
        <v>0</v>
      </c>
      <c r="FN170" s="4">
        <f t="shared" si="133"/>
        <v>0</v>
      </c>
      <c r="FO170" s="4">
        <f t="shared" si="133"/>
        <v>0</v>
      </c>
      <c r="FP170" s="4">
        <f t="shared" si="133"/>
        <v>0</v>
      </c>
      <c r="FQ170" s="4">
        <f t="shared" si="133"/>
        <v>0</v>
      </c>
      <c r="FR170" s="4">
        <f t="shared" si="133"/>
        <v>0</v>
      </c>
      <c r="FS170" s="4">
        <f t="shared" ref="FS170:GX170" si="134">FS189</f>
        <v>3154.17</v>
      </c>
      <c r="FT170" s="4">
        <f t="shared" si="134"/>
        <v>3154.17</v>
      </c>
      <c r="FU170" s="4">
        <f t="shared" si="134"/>
        <v>0</v>
      </c>
      <c r="FV170" s="4">
        <f t="shared" si="134"/>
        <v>0</v>
      </c>
      <c r="FW170" s="4">
        <f t="shared" si="134"/>
        <v>879.55</v>
      </c>
      <c r="FX170" s="4">
        <f t="shared" si="134"/>
        <v>879.55</v>
      </c>
      <c r="FY170" s="4">
        <f t="shared" si="134"/>
        <v>0</v>
      </c>
      <c r="FZ170" s="4">
        <f t="shared" si="134"/>
        <v>879.55</v>
      </c>
      <c r="GA170" s="4">
        <f t="shared" si="134"/>
        <v>0</v>
      </c>
      <c r="GB170" s="4">
        <f t="shared" si="134"/>
        <v>0</v>
      </c>
      <c r="GC170" s="4">
        <f t="shared" si="134"/>
        <v>0</v>
      </c>
      <c r="GD170" s="4">
        <f t="shared" si="134"/>
        <v>0</v>
      </c>
      <c r="GE170" s="4">
        <f t="shared" si="134"/>
        <v>0</v>
      </c>
      <c r="GF170" s="4">
        <f t="shared" si="134"/>
        <v>0</v>
      </c>
      <c r="GG170" s="4">
        <f t="shared" si="134"/>
        <v>0</v>
      </c>
      <c r="GH170" s="4">
        <f t="shared" si="134"/>
        <v>0</v>
      </c>
      <c r="GI170" s="4">
        <f t="shared" si="134"/>
        <v>0</v>
      </c>
      <c r="GJ170" s="4">
        <f t="shared" si="134"/>
        <v>0</v>
      </c>
      <c r="GK170" s="4">
        <f t="shared" si="134"/>
        <v>0</v>
      </c>
      <c r="GL170" s="4">
        <f t="shared" si="134"/>
        <v>0</v>
      </c>
      <c r="GM170" s="4">
        <f t="shared" si="134"/>
        <v>0</v>
      </c>
      <c r="GN170" s="4">
        <f t="shared" si="134"/>
        <v>0</v>
      </c>
      <c r="GO170" s="4">
        <f t="shared" si="134"/>
        <v>0</v>
      </c>
      <c r="GP170" s="4">
        <f t="shared" si="134"/>
        <v>0</v>
      </c>
      <c r="GQ170" s="4">
        <f t="shared" si="134"/>
        <v>0</v>
      </c>
      <c r="GR170" s="4">
        <f t="shared" si="134"/>
        <v>0</v>
      </c>
      <c r="GS170" s="4">
        <f t="shared" si="134"/>
        <v>0</v>
      </c>
      <c r="GT170" s="4">
        <f t="shared" si="134"/>
        <v>0</v>
      </c>
      <c r="GU170" s="4">
        <f t="shared" si="134"/>
        <v>0</v>
      </c>
      <c r="GV170" s="4">
        <f t="shared" si="134"/>
        <v>0</v>
      </c>
      <c r="GW170" s="4">
        <f t="shared" si="134"/>
        <v>0</v>
      </c>
      <c r="GX170" s="4">
        <f t="shared" si="134"/>
        <v>0</v>
      </c>
    </row>
    <row r="172" spans="1:255" x14ac:dyDescent="0.2">
      <c r="A172" s="2">
        <v>17</v>
      </c>
      <c r="B172" s="2">
        <v>1</v>
      </c>
      <c r="C172" s="2">
        <f>ROW(SmtRes!A164)</f>
        <v>164</v>
      </c>
      <c r="D172" s="2">
        <f>ROW(EtalonRes!A274)</f>
        <v>274</v>
      </c>
      <c r="E172" s="2" t="s">
        <v>247</v>
      </c>
      <c r="F172" s="2" t="s">
        <v>248</v>
      </c>
      <c r="G172" s="2" t="s">
        <v>249</v>
      </c>
      <c r="H172" s="2" t="s">
        <v>250</v>
      </c>
      <c r="I172" s="2">
        <f>ROUND(7.5*0.75/100,9)</f>
        <v>5.6250000000000001E-2</v>
      </c>
      <c r="J172" s="2">
        <v>0</v>
      </c>
      <c r="K172" s="2">
        <f>ROUND(7.5*0.75/100,9)</f>
        <v>5.6250000000000001E-2</v>
      </c>
      <c r="L172" s="2"/>
      <c r="M172" s="2"/>
      <c r="N172" s="2"/>
      <c r="O172" s="2">
        <f t="shared" ref="O172:O187" si="135">ROUND(CP172,2)</f>
        <v>17.559999999999999</v>
      </c>
      <c r="P172" s="2">
        <f t="shared" ref="P172:P187" si="136">ROUND((ROUND((AC172*AW172*I172),2)*BC172),2)</f>
        <v>0</v>
      </c>
      <c r="Q172" s="2">
        <f>(ROUND((ROUND((((ET172*1.1))*AV172*I172),2)*BB172),2)+ROUND((ROUND(((AE172-((EU172*1.1)))*AV172*I172),2)*BS172),2))</f>
        <v>0.31</v>
      </c>
      <c r="R172" s="2">
        <f t="shared" ref="R172:R187" si="137">ROUND((ROUND((AE172*AV172*I172),2)*BS172),2)</f>
        <v>0.04</v>
      </c>
      <c r="S172" s="2">
        <f t="shared" ref="S172:S187" si="138">ROUND((ROUND((AF172*AV172*I172),2)*BA172),2)</f>
        <v>17.25</v>
      </c>
      <c r="T172" s="2">
        <f t="shared" ref="T172:T187" si="139">ROUND(CU172*I172,2)</f>
        <v>0</v>
      </c>
      <c r="U172" s="2">
        <f t="shared" ref="U172:U187" si="140">CV172*I172</f>
        <v>1.6570125000000002</v>
      </c>
      <c r="V172" s="2">
        <f t="shared" ref="V172:V187" si="141">CW172*I172</f>
        <v>0</v>
      </c>
      <c r="W172" s="2">
        <f t="shared" ref="W172:W187" si="142">ROUND(CX172*I172,2)</f>
        <v>0</v>
      </c>
      <c r="X172" s="2">
        <f t="shared" ref="X172:X187" si="143">ROUND(CY172,2)</f>
        <v>32.26</v>
      </c>
      <c r="Y172" s="2">
        <f t="shared" ref="Y172:Y187" si="144">ROUND(CZ172,2)</f>
        <v>17.420000000000002</v>
      </c>
      <c r="Z172" s="2"/>
      <c r="AA172" s="2">
        <v>56622523</v>
      </c>
      <c r="AB172" s="2">
        <f t="shared" ref="AB172:AB187" si="145">ROUND((AC172+AD172+AF172),6)</f>
        <v>312.15800000000002</v>
      </c>
      <c r="AC172" s="2">
        <f t="shared" ref="AC172:AC187" si="146">ROUND((ES172),6)</f>
        <v>0</v>
      </c>
      <c r="AD172" s="2">
        <f>ROUND(((((ET172*1.1))-((EU172*1.1)))+AE172),6)</f>
        <v>5.5</v>
      </c>
      <c r="AE172" s="2">
        <f>ROUND(((EU172*1.1)),6)</f>
        <v>0.69299999999999995</v>
      </c>
      <c r="AF172" s="2">
        <f>ROUND(((EV172*1.1)),6)</f>
        <v>306.65800000000002</v>
      </c>
      <c r="AG172" s="2">
        <f t="shared" ref="AG172:AG187" si="147">ROUND((AP172),6)</f>
        <v>0</v>
      </c>
      <c r="AH172" s="2">
        <f>((EW172*1.1))</f>
        <v>29.458000000000002</v>
      </c>
      <c r="AI172" s="2">
        <f>((EX172*1.1))</f>
        <v>0</v>
      </c>
      <c r="AJ172" s="2">
        <f t="shared" ref="AJ172:AJ187" si="148">(AS172)</f>
        <v>0</v>
      </c>
      <c r="AK172" s="2">
        <v>283.77999999999997</v>
      </c>
      <c r="AL172" s="2">
        <v>0</v>
      </c>
      <c r="AM172" s="2">
        <v>5</v>
      </c>
      <c r="AN172" s="2">
        <v>0.63</v>
      </c>
      <c r="AO172" s="2">
        <v>278.77999999999997</v>
      </c>
      <c r="AP172" s="2">
        <v>0</v>
      </c>
      <c r="AQ172" s="2">
        <v>26.78</v>
      </c>
      <c r="AR172" s="2">
        <v>0</v>
      </c>
      <c r="AS172" s="2">
        <v>0</v>
      </c>
      <c r="AT172" s="2">
        <v>187</v>
      </c>
      <c r="AU172" s="2">
        <v>101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0</v>
      </c>
      <c r="BI172" s="2">
        <v>1</v>
      </c>
      <c r="BJ172" s="2" t="s">
        <v>251</v>
      </c>
      <c r="BK172" s="2"/>
      <c r="BL172" s="2"/>
      <c r="BM172" s="2">
        <v>295</v>
      </c>
      <c r="BN172" s="2">
        <v>0</v>
      </c>
      <c r="BO172" s="2" t="s">
        <v>3</v>
      </c>
      <c r="BP172" s="2">
        <v>0</v>
      </c>
      <c r="BQ172" s="2">
        <v>30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187</v>
      </c>
      <c r="CA172" s="2">
        <v>101</v>
      </c>
      <c r="CB172" s="2" t="s">
        <v>3</v>
      </c>
      <c r="CC172" s="2"/>
      <c r="CD172" s="2"/>
      <c r="CE172" s="2">
        <v>30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689</v>
      </c>
      <c r="CO172" s="2">
        <v>0</v>
      </c>
      <c r="CP172" s="2">
        <f t="shared" ref="CP172:CP187" si="149">(P172+Q172+S172)</f>
        <v>17.559999999999999</v>
      </c>
      <c r="CQ172" s="2">
        <f t="shared" ref="CQ172:CQ187" si="150">ROUND((ROUND((AC172*AW172*1),2)*BC172),2)</f>
        <v>0</v>
      </c>
      <c r="CR172" s="2">
        <f>(ROUND((ROUND((((ET172*1.1))*AV172*1),2)*BB172),2)+ROUND((ROUND(((AE172-((EU172*1.1)))*AV172*1),2)*BS172),2))</f>
        <v>5.5</v>
      </c>
      <c r="CS172" s="2">
        <f t="shared" ref="CS172:CS187" si="151">ROUND((ROUND((AE172*AV172*1),2)*BS172),2)</f>
        <v>0.69</v>
      </c>
      <c r="CT172" s="2">
        <f t="shared" ref="CT172:CT187" si="152">ROUND((ROUND((AF172*AV172*1),2)*BA172),2)</f>
        <v>306.66000000000003</v>
      </c>
      <c r="CU172" s="2">
        <f t="shared" ref="CU172:CU187" si="153">AG172</f>
        <v>0</v>
      </c>
      <c r="CV172" s="2">
        <f t="shared" ref="CV172:CV187" si="154">(AH172*AV172)</f>
        <v>29.458000000000002</v>
      </c>
      <c r="CW172" s="2">
        <f t="shared" ref="CW172:CW187" si="155">AI172</f>
        <v>0</v>
      </c>
      <c r="CX172" s="2">
        <f t="shared" ref="CX172:CX187" si="156">AJ172</f>
        <v>0</v>
      </c>
      <c r="CY172" s="2">
        <f>((S172*BZ172)/100)</f>
        <v>32.2575</v>
      </c>
      <c r="CZ172" s="2">
        <f>((S172*CA172)/100)</f>
        <v>17.422499999999999</v>
      </c>
      <c r="DA172" s="2"/>
      <c r="DB172" s="2"/>
      <c r="DC172" s="2" t="s">
        <v>3</v>
      </c>
      <c r="DD172" s="2" t="s">
        <v>3</v>
      </c>
      <c r="DE172" s="2" t="s">
        <v>22</v>
      </c>
      <c r="DF172" s="2" t="s">
        <v>22</v>
      </c>
      <c r="DG172" s="2" t="s">
        <v>22</v>
      </c>
      <c r="DH172" s="2" t="s">
        <v>3</v>
      </c>
      <c r="DI172" s="2" t="s">
        <v>22</v>
      </c>
      <c r="DJ172" s="2" t="s">
        <v>22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1005</v>
      </c>
      <c r="DV172" s="2" t="s">
        <v>250</v>
      </c>
      <c r="DW172" s="2" t="s">
        <v>250</v>
      </c>
      <c r="DX172" s="2">
        <v>100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51696334</v>
      </c>
      <c r="EF172" s="2">
        <v>30</v>
      </c>
      <c r="EG172" s="2" t="s">
        <v>23</v>
      </c>
      <c r="EH172" s="2">
        <v>0</v>
      </c>
      <c r="EI172" s="2" t="s">
        <v>3</v>
      </c>
      <c r="EJ172" s="2">
        <v>1</v>
      </c>
      <c r="EK172" s="2">
        <v>295</v>
      </c>
      <c r="EL172" s="2" t="s">
        <v>252</v>
      </c>
      <c r="EM172" s="2" t="s">
        <v>253</v>
      </c>
      <c r="EN172" s="2"/>
      <c r="EO172" s="2" t="s">
        <v>26</v>
      </c>
      <c r="EP172" s="2"/>
      <c r="EQ172" s="2">
        <v>131072</v>
      </c>
      <c r="ER172" s="2">
        <v>283.77999999999997</v>
      </c>
      <c r="ES172" s="2">
        <v>0</v>
      </c>
      <c r="ET172" s="2">
        <v>5</v>
      </c>
      <c r="EU172" s="2">
        <v>0.63</v>
      </c>
      <c r="EV172" s="2">
        <v>278.77999999999997</v>
      </c>
      <c r="EW172" s="2">
        <v>26.78</v>
      </c>
      <c r="EX172" s="2">
        <v>0</v>
      </c>
      <c r="EY172" s="2">
        <v>0</v>
      </c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v>0</v>
      </c>
      <c r="FS172" s="2">
        <v>0</v>
      </c>
      <c r="FT172" s="2"/>
      <c r="FU172" s="2"/>
      <c r="FV172" s="2"/>
      <c r="FW172" s="2"/>
      <c r="FX172" s="2">
        <v>187</v>
      </c>
      <c r="FY172" s="2">
        <v>101</v>
      </c>
      <c r="FZ172" s="2"/>
      <c r="GA172" s="2" t="s">
        <v>3</v>
      </c>
      <c r="GB172" s="2"/>
      <c r="GC172" s="2"/>
      <c r="GD172" s="2">
        <v>0</v>
      </c>
      <c r="GE172" s="2"/>
      <c r="GF172" s="2">
        <v>-1222944186</v>
      </c>
      <c r="GG172" s="2">
        <v>2</v>
      </c>
      <c r="GH172" s="2">
        <v>1</v>
      </c>
      <c r="GI172" s="2">
        <v>-2</v>
      </c>
      <c r="GJ172" s="2">
        <v>0</v>
      </c>
      <c r="GK172" s="2">
        <f>ROUND(R172*(R12)/100,2)</f>
        <v>7.0000000000000007E-2</v>
      </c>
      <c r="GL172" s="2">
        <f t="shared" ref="GL172:GL187" si="157">ROUND(IF(AND(BH172=3,BI172=3,FS172&lt;&gt;0),P172,0),2)</f>
        <v>0</v>
      </c>
      <c r="GM172" s="2">
        <f t="shared" ref="GM172:GM187" si="158">ROUND(O172+X172+Y172+GK172,2)+GX172</f>
        <v>67.31</v>
      </c>
      <c r="GN172" s="2">
        <f t="shared" ref="GN172:GN187" si="159">IF(OR(BI172=0,BI172=1),GM172-GX172,0)</f>
        <v>67.31</v>
      </c>
      <c r="GO172" s="2">
        <f t="shared" ref="GO172:GO187" si="160">IF(BI172=2,GM172-GX172,0)</f>
        <v>0</v>
      </c>
      <c r="GP172" s="2">
        <f t="shared" ref="GP172:GP187" si="161">IF(BI172=4,GM172-GX172,0)</f>
        <v>0</v>
      </c>
      <c r="GQ172" s="2"/>
      <c r="GR172" s="2">
        <v>0</v>
      </c>
      <c r="GS172" s="2">
        <v>0</v>
      </c>
      <c r="GT172" s="2">
        <v>0</v>
      </c>
      <c r="GU172" s="2" t="s">
        <v>3</v>
      </c>
      <c r="GV172" s="2">
        <f t="shared" ref="GV172:GV187" si="162">ROUND((GT172),6)</f>
        <v>0</v>
      </c>
      <c r="GW172" s="2">
        <v>1</v>
      </c>
      <c r="GX172" s="2">
        <f t="shared" ref="GX172:GX187" si="163">ROUND(HC172*I172,2)</f>
        <v>0</v>
      </c>
      <c r="GY172" s="2"/>
      <c r="GZ172" s="2"/>
      <c r="HA172" s="2">
        <v>0</v>
      </c>
      <c r="HB172" s="2">
        <v>0</v>
      </c>
      <c r="HC172" s="2">
        <f t="shared" ref="HC172:HC187" si="164">GV172*GW172</f>
        <v>0</v>
      </c>
      <c r="HD172" s="2"/>
      <c r="HE172" s="2" t="s">
        <v>3</v>
      </c>
      <c r="HF172" s="2" t="s">
        <v>3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">
      <c r="A173">
        <v>17</v>
      </c>
      <c r="B173">
        <v>1</v>
      </c>
      <c r="C173">
        <f>ROW(SmtRes!A168)</f>
        <v>168</v>
      </c>
      <c r="D173">
        <f>ROW(EtalonRes!A278)</f>
        <v>278</v>
      </c>
      <c r="E173" t="s">
        <v>247</v>
      </c>
      <c r="F173" t="s">
        <v>248</v>
      </c>
      <c r="G173" t="s">
        <v>249</v>
      </c>
      <c r="H173" t="s">
        <v>250</v>
      </c>
      <c r="I173">
        <f>ROUND(7.5*0.75/100,9)</f>
        <v>5.6250000000000001E-2</v>
      </c>
      <c r="J173">
        <v>0</v>
      </c>
      <c r="K173">
        <f>ROUND(7.5*0.75/100,9)</f>
        <v>5.6250000000000001E-2</v>
      </c>
      <c r="O173">
        <f t="shared" si="135"/>
        <v>599.4</v>
      </c>
      <c r="P173">
        <f t="shared" si="136"/>
        <v>0</v>
      </c>
      <c r="Q173">
        <f>(ROUND((ROUND((((ET173*1.1))*AV173*I173),2)*BB173),2)+ROUND((ROUND(((AE173-((EU173*1.1)))*AV173*I173),2)*BS173),2))</f>
        <v>4.0999999999999996</v>
      </c>
      <c r="R173">
        <f t="shared" si="137"/>
        <v>1.38</v>
      </c>
      <c r="S173">
        <f t="shared" si="138"/>
        <v>595.29999999999995</v>
      </c>
      <c r="T173">
        <f t="shared" si="139"/>
        <v>0</v>
      </c>
      <c r="U173">
        <f t="shared" si="140"/>
        <v>1.6570125000000002</v>
      </c>
      <c r="V173">
        <f t="shared" si="141"/>
        <v>0</v>
      </c>
      <c r="W173">
        <f t="shared" si="142"/>
        <v>0</v>
      </c>
      <c r="X173">
        <f t="shared" si="143"/>
        <v>625.07000000000005</v>
      </c>
      <c r="Y173">
        <f t="shared" si="144"/>
        <v>285.74</v>
      </c>
      <c r="AA173">
        <v>56611490</v>
      </c>
      <c r="AB173">
        <f t="shared" si="145"/>
        <v>312.15800000000002</v>
      </c>
      <c r="AC173">
        <f t="shared" si="146"/>
        <v>0</v>
      </c>
      <c r="AD173">
        <f>ROUND(((((ET173*1.1))-((EU173*1.1)))+AE173),6)</f>
        <v>5.5</v>
      </c>
      <c r="AE173">
        <f>ROUND(((EU173*1.1)),6)</f>
        <v>0.69299999999999995</v>
      </c>
      <c r="AF173">
        <f>ROUND(((EV173*1.1)),6)</f>
        <v>306.65800000000002</v>
      </c>
      <c r="AG173">
        <f t="shared" si="147"/>
        <v>0</v>
      </c>
      <c r="AH173">
        <f>((EW173*1.1))</f>
        <v>29.458000000000002</v>
      </c>
      <c r="AI173">
        <f>((EX173*1.1))</f>
        <v>0</v>
      </c>
      <c r="AJ173">
        <f t="shared" si="148"/>
        <v>0</v>
      </c>
      <c r="AK173">
        <v>283.77999999999997</v>
      </c>
      <c r="AL173">
        <v>0</v>
      </c>
      <c r="AM173">
        <v>5</v>
      </c>
      <c r="AN173">
        <v>0.63</v>
      </c>
      <c r="AO173">
        <v>278.77999999999997</v>
      </c>
      <c r="AP173">
        <v>0</v>
      </c>
      <c r="AQ173">
        <v>26.78</v>
      </c>
      <c r="AR173">
        <v>0</v>
      </c>
      <c r="AS173">
        <v>0</v>
      </c>
      <c r="AT173">
        <v>105</v>
      </c>
      <c r="AU173">
        <v>48</v>
      </c>
      <c r="AV173">
        <v>1</v>
      </c>
      <c r="AW173">
        <v>1</v>
      </c>
      <c r="AZ173">
        <v>1</v>
      </c>
      <c r="BA173">
        <v>34.51</v>
      </c>
      <c r="BB173">
        <v>13.21</v>
      </c>
      <c r="BC173">
        <v>1</v>
      </c>
      <c r="BD173" t="s">
        <v>3</v>
      </c>
      <c r="BE173" t="s">
        <v>3</v>
      </c>
      <c r="BF173" t="s">
        <v>3</v>
      </c>
      <c r="BG173" t="s">
        <v>3</v>
      </c>
      <c r="BH173">
        <v>0</v>
      </c>
      <c r="BI173">
        <v>1</v>
      </c>
      <c r="BJ173" t="s">
        <v>251</v>
      </c>
      <c r="BM173">
        <v>295</v>
      </c>
      <c r="BN173">
        <v>0</v>
      </c>
      <c r="BO173" t="s">
        <v>248</v>
      </c>
      <c r="BP173">
        <v>1</v>
      </c>
      <c r="BQ173">
        <v>30</v>
      </c>
      <c r="BR173">
        <v>0</v>
      </c>
      <c r="BS173">
        <v>34.51</v>
      </c>
      <c r="BT173">
        <v>1</v>
      </c>
      <c r="BU173">
        <v>1</v>
      </c>
      <c r="BV173">
        <v>1</v>
      </c>
      <c r="BW173">
        <v>1</v>
      </c>
      <c r="BX173">
        <v>1</v>
      </c>
      <c r="BY173" t="s">
        <v>3</v>
      </c>
      <c r="BZ173">
        <v>105</v>
      </c>
      <c r="CA173">
        <v>48</v>
      </c>
      <c r="CB173" t="s">
        <v>3</v>
      </c>
      <c r="CE173">
        <v>30</v>
      </c>
      <c r="CF173">
        <v>0</v>
      </c>
      <c r="CG173">
        <v>0</v>
      </c>
      <c r="CM173">
        <v>0</v>
      </c>
      <c r="CN173" t="s">
        <v>689</v>
      </c>
      <c r="CO173">
        <v>0</v>
      </c>
      <c r="CP173">
        <f t="shared" si="149"/>
        <v>599.4</v>
      </c>
      <c r="CQ173">
        <f t="shared" si="150"/>
        <v>0</v>
      </c>
      <c r="CR173">
        <f>(ROUND((ROUND((((ET173*1.1))*AV173*1),2)*BB173),2)+ROUND((ROUND(((AE173-((EU173*1.1)))*AV173*1),2)*BS173),2))</f>
        <v>72.66</v>
      </c>
      <c r="CS173">
        <f t="shared" si="151"/>
        <v>23.81</v>
      </c>
      <c r="CT173">
        <f t="shared" si="152"/>
        <v>10582.84</v>
      </c>
      <c r="CU173">
        <f t="shared" si="153"/>
        <v>0</v>
      </c>
      <c r="CV173">
        <f t="shared" si="154"/>
        <v>29.458000000000002</v>
      </c>
      <c r="CW173">
        <f t="shared" si="155"/>
        <v>0</v>
      </c>
      <c r="CX173">
        <f t="shared" si="156"/>
        <v>0</v>
      </c>
      <c r="CY173">
        <f>S173*(BZ173/100)</f>
        <v>625.06499999999994</v>
      </c>
      <c r="CZ173">
        <f>S173*(CA173/100)</f>
        <v>285.74399999999997</v>
      </c>
      <c r="DC173" t="s">
        <v>3</v>
      </c>
      <c r="DD173" t="s">
        <v>3</v>
      </c>
      <c r="DE173" t="s">
        <v>22</v>
      </c>
      <c r="DF173" t="s">
        <v>22</v>
      </c>
      <c r="DG173" t="s">
        <v>22</v>
      </c>
      <c r="DH173" t="s">
        <v>3</v>
      </c>
      <c r="DI173" t="s">
        <v>22</v>
      </c>
      <c r="DJ173" t="s">
        <v>22</v>
      </c>
      <c r="DK173" t="s">
        <v>3</v>
      </c>
      <c r="DL173" t="s">
        <v>3</v>
      </c>
      <c r="DM173" t="s">
        <v>3</v>
      </c>
      <c r="DN173">
        <v>187</v>
      </c>
      <c r="DO173">
        <v>101</v>
      </c>
      <c r="DP173">
        <v>1</v>
      </c>
      <c r="DQ173">
        <v>1</v>
      </c>
      <c r="DU173">
        <v>1005</v>
      </c>
      <c r="DV173" t="s">
        <v>250</v>
      </c>
      <c r="DW173" t="s">
        <v>250</v>
      </c>
      <c r="DX173">
        <v>100</v>
      </c>
      <c r="DZ173" t="s">
        <v>3</v>
      </c>
      <c r="EA173" t="s">
        <v>3</v>
      </c>
      <c r="EB173" t="s">
        <v>3</v>
      </c>
      <c r="EC173" t="s">
        <v>3</v>
      </c>
      <c r="EE173">
        <v>51696334</v>
      </c>
      <c r="EF173">
        <v>30</v>
      </c>
      <c r="EG173" t="s">
        <v>23</v>
      </c>
      <c r="EH173">
        <v>0</v>
      </c>
      <c r="EI173" t="s">
        <v>3</v>
      </c>
      <c r="EJ173">
        <v>1</v>
      </c>
      <c r="EK173">
        <v>295</v>
      </c>
      <c r="EL173" t="s">
        <v>252</v>
      </c>
      <c r="EM173" t="s">
        <v>253</v>
      </c>
      <c r="EO173" t="s">
        <v>26</v>
      </c>
      <c r="EQ173">
        <v>131072</v>
      </c>
      <c r="ER173">
        <v>283.77999999999997</v>
      </c>
      <c r="ES173">
        <v>0</v>
      </c>
      <c r="ET173">
        <v>5</v>
      </c>
      <c r="EU173">
        <v>0.63</v>
      </c>
      <c r="EV173">
        <v>278.77999999999997</v>
      </c>
      <c r="EW173">
        <v>26.78</v>
      </c>
      <c r="EX173">
        <v>0</v>
      </c>
      <c r="EY173">
        <v>0</v>
      </c>
      <c r="FQ173">
        <v>0</v>
      </c>
      <c r="FR173">
        <v>0</v>
      </c>
      <c r="FS173">
        <v>0</v>
      </c>
      <c r="FX173">
        <v>187</v>
      </c>
      <c r="FY173">
        <v>101</v>
      </c>
      <c r="GA173" t="s">
        <v>3</v>
      </c>
      <c r="GD173">
        <v>0</v>
      </c>
      <c r="GF173">
        <v>-1222944186</v>
      </c>
      <c r="GG173">
        <v>2</v>
      </c>
      <c r="GH173">
        <v>1</v>
      </c>
      <c r="GI173">
        <v>2</v>
      </c>
      <c r="GJ173">
        <v>0</v>
      </c>
      <c r="GK173">
        <f>ROUND(R173*(S12)/100,2)</f>
        <v>2.21</v>
      </c>
      <c r="GL173">
        <f t="shared" si="157"/>
        <v>0</v>
      </c>
      <c r="GM173">
        <f t="shared" si="158"/>
        <v>1512.42</v>
      </c>
      <c r="GN173">
        <f t="shared" si="159"/>
        <v>1512.42</v>
      </c>
      <c r="GO173">
        <f t="shared" si="160"/>
        <v>0</v>
      </c>
      <c r="GP173">
        <f t="shared" si="161"/>
        <v>0</v>
      </c>
      <c r="GR173">
        <v>0</v>
      </c>
      <c r="GS173">
        <v>3</v>
      </c>
      <c r="GT173">
        <v>0</v>
      </c>
      <c r="GU173" t="s">
        <v>3</v>
      </c>
      <c r="GV173">
        <f t="shared" si="162"/>
        <v>0</v>
      </c>
      <c r="GW173">
        <v>1</v>
      </c>
      <c r="GX173">
        <f t="shared" si="163"/>
        <v>0</v>
      </c>
      <c r="HA173">
        <v>0</v>
      </c>
      <c r="HB173">
        <v>0</v>
      </c>
      <c r="HC173">
        <f t="shared" si="164"/>
        <v>0</v>
      </c>
      <c r="HE173" t="s">
        <v>3</v>
      </c>
      <c r="HF173" t="s">
        <v>3</v>
      </c>
      <c r="HM173" t="s">
        <v>3</v>
      </c>
      <c r="HN173" t="s">
        <v>3</v>
      </c>
      <c r="HO173" t="s">
        <v>3</v>
      </c>
      <c r="HP173" t="s">
        <v>3</v>
      </c>
      <c r="HQ173" t="s">
        <v>3</v>
      </c>
      <c r="HS173">
        <v>0</v>
      </c>
      <c r="IK173">
        <v>0</v>
      </c>
    </row>
    <row r="174" spans="1:255" x14ac:dyDescent="0.2">
      <c r="A174" s="2">
        <v>18</v>
      </c>
      <c r="B174" s="2">
        <v>1</v>
      </c>
      <c r="C174" s="2">
        <v>164</v>
      </c>
      <c r="D174" s="2"/>
      <c r="E174" s="2" t="s">
        <v>254</v>
      </c>
      <c r="F174" s="2" t="s">
        <v>255</v>
      </c>
      <c r="G174" s="2" t="s">
        <v>256</v>
      </c>
      <c r="H174" s="2" t="s">
        <v>88</v>
      </c>
      <c r="I174" s="2">
        <f>I172*J174</f>
        <v>0.84375</v>
      </c>
      <c r="J174" s="2">
        <v>15</v>
      </c>
      <c r="K174" s="2">
        <v>15</v>
      </c>
      <c r="L174" s="2"/>
      <c r="M174" s="2"/>
      <c r="N174" s="2"/>
      <c r="O174" s="2">
        <f t="shared" si="135"/>
        <v>123.9</v>
      </c>
      <c r="P174" s="2">
        <f t="shared" si="136"/>
        <v>123.9</v>
      </c>
      <c r="Q174" s="2">
        <f>(ROUND((ROUND(((ET174)*AV174*I174),2)*BB174),2)+ROUND((ROUND(((AE174-(EU174))*AV174*I174),2)*BS174),2))</f>
        <v>0</v>
      </c>
      <c r="R174" s="2">
        <f t="shared" si="137"/>
        <v>0</v>
      </c>
      <c r="S174" s="2">
        <f t="shared" si="138"/>
        <v>0</v>
      </c>
      <c r="T174" s="2">
        <f t="shared" si="139"/>
        <v>0</v>
      </c>
      <c r="U174" s="2">
        <f t="shared" si="140"/>
        <v>0</v>
      </c>
      <c r="V174" s="2">
        <f t="shared" si="141"/>
        <v>0</v>
      </c>
      <c r="W174" s="2">
        <f t="shared" si="142"/>
        <v>0</v>
      </c>
      <c r="X174" s="2">
        <f t="shared" si="143"/>
        <v>0</v>
      </c>
      <c r="Y174" s="2">
        <f t="shared" si="144"/>
        <v>0</v>
      </c>
      <c r="Z174" s="2"/>
      <c r="AA174" s="2">
        <v>56622523</v>
      </c>
      <c r="AB174" s="2">
        <f t="shared" si="145"/>
        <v>146.84</v>
      </c>
      <c r="AC174" s="2">
        <f t="shared" si="146"/>
        <v>146.84</v>
      </c>
      <c r="AD174" s="2">
        <f>ROUND((((ET174)-(EU174))+AE174),6)</f>
        <v>0</v>
      </c>
      <c r="AE174" s="2">
        <f>ROUND((EU174),6)</f>
        <v>0</v>
      </c>
      <c r="AF174" s="2">
        <f>ROUND((EV174),6)</f>
        <v>0</v>
      </c>
      <c r="AG174" s="2">
        <f t="shared" si="147"/>
        <v>0</v>
      </c>
      <c r="AH174" s="2">
        <f>(EW174)</f>
        <v>0</v>
      </c>
      <c r="AI174" s="2">
        <f>(EX174)</f>
        <v>0</v>
      </c>
      <c r="AJ174" s="2">
        <f t="shared" si="148"/>
        <v>0</v>
      </c>
      <c r="AK174" s="2">
        <v>146.84</v>
      </c>
      <c r="AL174" s="2">
        <v>146.84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187</v>
      </c>
      <c r="AU174" s="2">
        <v>101</v>
      </c>
      <c r="AV174" s="2">
        <v>1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3</v>
      </c>
      <c r="BI174" s="2">
        <v>1</v>
      </c>
      <c r="BJ174" s="2" t="s">
        <v>257</v>
      </c>
      <c r="BK174" s="2"/>
      <c r="BL174" s="2"/>
      <c r="BM174" s="2">
        <v>295</v>
      </c>
      <c r="BN174" s="2">
        <v>0</v>
      </c>
      <c r="BO174" s="2" t="s">
        <v>3</v>
      </c>
      <c r="BP174" s="2">
        <v>0</v>
      </c>
      <c r="BQ174" s="2">
        <v>30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187</v>
      </c>
      <c r="CA174" s="2">
        <v>101</v>
      </c>
      <c r="CB174" s="2" t="s">
        <v>3</v>
      </c>
      <c r="CC174" s="2"/>
      <c r="CD174" s="2"/>
      <c r="CE174" s="2">
        <v>30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3</v>
      </c>
      <c r="CO174" s="2">
        <v>0</v>
      </c>
      <c r="CP174" s="2">
        <f t="shared" si="149"/>
        <v>123.9</v>
      </c>
      <c r="CQ174" s="2">
        <f t="shared" si="150"/>
        <v>146.84</v>
      </c>
      <c r="CR174" s="2">
        <f>(ROUND((ROUND(((ET174)*AV174*1),2)*BB174),2)+ROUND((ROUND(((AE174-(EU174))*AV174*1),2)*BS174),2))</f>
        <v>0</v>
      </c>
      <c r="CS174" s="2">
        <f t="shared" si="151"/>
        <v>0</v>
      </c>
      <c r="CT174" s="2">
        <f t="shared" si="152"/>
        <v>0</v>
      </c>
      <c r="CU174" s="2">
        <f t="shared" si="153"/>
        <v>0</v>
      </c>
      <c r="CV174" s="2">
        <f t="shared" si="154"/>
        <v>0</v>
      </c>
      <c r="CW174" s="2">
        <f t="shared" si="155"/>
        <v>0</v>
      </c>
      <c r="CX174" s="2">
        <f t="shared" si="156"/>
        <v>0</v>
      </c>
      <c r="CY174" s="2">
        <f>((S174*BZ174)/100)</f>
        <v>0</v>
      </c>
      <c r="CZ174" s="2">
        <f>((S174*CA174)/100)</f>
        <v>0</v>
      </c>
      <c r="DA174" s="2"/>
      <c r="DB174" s="2"/>
      <c r="DC174" s="2" t="s">
        <v>3</v>
      </c>
      <c r="DD174" s="2" t="s">
        <v>3</v>
      </c>
      <c r="DE174" s="2" t="s">
        <v>3</v>
      </c>
      <c r="DF174" s="2" t="s">
        <v>3</v>
      </c>
      <c r="DG174" s="2" t="s">
        <v>3</v>
      </c>
      <c r="DH174" s="2" t="s">
        <v>3</v>
      </c>
      <c r="DI174" s="2" t="s">
        <v>3</v>
      </c>
      <c r="DJ174" s="2" t="s">
        <v>3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1007</v>
      </c>
      <c r="DV174" s="2" t="s">
        <v>88</v>
      </c>
      <c r="DW174" s="2" t="s">
        <v>88</v>
      </c>
      <c r="DX174" s="2">
        <v>1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51696334</v>
      </c>
      <c r="EF174" s="2">
        <v>30</v>
      </c>
      <c r="EG174" s="2" t="s">
        <v>23</v>
      </c>
      <c r="EH174" s="2">
        <v>0</v>
      </c>
      <c r="EI174" s="2" t="s">
        <v>3</v>
      </c>
      <c r="EJ174" s="2">
        <v>1</v>
      </c>
      <c r="EK174" s="2">
        <v>295</v>
      </c>
      <c r="EL174" s="2" t="s">
        <v>252</v>
      </c>
      <c r="EM174" s="2" t="s">
        <v>253</v>
      </c>
      <c r="EN174" s="2"/>
      <c r="EO174" s="2" t="s">
        <v>3</v>
      </c>
      <c r="EP174" s="2"/>
      <c r="EQ174" s="2">
        <v>0</v>
      </c>
      <c r="ER174" s="2">
        <v>146.84</v>
      </c>
      <c r="ES174" s="2">
        <v>146.84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v>0</v>
      </c>
      <c r="FS174" s="2">
        <v>0</v>
      </c>
      <c r="FT174" s="2"/>
      <c r="FU174" s="2"/>
      <c r="FV174" s="2"/>
      <c r="FW174" s="2"/>
      <c r="FX174" s="2">
        <v>187</v>
      </c>
      <c r="FY174" s="2">
        <v>101</v>
      </c>
      <c r="FZ174" s="2"/>
      <c r="GA174" s="2" t="s">
        <v>3</v>
      </c>
      <c r="GB174" s="2"/>
      <c r="GC174" s="2"/>
      <c r="GD174" s="2">
        <v>0</v>
      </c>
      <c r="GE174" s="2"/>
      <c r="GF174" s="2">
        <v>-1933062003</v>
      </c>
      <c r="GG174" s="2">
        <v>2</v>
      </c>
      <c r="GH174" s="2">
        <v>1</v>
      </c>
      <c r="GI174" s="2">
        <v>-2</v>
      </c>
      <c r="GJ174" s="2">
        <v>0</v>
      </c>
      <c r="GK174" s="2">
        <f>ROUND(R174*(R12)/100,2)</f>
        <v>0</v>
      </c>
      <c r="GL174" s="2">
        <f t="shared" si="157"/>
        <v>0</v>
      </c>
      <c r="GM174" s="2">
        <f t="shared" si="158"/>
        <v>123.9</v>
      </c>
      <c r="GN174" s="2">
        <f t="shared" si="159"/>
        <v>123.9</v>
      </c>
      <c r="GO174" s="2">
        <f t="shared" si="160"/>
        <v>0</v>
      </c>
      <c r="GP174" s="2">
        <f t="shared" si="161"/>
        <v>0</v>
      </c>
      <c r="GQ174" s="2"/>
      <c r="GR174" s="2">
        <v>0</v>
      </c>
      <c r="GS174" s="2">
        <v>0</v>
      </c>
      <c r="GT174" s="2">
        <v>0</v>
      </c>
      <c r="GU174" s="2" t="s">
        <v>3</v>
      </c>
      <c r="GV174" s="2">
        <f t="shared" si="162"/>
        <v>0</v>
      </c>
      <c r="GW174" s="2">
        <v>1</v>
      </c>
      <c r="GX174" s="2">
        <f t="shared" si="163"/>
        <v>0</v>
      </c>
      <c r="GY174" s="2"/>
      <c r="GZ174" s="2"/>
      <c r="HA174" s="2">
        <v>0</v>
      </c>
      <c r="HB174" s="2">
        <v>0</v>
      </c>
      <c r="HC174" s="2">
        <f t="shared" si="164"/>
        <v>0</v>
      </c>
      <c r="HD174" s="2"/>
      <c r="HE174" s="2" t="s">
        <v>3</v>
      </c>
      <c r="HF174" s="2" t="s">
        <v>3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">
      <c r="A175">
        <v>18</v>
      </c>
      <c r="B175">
        <v>1</v>
      </c>
      <c r="C175">
        <v>168</v>
      </c>
      <c r="E175" t="s">
        <v>254</v>
      </c>
      <c r="F175" t="s">
        <v>255</v>
      </c>
      <c r="G175" t="s">
        <v>256</v>
      </c>
      <c r="H175" t="s">
        <v>88</v>
      </c>
      <c r="I175">
        <f>I173*J175</f>
        <v>0.84375</v>
      </c>
      <c r="J175">
        <v>15</v>
      </c>
      <c r="K175">
        <v>15</v>
      </c>
      <c r="O175">
        <f t="shared" si="135"/>
        <v>897.04</v>
      </c>
      <c r="P175">
        <f t="shared" si="136"/>
        <v>897.04</v>
      </c>
      <c r="Q175">
        <f>(ROUND((ROUND(((ET175)*AV175*I175),2)*BB175),2)+ROUND((ROUND(((AE175-(EU175))*AV175*I175),2)*BS175),2))</f>
        <v>0</v>
      </c>
      <c r="R175">
        <f t="shared" si="137"/>
        <v>0</v>
      </c>
      <c r="S175">
        <f t="shared" si="138"/>
        <v>0</v>
      </c>
      <c r="T175">
        <f t="shared" si="139"/>
        <v>0</v>
      </c>
      <c r="U175">
        <f t="shared" si="140"/>
        <v>0</v>
      </c>
      <c r="V175">
        <f t="shared" si="141"/>
        <v>0</v>
      </c>
      <c r="W175">
        <f t="shared" si="142"/>
        <v>0</v>
      </c>
      <c r="X175">
        <f t="shared" si="143"/>
        <v>0</v>
      </c>
      <c r="Y175">
        <f t="shared" si="144"/>
        <v>0</v>
      </c>
      <c r="AA175">
        <v>56611490</v>
      </c>
      <c r="AB175">
        <f t="shared" si="145"/>
        <v>146.84</v>
      </c>
      <c r="AC175">
        <f t="shared" si="146"/>
        <v>146.84</v>
      </c>
      <c r="AD175">
        <f>ROUND((((ET175)-(EU175))+AE175),6)</f>
        <v>0</v>
      </c>
      <c r="AE175">
        <f>ROUND((EU175),6)</f>
        <v>0</v>
      </c>
      <c r="AF175">
        <f>ROUND((EV175),6)</f>
        <v>0</v>
      </c>
      <c r="AG175">
        <f t="shared" si="147"/>
        <v>0</v>
      </c>
      <c r="AH175">
        <f>(EW175)</f>
        <v>0</v>
      </c>
      <c r="AI175">
        <f>(EX175)</f>
        <v>0</v>
      </c>
      <c r="AJ175">
        <f t="shared" si="148"/>
        <v>0</v>
      </c>
      <c r="AK175">
        <v>146.84</v>
      </c>
      <c r="AL175">
        <v>146.84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1</v>
      </c>
      <c r="AZ175">
        <v>1</v>
      </c>
      <c r="BA175">
        <v>1</v>
      </c>
      <c r="BB175">
        <v>1</v>
      </c>
      <c r="BC175">
        <v>7.24</v>
      </c>
      <c r="BD175" t="s">
        <v>3</v>
      </c>
      <c r="BE175" t="s">
        <v>3</v>
      </c>
      <c r="BF175" t="s">
        <v>3</v>
      </c>
      <c r="BG175" t="s">
        <v>3</v>
      </c>
      <c r="BH175">
        <v>3</v>
      </c>
      <c r="BI175">
        <v>1</v>
      </c>
      <c r="BJ175" t="s">
        <v>257</v>
      </c>
      <c r="BM175">
        <v>295</v>
      </c>
      <c r="BN175">
        <v>0</v>
      </c>
      <c r="BO175" t="s">
        <v>255</v>
      </c>
      <c r="BP175">
        <v>1</v>
      </c>
      <c r="BQ175">
        <v>30</v>
      </c>
      <c r="BR175">
        <v>0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 t="s">
        <v>3</v>
      </c>
      <c r="BZ175">
        <v>0</v>
      </c>
      <c r="CA175">
        <v>0</v>
      </c>
      <c r="CB175" t="s">
        <v>3</v>
      </c>
      <c r="CE175">
        <v>30</v>
      </c>
      <c r="CF175">
        <v>0</v>
      </c>
      <c r="CG175">
        <v>0</v>
      </c>
      <c r="CM175">
        <v>0</v>
      </c>
      <c r="CN175" t="s">
        <v>3</v>
      </c>
      <c r="CO175">
        <v>0</v>
      </c>
      <c r="CP175">
        <f t="shared" si="149"/>
        <v>897.04</v>
      </c>
      <c r="CQ175">
        <f t="shared" si="150"/>
        <v>1063.1199999999999</v>
      </c>
      <c r="CR175">
        <f>(ROUND((ROUND(((ET175)*AV175*1),2)*BB175),2)+ROUND((ROUND(((AE175-(EU175))*AV175*1),2)*BS175),2))</f>
        <v>0</v>
      </c>
      <c r="CS175">
        <f t="shared" si="151"/>
        <v>0</v>
      </c>
      <c r="CT175">
        <f t="shared" si="152"/>
        <v>0</v>
      </c>
      <c r="CU175">
        <f t="shared" si="153"/>
        <v>0</v>
      </c>
      <c r="CV175">
        <f t="shared" si="154"/>
        <v>0</v>
      </c>
      <c r="CW175">
        <f t="shared" si="155"/>
        <v>0</v>
      </c>
      <c r="CX175">
        <f t="shared" si="156"/>
        <v>0</v>
      </c>
      <c r="CY175">
        <f>S175*(BZ175/100)</f>
        <v>0</v>
      </c>
      <c r="CZ175">
        <f>S175*(CA175/100)</f>
        <v>0</v>
      </c>
      <c r="DC175" t="s">
        <v>3</v>
      </c>
      <c r="DD175" t="s">
        <v>3</v>
      </c>
      <c r="DE175" t="s">
        <v>3</v>
      </c>
      <c r="DF175" t="s">
        <v>3</v>
      </c>
      <c r="DG175" t="s">
        <v>3</v>
      </c>
      <c r="DH175" t="s">
        <v>3</v>
      </c>
      <c r="DI175" t="s">
        <v>3</v>
      </c>
      <c r="DJ175" t="s">
        <v>3</v>
      </c>
      <c r="DK175" t="s">
        <v>3</v>
      </c>
      <c r="DL175" t="s">
        <v>3</v>
      </c>
      <c r="DM175" t="s">
        <v>3</v>
      </c>
      <c r="DN175">
        <v>187</v>
      </c>
      <c r="DO175">
        <v>101</v>
      </c>
      <c r="DP175">
        <v>1</v>
      </c>
      <c r="DQ175">
        <v>1</v>
      </c>
      <c r="DU175">
        <v>1007</v>
      </c>
      <c r="DV175" t="s">
        <v>88</v>
      </c>
      <c r="DW175" t="s">
        <v>88</v>
      </c>
      <c r="DX175">
        <v>1</v>
      </c>
      <c r="DZ175" t="s">
        <v>3</v>
      </c>
      <c r="EA175" t="s">
        <v>3</v>
      </c>
      <c r="EB175" t="s">
        <v>3</v>
      </c>
      <c r="EC175" t="s">
        <v>3</v>
      </c>
      <c r="EE175">
        <v>51696334</v>
      </c>
      <c r="EF175">
        <v>30</v>
      </c>
      <c r="EG175" t="s">
        <v>23</v>
      </c>
      <c r="EH175">
        <v>0</v>
      </c>
      <c r="EI175" t="s">
        <v>3</v>
      </c>
      <c r="EJ175">
        <v>1</v>
      </c>
      <c r="EK175">
        <v>295</v>
      </c>
      <c r="EL175" t="s">
        <v>252</v>
      </c>
      <c r="EM175" t="s">
        <v>253</v>
      </c>
      <c r="EO175" t="s">
        <v>3</v>
      </c>
      <c r="EQ175">
        <v>0</v>
      </c>
      <c r="ER175">
        <v>146.84</v>
      </c>
      <c r="ES175">
        <v>146.84</v>
      </c>
      <c r="ET175">
        <v>0</v>
      </c>
      <c r="EU175">
        <v>0</v>
      </c>
      <c r="EV175">
        <v>0</v>
      </c>
      <c r="EW175">
        <v>0</v>
      </c>
      <c r="EX175">
        <v>0</v>
      </c>
      <c r="FQ175">
        <v>0</v>
      </c>
      <c r="FR175">
        <v>0</v>
      </c>
      <c r="FS175">
        <v>0</v>
      </c>
      <c r="FX175">
        <v>187</v>
      </c>
      <c r="FY175">
        <v>101</v>
      </c>
      <c r="GA175" t="s">
        <v>3</v>
      </c>
      <c r="GD175">
        <v>0</v>
      </c>
      <c r="GF175">
        <v>-1933062003</v>
      </c>
      <c r="GG175">
        <v>2</v>
      </c>
      <c r="GH175">
        <v>1</v>
      </c>
      <c r="GI175">
        <v>2</v>
      </c>
      <c r="GJ175">
        <v>0</v>
      </c>
      <c r="GK175">
        <f>ROUND(R175*(S12)/100,2)</f>
        <v>0</v>
      </c>
      <c r="GL175">
        <f t="shared" si="157"/>
        <v>0</v>
      </c>
      <c r="GM175">
        <f t="shared" si="158"/>
        <v>897.04</v>
      </c>
      <c r="GN175">
        <f t="shared" si="159"/>
        <v>897.04</v>
      </c>
      <c r="GO175">
        <f t="shared" si="160"/>
        <v>0</v>
      </c>
      <c r="GP175">
        <f t="shared" si="161"/>
        <v>0</v>
      </c>
      <c r="GR175">
        <v>0</v>
      </c>
      <c r="GS175">
        <v>3</v>
      </c>
      <c r="GT175">
        <v>0</v>
      </c>
      <c r="GU175" t="s">
        <v>3</v>
      </c>
      <c r="GV175">
        <f t="shared" si="162"/>
        <v>0</v>
      </c>
      <c r="GW175">
        <v>1</v>
      </c>
      <c r="GX175">
        <f t="shared" si="163"/>
        <v>0</v>
      </c>
      <c r="HA175">
        <v>0</v>
      </c>
      <c r="HB175">
        <v>0</v>
      </c>
      <c r="HC175">
        <f t="shared" si="164"/>
        <v>0</v>
      </c>
      <c r="HE175" t="s">
        <v>3</v>
      </c>
      <c r="HF175" t="s">
        <v>3</v>
      </c>
      <c r="HM175" t="s">
        <v>3</v>
      </c>
      <c r="HN175" t="s">
        <v>3</v>
      </c>
      <c r="HO175" t="s">
        <v>3</v>
      </c>
      <c r="HP175" t="s">
        <v>3</v>
      </c>
      <c r="HQ175" t="s">
        <v>3</v>
      </c>
      <c r="HS175">
        <v>0</v>
      </c>
      <c r="IK175">
        <v>0</v>
      </c>
    </row>
    <row r="176" spans="1:255" x14ac:dyDescent="0.2">
      <c r="A176" s="2">
        <v>17</v>
      </c>
      <c r="B176" s="2">
        <v>1</v>
      </c>
      <c r="C176" s="2">
        <f>ROW(SmtRes!A169)</f>
        <v>169</v>
      </c>
      <c r="D176" s="2">
        <f>ROW(EtalonRes!A280)</f>
        <v>280</v>
      </c>
      <c r="E176" s="2" t="s">
        <v>258</v>
      </c>
      <c r="F176" s="2" t="s">
        <v>259</v>
      </c>
      <c r="G176" s="2" t="s">
        <v>260</v>
      </c>
      <c r="H176" s="2" t="s">
        <v>250</v>
      </c>
      <c r="I176" s="2">
        <f>ROUND(7.5*0.25/100,9)</f>
        <v>1.8749999999999999E-2</v>
      </c>
      <c r="J176" s="2">
        <v>0</v>
      </c>
      <c r="K176" s="2">
        <f>ROUND(7.5*0.25/100,9)</f>
        <v>1.8749999999999999E-2</v>
      </c>
      <c r="L176" s="2"/>
      <c r="M176" s="2"/>
      <c r="N176" s="2"/>
      <c r="O176" s="2">
        <f t="shared" si="135"/>
        <v>8.59</v>
      </c>
      <c r="P176" s="2">
        <f t="shared" si="136"/>
        <v>0</v>
      </c>
      <c r="Q176" s="2">
        <f>(ROUND((ROUND((((ET176*1.1))*AV176*I176),2)*BB176),2)+ROUND((ROUND(((AE176-((EU176*1.1)))*AV176*I176),2)*BS176),2))</f>
        <v>0</v>
      </c>
      <c r="R176" s="2">
        <f t="shared" si="137"/>
        <v>0</v>
      </c>
      <c r="S176" s="2">
        <f t="shared" si="138"/>
        <v>8.59</v>
      </c>
      <c r="T176" s="2">
        <f t="shared" si="139"/>
        <v>0</v>
      </c>
      <c r="U176" s="2">
        <f t="shared" si="140"/>
        <v>0.82499999999999996</v>
      </c>
      <c r="V176" s="2">
        <f t="shared" si="141"/>
        <v>0</v>
      </c>
      <c r="W176" s="2">
        <f t="shared" si="142"/>
        <v>0</v>
      </c>
      <c r="X176" s="2">
        <f t="shared" si="143"/>
        <v>16.059999999999999</v>
      </c>
      <c r="Y176" s="2">
        <f t="shared" si="144"/>
        <v>8.68</v>
      </c>
      <c r="Z176" s="2"/>
      <c r="AA176" s="2">
        <v>56622523</v>
      </c>
      <c r="AB176" s="2">
        <f t="shared" si="145"/>
        <v>458.04</v>
      </c>
      <c r="AC176" s="2">
        <f t="shared" si="146"/>
        <v>0</v>
      </c>
      <c r="AD176" s="2">
        <f>ROUND(((((ET176*1.1))-((EU176*1.1)))+AE176),6)</f>
        <v>0</v>
      </c>
      <c r="AE176" s="2">
        <f>ROUND(((EU176*1.1)),6)</f>
        <v>0</v>
      </c>
      <c r="AF176" s="2">
        <f>ROUND(((EV176*1.1)),6)</f>
        <v>458.04</v>
      </c>
      <c r="AG176" s="2">
        <f t="shared" si="147"/>
        <v>0</v>
      </c>
      <c r="AH176" s="2">
        <f>((EW176*1.1))</f>
        <v>44</v>
      </c>
      <c r="AI176" s="2">
        <f>((EX176*1.1))</f>
        <v>0</v>
      </c>
      <c r="AJ176" s="2">
        <f t="shared" si="148"/>
        <v>0</v>
      </c>
      <c r="AK176" s="2">
        <v>416.4</v>
      </c>
      <c r="AL176" s="2">
        <v>0</v>
      </c>
      <c r="AM176" s="2">
        <v>0</v>
      </c>
      <c r="AN176" s="2">
        <v>0</v>
      </c>
      <c r="AO176" s="2">
        <v>416.4</v>
      </c>
      <c r="AP176" s="2">
        <v>0</v>
      </c>
      <c r="AQ176" s="2">
        <v>40</v>
      </c>
      <c r="AR176" s="2">
        <v>0</v>
      </c>
      <c r="AS176" s="2">
        <v>0</v>
      </c>
      <c r="AT176" s="2">
        <v>187</v>
      </c>
      <c r="AU176" s="2">
        <v>101</v>
      </c>
      <c r="AV176" s="2">
        <v>1</v>
      </c>
      <c r="AW176" s="2">
        <v>1</v>
      </c>
      <c r="AX176" s="2"/>
      <c r="AY176" s="2"/>
      <c r="AZ176" s="2">
        <v>1</v>
      </c>
      <c r="BA176" s="2">
        <v>1</v>
      </c>
      <c r="BB176" s="2">
        <v>1</v>
      </c>
      <c r="BC176" s="2">
        <v>1</v>
      </c>
      <c r="BD176" s="2" t="s">
        <v>3</v>
      </c>
      <c r="BE176" s="2" t="s">
        <v>3</v>
      </c>
      <c r="BF176" s="2" t="s">
        <v>3</v>
      </c>
      <c r="BG176" s="2" t="s">
        <v>3</v>
      </c>
      <c r="BH176" s="2">
        <v>0</v>
      </c>
      <c r="BI176" s="2">
        <v>1</v>
      </c>
      <c r="BJ176" s="2" t="s">
        <v>261</v>
      </c>
      <c r="BK176" s="2"/>
      <c r="BL176" s="2"/>
      <c r="BM176" s="2">
        <v>295</v>
      </c>
      <c r="BN176" s="2">
        <v>0</v>
      </c>
      <c r="BO176" s="2" t="s">
        <v>3</v>
      </c>
      <c r="BP176" s="2">
        <v>0</v>
      </c>
      <c r="BQ176" s="2">
        <v>30</v>
      </c>
      <c r="BR176" s="2">
        <v>0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 t="s">
        <v>3</v>
      </c>
      <c r="BZ176" s="2">
        <v>187</v>
      </c>
      <c r="CA176" s="2">
        <v>101</v>
      </c>
      <c r="CB176" s="2" t="s">
        <v>3</v>
      </c>
      <c r="CC176" s="2"/>
      <c r="CD176" s="2"/>
      <c r="CE176" s="2">
        <v>30</v>
      </c>
      <c r="CF176" s="2">
        <v>0</v>
      </c>
      <c r="CG176" s="2">
        <v>0</v>
      </c>
      <c r="CH176" s="2"/>
      <c r="CI176" s="2"/>
      <c r="CJ176" s="2"/>
      <c r="CK176" s="2"/>
      <c r="CL176" s="2"/>
      <c r="CM176" s="2">
        <v>0</v>
      </c>
      <c r="CN176" s="2" t="s">
        <v>689</v>
      </c>
      <c r="CO176" s="2">
        <v>0</v>
      </c>
      <c r="CP176" s="2">
        <f t="shared" si="149"/>
        <v>8.59</v>
      </c>
      <c r="CQ176" s="2">
        <f t="shared" si="150"/>
        <v>0</v>
      </c>
      <c r="CR176" s="2">
        <f>(ROUND((ROUND((((ET176*1.1))*AV176*1),2)*BB176),2)+ROUND((ROUND(((AE176-((EU176*1.1)))*AV176*1),2)*BS176),2))</f>
        <v>0</v>
      </c>
      <c r="CS176" s="2">
        <f t="shared" si="151"/>
        <v>0</v>
      </c>
      <c r="CT176" s="2">
        <f t="shared" si="152"/>
        <v>458.04</v>
      </c>
      <c r="CU176" s="2">
        <f t="shared" si="153"/>
        <v>0</v>
      </c>
      <c r="CV176" s="2">
        <f t="shared" si="154"/>
        <v>44</v>
      </c>
      <c r="CW176" s="2">
        <f t="shared" si="155"/>
        <v>0</v>
      </c>
      <c r="CX176" s="2">
        <f t="shared" si="156"/>
        <v>0</v>
      </c>
      <c r="CY176" s="2">
        <f>((S176*BZ176)/100)</f>
        <v>16.063299999999998</v>
      </c>
      <c r="CZ176" s="2">
        <f>((S176*CA176)/100)</f>
        <v>8.6759000000000004</v>
      </c>
      <c r="DA176" s="2"/>
      <c r="DB176" s="2"/>
      <c r="DC176" s="2" t="s">
        <v>3</v>
      </c>
      <c r="DD176" s="2" t="s">
        <v>3</v>
      </c>
      <c r="DE176" s="2" t="s">
        <v>22</v>
      </c>
      <c r="DF176" s="2" t="s">
        <v>22</v>
      </c>
      <c r="DG176" s="2" t="s">
        <v>22</v>
      </c>
      <c r="DH176" s="2" t="s">
        <v>3</v>
      </c>
      <c r="DI176" s="2" t="s">
        <v>22</v>
      </c>
      <c r="DJ176" s="2" t="s">
        <v>22</v>
      </c>
      <c r="DK176" s="2" t="s">
        <v>3</v>
      </c>
      <c r="DL176" s="2" t="s">
        <v>3</v>
      </c>
      <c r="DM176" s="2" t="s">
        <v>3</v>
      </c>
      <c r="DN176" s="2">
        <v>0</v>
      </c>
      <c r="DO176" s="2">
        <v>0</v>
      </c>
      <c r="DP176" s="2">
        <v>1</v>
      </c>
      <c r="DQ176" s="2">
        <v>1</v>
      </c>
      <c r="DR176" s="2"/>
      <c r="DS176" s="2"/>
      <c r="DT176" s="2"/>
      <c r="DU176" s="2">
        <v>1005</v>
      </c>
      <c r="DV176" s="2" t="s">
        <v>250</v>
      </c>
      <c r="DW176" s="2" t="s">
        <v>250</v>
      </c>
      <c r="DX176" s="2">
        <v>100</v>
      </c>
      <c r="DY176" s="2"/>
      <c r="DZ176" s="2" t="s">
        <v>3</v>
      </c>
      <c r="EA176" s="2" t="s">
        <v>3</v>
      </c>
      <c r="EB176" s="2" t="s">
        <v>3</v>
      </c>
      <c r="EC176" s="2" t="s">
        <v>3</v>
      </c>
      <c r="ED176" s="2"/>
      <c r="EE176" s="2">
        <v>51696334</v>
      </c>
      <c r="EF176" s="2">
        <v>30</v>
      </c>
      <c r="EG176" s="2" t="s">
        <v>23</v>
      </c>
      <c r="EH176" s="2">
        <v>0</v>
      </c>
      <c r="EI176" s="2" t="s">
        <v>3</v>
      </c>
      <c r="EJ176" s="2">
        <v>1</v>
      </c>
      <c r="EK176" s="2">
        <v>295</v>
      </c>
      <c r="EL176" s="2" t="s">
        <v>252</v>
      </c>
      <c r="EM176" s="2" t="s">
        <v>253</v>
      </c>
      <c r="EN176" s="2"/>
      <c r="EO176" s="2" t="s">
        <v>26</v>
      </c>
      <c r="EP176" s="2"/>
      <c r="EQ176" s="2">
        <v>131072</v>
      </c>
      <c r="ER176" s="2">
        <v>416.4</v>
      </c>
      <c r="ES176" s="2">
        <v>0</v>
      </c>
      <c r="ET176" s="2">
        <v>0</v>
      </c>
      <c r="EU176" s="2">
        <v>0</v>
      </c>
      <c r="EV176" s="2">
        <v>416.4</v>
      </c>
      <c r="EW176" s="2">
        <v>40</v>
      </c>
      <c r="EX176" s="2">
        <v>0</v>
      </c>
      <c r="EY176" s="2">
        <v>0</v>
      </c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>
        <v>0</v>
      </c>
      <c r="FR176" s="2">
        <v>0</v>
      </c>
      <c r="FS176" s="2">
        <v>0</v>
      </c>
      <c r="FT176" s="2"/>
      <c r="FU176" s="2"/>
      <c r="FV176" s="2"/>
      <c r="FW176" s="2"/>
      <c r="FX176" s="2">
        <v>187</v>
      </c>
      <c r="FY176" s="2">
        <v>101</v>
      </c>
      <c r="FZ176" s="2"/>
      <c r="GA176" s="2" t="s">
        <v>3</v>
      </c>
      <c r="GB176" s="2"/>
      <c r="GC176" s="2"/>
      <c r="GD176" s="2">
        <v>0</v>
      </c>
      <c r="GE176" s="2"/>
      <c r="GF176" s="2">
        <v>-802584898</v>
      </c>
      <c r="GG176" s="2">
        <v>2</v>
      </c>
      <c r="GH176" s="2">
        <v>1</v>
      </c>
      <c r="GI176" s="2">
        <v>-2</v>
      </c>
      <c r="GJ176" s="2">
        <v>0</v>
      </c>
      <c r="GK176" s="2">
        <f>ROUND(R176*(R12)/100,2)</f>
        <v>0</v>
      </c>
      <c r="GL176" s="2">
        <f t="shared" si="157"/>
        <v>0</v>
      </c>
      <c r="GM176" s="2">
        <f t="shared" si="158"/>
        <v>33.33</v>
      </c>
      <c r="GN176" s="2">
        <f t="shared" si="159"/>
        <v>33.33</v>
      </c>
      <c r="GO176" s="2">
        <f t="shared" si="160"/>
        <v>0</v>
      </c>
      <c r="GP176" s="2">
        <f t="shared" si="161"/>
        <v>0</v>
      </c>
      <c r="GQ176" s="2"/>
      <c r="GR176" s="2">
        <v>0</v>
      </c>
      <c r="GS176" s="2">
        <v>0</v>
      </c>
      <c r="GT176" s="2">
        <v>0</v>
      </c>
      <c r="GU176" s="2" t="s">
        <v>3</v>
      </c>
      <c r="GV176" s="2">
        <f t="shared" si="162"/>
        <v>0</v>
      </c>
      <c r="GW176" s="2">
        <v>1</v>
      </c>
      <c r="GX176" s="2">
        <f t="shared" si="163"/>
        <v>0</v>
      </c>
      <c r="GY176" s="2"/>
      <c r="GZ176" s="2"/>
      <c r="HA176" s="2">
        <v>0</v>
      </c>
      <c r="HB176" s="2">
        <v>0</v>
      </c>
      <c r="HC176" s="2">
        <f t="shared" si="164"/>
        <v>0</v>
      </c>
      <c r="HD176" s="2"/>
      <c r="HE176" s="2" t="s">
        <v>3</v>
      </c>
      <c r="HF176" s="2" t="s">
        <v>3</v>
      </c>
      <c r="HG176" s="2"/>
      <c r="HH176" s="2"/>
      <c r="HI176" s="2"/>
      <c r="HJ176" s="2"/>
      <c r="HK176" s="2"/>
      <c r="HL176" s="2"/>
      <c r="HM176" s="2" t="s">
        <v>3</v>
      </c>
      <c r="HN176" s="2" t="s">
        <v>3</v>
      </c>
      <c r="HO176" s="2" t="s">
        <v>3</v>
      </c>
      <c r="HP176" s="2" t="s">
        <v>3</v>
      </c>
      <c r="HQ176" s="2" t="s">
        <v>3</v>
      </c>
      <c r="HR176" s="2"/>
      <c r="HS176" s="2">
        <v>0</v>
      </c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">
      <c r="A177">
        <v>17</v>
      </c>
      <c r="B177">
        <v>1</v>
      </c>
      <c r="C177">
        <f>ROW(SmtRes!A170)</f>
        <v>170</v>
      </c>
      <c r="D177">
        <f>ROW(EtalonRes!A282)</f>
        <v>282</v>
      </c>
      <c r="E177" t="s">
        <v>258</v>
      </c>
      <c r="F177" t="s">
        <v>259</v>
      </c>
      <c r="G177" t="s">
        <v>260</v>
      </c>
      <c r="H177" t="s">
        <v>250</v>
      </c>
      <c r="I177">
        <f>ROUND(7.5*0.25/100,9)</f>
        <v>1.8749999999999999E-2</v>
      </c>
      <c r="J177">
        <v>0</v>
      </c>
      <c r="K177">
        <f>ROUND(7.5*0.25/100,9)</f>
        <v>1.8749999999999999E-2</v>
      </c>
      <c r="O177">
        <f t="shared" si="135"/>
        <v>296.44</v>
      </c>
      <c r="P177">
        <f t="shared" si="136"/>
        <v>0</v>
      </c>
      <c r="Q177">
        <f>(ROUND((ROUND((((ET177*1.1))*AV177*I177),2)*BB177),2)+ROUND((ROUND(((AE177-((EU177*1.1)))*AV177*I177),2)*BS177),2))</f>
        <v>0</v>
      </c>
      <c r="R177">
        <f t="shared" si="137"/>
        <v>0</v>
      </c>
      <c r="S177">
        <f t="shared" si="138"/>
        <v>296.44</v>
      </c>
      <c r="T177">
        <f t="shared" si="139"/>
        <v>0</v>
      </c>
      <c r="U177">
        <f t="shared" si="140"/>
        <v>0.82499999999999996</v>
      </c>
      <c r="V177">
        <f t="shared" si="141"/>
        <v>0</v>
      </c>
      <c r="W177">
        <f t="shared" si="142"/>
        <v>0</v>
      </c>
      <c r="X177">
        <f t="shared" si="143"/>
        <v>311.26</v>
      </c>
      <c r="Y177">
        <f t="shared" si="144"/>
        <v>142.29</v>
      </c>
      <c r="AA177">
        <v>56611490</v>
      </c>
      <c r="AB177">
        <f t="shared" si="145"/>
        <v>458.04</v>
      </c>
      <c r="AC177">
        <f t="shared" si="146"/>
        <v>0</v>
      </c>
      <c r="AD177">
        <f>ROUND(((((ET177*1.1))-((EU177*1.1)))+AE177),6)</f>
        <v>0</v>
      </c>
      <c r="AE177">
        <f>ROUND(((EU177*1.1)),6)</f>
        <v>0</v>
      </c>
      <c r="AF177">
        <f>ROUND(((EV177*1.1)),6)</f>
        <v>458.04</v>
      </c>
      <c r="AG177">
        <f t="shared" si="147"/>
        <v>0</v>
      </c>
      <c r="AH177">
        <f>((EW177*1.1))</f>
        <v>44</v>
      </c>
      <c r="AI177">
        <f>((EX177*1.1))</f>
        <v>0</v>
      </c>
      <c r="AJ177">
        <f t="shared" si="148"/>
        <v>0</v>
      </c>
      <c r="AK177">
        <v>416.4</v>
      </c>
      <c r="AL177">
        <v>0</v>
      </c>
      <c r="AM177">
        <v>0</v>
      </c>
      <c r="AN177">
        <v>0</v>
      </c>
      <c r="AO177">
        <v>416.4</v>
      </c>
      <c r="AP177">
        <v>0</v>
      </c>
      <c r="AQ177">
        <v>40</v>
      </c>
      <c r="AR177">
        <v>0</v>
      </c>
      <c r="AS177">
        <v>0</v>
      </c>
      <c r="AT177">
        <v>105</v>
      </c>
      <c r="AU177">
        <v>48</v>
      </c>
      <c r="AV177">
        <v>1</v>
      </c>
      <c r="AW177">
        <v>1</v>
      </c>
      <c r="AZ177">
        <v>1</v>
      </c>
      <c r="BA177">
        <v>34.51</v>
      </c>
      <c r="BB177">
        <v>1</v>
      </c>
      <c r="BC177">
        <v>1</v>
      </c>
      <c r="BD177" t="s">
        <v>3</v>
      </c>
      <c r="BE177" t="s">
        <v>3</v>
      </c>
      <c r="BF177" t="s">
        <v>3</v>
      </c>
      <c r="BG177" t="s">
        <v>3</v>
      </c>
      <c r="BH177">
        <v>0</v>
      </c>
      <c r="BI177">
        <v>1</v>
      </c>
      <c r="BJ177" t="s">
        <v>261</v>
      </c>
      <c r="BM177">
        <v>295</v>
      </c>
      <c r="BN177">
        <v>0</v>
      </c>
      <c r="BO177" t="s">
        <v>259</v>
      </c>
      <c r="BP177">
        <v>1</v>
      </c>
      <c r="BQ177">
        <v>30</v>
      </c>
      <c r="BR177">
        <v>0</v>
      </c>
      <c r="BS177">
        <v>34.51</v>
      </c>
      <c r="BT177">
        <v>1</v>
      </c>
      <c r="BU177">
        <v>1</v>
      </c>
      <c r="BV177">
        <v>1</v>
      </c>
      <c r="BW177">
        <v>1</v>
      </c>
      <c r="BX177">
        <v>1</v>
      </c>
      <c r="BY177" t="s">
        <v>3</v>
      </c>
      <c r="BZ177">
        <v>105</v>
      </c>
      <c r="CA177">
        <v>48</v>
      </c>
      <c r="CB177" t="s">
        <v>3</v>
      </c>
      <c r="CE177">
        <v>30</v>
      </c>
      <c r="CF177">
        <v>0</v>
      </c>
      <c r="CG177">
        <v>0</v>
      </c>
      <c r="CM177">
        <v>0</v>
      </c>
      <c r="CN177" t="s">
        <v>689</v>
      </c>
      <c r="CO177">
        <v>0</v>
      </c>
      <c r="CP177">
        <f t="shared" si="149"/>
        <v>296.44</v>
      </c>
      <c r="CQ177">
        <f t="shared" si="150"/>
        <v>0</v>
      </c>
      <c r="CR177">
        <f>(ROUND((ROUND((((ET177*1.1))*AV177*1),2)*BB177),2)+ROUND((ROUND(((AE177-((EU177*1.1)))*AV177*1),2)*BS177),2))</f>
        <v>0</v>
      </c>
      <c r="CS177">
        <f t="shared" si="151"/>
        <v>0</v>
      </c>
      <c r="CT177">
        <f t="shared" si="152"/>
        <v>15806.96</v>
      </c>
      <c r="CU177">
        <f t="shared" si="153"/>
        <v>0</v>
      </c>
      <c r="CV177">
        <f t="shared" si="154"/>
        <v>44</v>
      </c>
      <c r="CW177">
        <f t="shared" si="155"/>
        <v>0</v>
      </c>
      <c r="CX177">
        <f t="shared" si="156"/>
        <v>0</v>
      </c>
      <c r="CY177">
        <f>S177*(BZ177/100)</f>
        <v>311.262</v>
      </c>
      <c r="CZ177">
        <f>S177*(CA177/100)</f>
        <v>142.2912</v>
      </c>
      <c r="DC177" t="s">
        <v>3</v>
      </c>
      <c r="DD177" t="s">
        <v>3</v>
      </c>
      <c r="DE177" t="s">
        <v>22</v>
      </c>
      <c r="DF177" t="s">
        <v>22</v>
      </c>
      <c r="DG177" t="s">
        <v>22</v>
      </c>
      <c r="DH177" t="s">
        <v>3</v>
      </c>
      <c r="DI177" t="s">
        <v>22</v>
      </c>
      <c r="DJ177" t="s">
        <v>22</v>
      </c>
      <c r="DK177" t="s">
        <v>3</v>
      </c>
      <c r="DL177" t="s">
        <v>3</v>
      </c>
      <c r="DM177" t="s">
        <v>3</v>
      </c>
      <c r="DN177">
        <v>187</v>
      </c>
      <c r="DO177">
        <v>101</v>
      </c>
      <c r="DP177">
        <v>1</v>
      </c>
      <c r="DQ177">
        <v>1</v>
      </c>
      <c r="DU177">
        <v>1005</v>
      </c>
      <c r="DV177" t="s">
        <v>250</v>
      </c>
      <c r="DW177" t="s">
        <v>250</v>
      </c>
      <c r="DX177">
        <v>100</v>
      </c>
      <c r="DZ177" t="s">
        <v>3</v>
      </c>
      <c r="EA177" t="s">
        <v>3</v>
      </c>
      <c r="EB177" t="s">
        <v>3</v>
      </c>
      <c r="EC177" t="s">
        <v>3</v>
      </c>
      <c r="EE177">
        <v>51696334</v>
      </c>
      <c r="EF177">
        <v>30</v>
      </c>
      <c r="EG177" t="s">
        <v>23</v>
      </c>
      <c r="EH177">
        <v>0</v>
      </c>
      <c r="EI177" t="s">
        <v>3</v>
      </c>
      <c r="EJ177">
        <v>1</v>
      </c>
      <c r="EK177">
        <v>295</v>
      </c>
      <c r="EL177" t="s">
        <v>252</v>
      </c>
      <c r="EM177" t="s">
        <v>253</v>
      </c>
      <c r="EO177" t="s">
        <v>26</v>
      </c>
      <c r="EQ177">
        <v>131072</v>
      </c>
      <c r="ER177">
        <v>416.4</v>
      </c>
      <c r="ES177">
        <v>0</v>
      </c>
      <c r="ET177">
        <v>0</v>
      </c>
      <c r="EU177">
        <v>0</v>
      </c>
      <c r="EV177">
        <v>416.4</v>
      </c>
      <c r="EW177">
        <v>40</v>
      </c>
      <c r="EX177">
        <v>0</v>
      </c>
      <c r="EY177">
        <v>0</v>
      </c>
      <c r="FQ177">
        <v>0</v>
      </c>
      <c r="FR177">
        <v>0</v>
      </c>
      <c r="FS177">
        <v>0</v>
      </c>
      <c r="FX177">
        <v>187</v>
      </c>
      <c r="FY177">
        <v>101</v>
      </c>
      <c r="GA177" t="s">
        <v>3</v>
      </c>
      <c r="GD177">
        <v>0</v>
      </c>
      <c r="GF177">
        <v>-802584898</v>
      </c>
      <c r="GG177">
        <v>2</v>
      </c>
      <c r="GH177">
        <v>1</v>
      </c>
      <c r="GI177">
        <v>2</v>
      </c>
      <c r="GJ177">
        <v>0</v>
      </c>
      <c r="GK177">
        <f>ROUND(R177*(S12)/100,2)</f>
        <v>0</v>
      </c>
      <c r="GL177">
        <f t="shared" si="157"/>
        <v>0</v>
      </c>
      <c r="GM177">
        <f t="shared" si="158"/>
        <v>749.99</v>
      </c>
      <c r="GN177">
        <f t="shared" si="159"/>
        <v>749.99</v>
      </c>
      <c r="GO177">
        <f t="shared" si="160"/>
        <v>0</v>
      </c>
      <c r="GP177">
        <f t="shared" si="161"/>
        <v>0</v>
      </c>
      <c r="GR177">
        <v>0</v>
      </c>
      <c r="GS177">
        <v>3</v>
      </c>
      <c r="GT177">
        <v>0</v>
      </c>
      <c r="GU177" t="s">
        <v>3</v>
      </c>
      <c r="GV177">
        <f t="shared" si="162"/>
        <v>0</v>
      </c>
      <c r="GW177">
        <v>1</v>
      </c>
      <c r="GX177">
        <f t="shared" si="163"/>
        <v>0</v>
      </c>
      <c r="HA177">
        <v>0</v>
      </c>
      <c r="HB177">
        <v>0</v>
      </c>
      <c r="HC177">
        <f t="shared" si="164"/>
        <v>0</v>
      </c>
      <c r="HE177" t="s">
        <v>3</v>
      </c>
      <c r="HF177" t="s">
        <v>3</v>
      </c>
      <c r="HM177" t="s">
        <v>3</v>
      </c>
      <c r="HN177" t="s">
        <v>3</v>
      </c>
      <c r="HO177" t="s">
        <v>3</v>
      </c>
      <c r="HP177" t="s">
        <v>3</v>
      </c>
      <c r="HQ177" t="s">
        <v>3</v>
      </c>
      <c r="HS177">
        <v>0</v>
      </c>
      <c r="IK177">
        <v>0</v>
      </c>
    </row>
    <row r="178" spans="1:255" x14ac:dyDescent="0.2">
      <c r="A178" s="2">
        <v>18</v>
      </c>
      <c r="B178" s="2">
        <v>1</v>
      </c>
      <c r="C178" s="2">
        <v>169</v>
      </c>
      <c r="D178" s="2"/>
      <c r="E178" s="2" t="s">
        <v>262</v>
      </c>
      <c r="F178" s="2" t="s">
        <v>255</v>
      </c>
      <c r="G178" s="2" t="s">
        <v>256</v>
      </c>
      <c r="H178" s="2" t="s">
        <v>88</v>
      </c>
      <c r="I178" s="2">
        <f>I176*J178</f>
        <v>0.28125</v>
      </c>
      <c r="J178" s="2">
        <v>15</v>
      </c>
      <c r="K178" s="2">
        <v>15</v>
      </c>
      <c r="L178" s="2"/>
      <c r="M178" s="2"/>
      <c r="N178" s="2"/>
      <c r="O178" s="2">
        <f t="shared" si="135"/>
        <v>41.3</v>
      </c>
      <c r="P178" s="2">
        <f t="shared" si="136"/>
        <v>41.3</v>
      </c>
      <c r="Q178" s="2">
        <f>(ROUND((ROUND(((ET178)*AV178*I178),2)*BB178),2)+ROUND((ROUND(((AE178-(EU178))*AV178*I178),2)*BS178),2))</f>
        <v>0</v>
      </c>
      <c r="R178" s="2">
        <f t="shared" si="137"/>
        <v>0</v>
      </c>
      <c r="S178" s="2">
        <f t="shared" si="138"/>
        <v>0</v>
      </c>
      <c r="T178" s="2">
        <f t="shared" si="139"/>
        <v>0</v>
      </c>
      <c r="U178" s="2">
        <f t="shared" si="140"/>
        <v>0</v>
      </c>
      <c r="V178" s="2">
        <f t="shared" si="141"/>
        <v>0</v>
      </c>
      <c r="W178" s="2">
        <f t="shared" si="142"/>
        <v>0</v>
      </c>
      <c r="X178" s="2">
        <f t="shared" si="143"/>
        <v>0</v>
      </c>
      <c r="Y178" s="2">
        <f t="shared" si="144"/>
        <v>0</v>
      </c>
      <c r="Z178" s="2"/>
      <c r="AA178" s="2">
        <v>56622523</v>
      </c>
      <c r="AB178" s="2">
        <f t="shared" si="145"/>
        <v>146.84</v>
      </c>
      <c r="AC178" s="2">
        <f t="shared" si="146"/>
        <v>146.84</v>
      </c>
      <c r="AD178" s="2">
        <f>ROUND((((ET178)-(EU178))+AE178),6)</f>
        <v>0</v>
      </c>
      <c r="AE178" s="2">
        <f>ROUND((EU178),6)</f>
        <v>0</v>
      </c>
      <c r="AF178" s="2">
        <f>ROUND((EV178),6)</f>
        <v>0</v>
      </c>
      <c r="AG178" s="2">
        <f t="shared" si="147"/>
        <v>0</v>
      </c>
      <c r="AH178" s="2">
        <f>(EW178)</f>
        <v>0</v>
      </c>
      <c r="AI178" s="2">
        <f>(EX178)</f>
        <v>0</v>
      </c>
      <c r="AJ178" s="2">
        <f t="shared" si="148"/>
        <v>0</v>
      </c>
      <c r="AK178" s="2">
        <v>146.84</v>
      </c>
      <c r="AL178" s="2">
        <v>146.84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187</v>
      </c>
      <c r="AU178" s="2">
        <v>101</v>
      </c>
      <c r="AV178" s="2">
        <v>1</v>
      </c>
      <c r="AW178" s="2">
        <v>1</v>
      </c>
      <c r="AX178" s="2"/>
      <c r="AY178" s="2"/>
      <c r="AZ178" s="2">
        <v>1</v>
      </c>
      <c r="BA178" s="2">
        <v>1</v>
      </c>
      <c r="BB178" s="2">
        <v>1</v>
      </c>
      <c r="BC178" s="2">
        <v>1</v>
      </c>
      <c r="BD178" s="2" t="s">
        <v>3</v>
      </c>
      <c r="BE178" s="2" t="s">
        <v>3</v>
      </c>
      <c r="BF178" s="2" t="s">
        <v>3</v>
      </c>
      <c r="BG178" s="2" t="s">
        <v>3</v>
      </c>
      <c r="BH178" s="2">
        <v>3</v>
      </c>
      <c r="BI178" s="2">
        <v>1</v>
      </c>
      <c r="BJ178" s="2" t="s">
        <v>257</v>
      </c>
      <c r="BK178" s="2"/>
      <c r="BL178" s="2"/>
      <c r="BM178" s="2">
        <v>295</v>
      </c>
      <c r="BN178" s="2">
        <v>0</v>
      </c>
      <c r="BO178" s="2" t="s">
        <v>3</v>
      </c>
      <c r="BP178" s="2">
        <v>0</v>
      </c>
      <c r="BQ178" s="2">
        <v>30</v>
      </c>
      <c r="BR178" s="2">
        <v>0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 t="s">
        <v>3</v>
      </c>
      <c r="BZ178" s="2">
        <v>187</v>
      </c>
      <c r="CA178" s="2">
        <v>101</v>
      </c>
      <c r="CB178" s="2" t="s">
        <v>3</v>
      </c>
      <c r="CC178" s="2"/>
      <c r="CD178" s="2"/>
      <c r="CE178" s="2">
        <v>30</v>
      </c>
      <c r="CF178" s="2">
        <v>0</v>
      </c>
      <c r="CG178" s="2">
        <v>0</v>
      </c>
      <c r="CH178" s="2"/>
      <c r="CI178" s="2"/>
      <c r="CJ178" s="2"/>
      <c r="CK178" s="2"/>
      <c r="CL178" s="2"/>
      <c r="CM178" s="2">
        <v>0</v>
      </c>
      <c r="CN178" s="2" t="s">
        <v>3</v>
      </c>
      <c r="CO178" s="2">
        <v>0</v>
      </c>
      <c r="CP178" s="2">
        <f t="shared" si="149"/>
        <v>41.3</v>
      </c>
      <c r="CQ178" s="2">
        <f t="shared" si="150"/>
        <v>146.84</v>
      </c>
      <c r="CR178" s="2">
        <f>(ROUND((ROUND(((ET178)*AV178*1),2)*BB178),2)+ROUND((ROUND(((AE178-(EU178))*AV178*1),2)*BS178),2))</f>
        <v>0</v>
      </c>
      <c r="CS178" s="2">
        <f t="shared" si="151"/>
        <v>0</v>
      </c>
      <c r="CT178" s="2">
        <f t="shared" si="152"/>
        <v>0</v>
      </c>
      <c r="CU178" s="2">
        <f t="shared" si="153"/>
        <v>0</v>
      </c>
      <c r="CV178" s="2">
        <f t="shared" si="154"/>
        <v>0</v>
      </c>
      <c r="CW178" s="2">
        <f t="shared" si="155"/>
        <v>0</v>
      </c>
      <c r="CX178" s="2">
        <f t="shared" si="156"/>
        <v>0</v>
      </c>
      <c r="CY178" s="2">
        <f>((S178*BZ178)/100)</f>
        <v>0</v>
      </c>
      <c r="CZ178" s="2">
        <f>((S178*CA178)/100)</f>
        <v>0</v>
      </c>
      <c r="DA178" s="2"/>
      <c r="DB178" s="2"/>
      <c r="DC178" s="2" t="s">
        <v>3</v>
      </c>
      <c r="DD178" s="2" t="s">
        <v>3</v>
      </c>
      <c r="DE178" s="2" t="s">
        <v>3</v>
      </c>
      <c r="DF178" s="2" t="s">
        <v>3</v>
      </c>
      <c r="DG178" s="2" t="s">
        <v>3</v>
      </c>
      <c r="DH178" s="2" t="s">
        <v>3</v>
      </c>
      <c r="DI178" s="2" t="s">
        <v>3</v>
      </c>
      <c r="DJ178" s="2" t="s">
        <v>3</v>
      </c>
      <c r="DK178" s="2" t="s">
        <v>3</v>
      </c>
      <c r="DL178" s="2" t="s">
        <v>3</v>
      </c>
      <c r="DM178" s="2" t="s">
        <v>3</v>
      </c>
      <c r="DN178" s="2">
        <v>0</v>
      </c>
      <c r="DO178" s="2">
        <v>0</v>
      </c>
      <c r="DP178" s="2">
        <v>1</v>
      </c>
      <c r="DQ178" s="2">
        <v>1</v>
      </c>
      <c r="DR178" s="2"/>
      <c r="DS178" s="2"/>
      <c r="DT178" s="2"/>
      <c r="DU178" s="2">
        <v>1007</v>
      </c>
      <c r="DV178" s="2" t="s">
        <v>88</v>
      </c>
      <c r="DW178" s="2" t="s">
        <v>88</v>
      </c>
      <c r="DX178" s="2">
        <v>1</v>
      </c>
      <c r="DY178" s="2"/>
      <c r="DZ178" s="2" t="s">
        <v>3</v>
      </c>
      <c r="EA178" s="2" t="s">
        <v>3</v>
      </c>
      <c r="EB178" s="2" t="s">
        <v>3</v>
      </c>
      <c r="EC178" s="2" t="s">
        <v>3</v>
      </c>
      <c r="ED178" s="2"/>
      <c r="EE178" s="2">
        <v>51696334</v>
      </c>
      <c r="EF178" s="2">
        <v>30</v>
      </c>
      <c r="EG178" s="2" t="s">
        <v>23</v>
      </c>
      <c r="EH178" s="2">
        <v>0</v>
      </c>
      <c r="EI178" s="2" t="s">
        <v>3</v>
      </c>
      <c r="EJ178" s="2">
        <v>1</v>
      </c>
      <c r="EK178" s="2">
        <v>295</v>
      </c>
      <c r="EL178" s="2" t="s">
        <v>252</v>
      </c>
      <c r="EM178" s="2" t="s">
        <v>253</v>
      </c>
      <c r="EN178" s="2"/>
      <c r="EO178" s="2" t="s">
        <v>3</v>
      </c>
      <c r="EP178" s="2"/>
      <c r="EQ178" s="2">
        <v>0</v>
      </c>
      <c r="ER178" s="2">
        <v>146.84</v>
      </c>
      <c r="ES178" s="2">
        <v>146.84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>
        <v>0</v>
      </c>
      <c r="FR178" s="2">
        <v>0</v>
      </c>
      <c r="FS178" s="2">
        <v>0</v>
      </c>
      <c r="FT178" s="2"/>
      <c r="FU178" s="2"/>
      <c r="FV178" s="2"/>
      <c r="FW178" s="2"/>
      <c r="FX178" s="2">
        <v>187</v>
      </c>
      <c r="FY178" s="2">
        <v>101</v>
      </c>
      <c r="FZ178" s="2"/>
      <c r="GA178" s="2" t="s">
        <v>3</v>
      </c>
      <c r="GB178" s="2"/>
      <c r="GC178" s="2"/>
      <c r="GD178" s="2">
        <v>0</v>
      </c>
      <c r="GE178" s="2"/>
      <c r="GF178" s="2">
        <v>-1933062003</v>
      </c>
      <c r="GG178" s="2">
        <v>2</v>
      </c>
      <c r="GH178" s="2">
        <v>1</v>
      </c>
      <c r="GI178" s="2">
        <v>-2</v>
      </c>
      <c r="GJ178" s="2">
        <v>0</v>
      </c>
      <c r="GK178" s="2">
        <f>ROUND(R178*(R12)/100,2)</f>
        <v>0</v>
      </c>
      <c r="GL178" s="2">
        <f t="shared" si="157"/>
        <v>0</v>
      </c>
      <c r="GM178" s="2">
        <f t="shared" si="158"/>
        <v>41.3</v>
      </c>
      <c r="GN178" s="2">
        <f t="shared" si="159"/>
        <v>41.3</v>
      </c>
      <c r="GO178" s="2">
        <f t="shared" si="160"/>
        <v>0</v>
      </c>
      <c r="GP178" s="2">
        <f t="shared" si="161"/>
        <v>0</v>
      </c>
      <c r="GQ178" s="2"/>
      <c r="GR178" s="2">
        <v>0</v>
      </c>
      <c r="GS178" s="2">
        <v>0</v>
      </c>
      <c r="GT178" s="2">
        <v>0</v>
      </c>
      <c r="GU178" s="2" t="s">
        <v>3</v>
      </c>
      <c r="GV178" s="2">
        <f t="shared" si="162"/>
        <v>0</v>
      </c>
      <c r="GW178" s="2">
        <v>1</v>
      </c>
      <c r="GX178" s="2">
        <f t="shared" si="163"/>
        <v>0</v>
      </c>
      <c r="GY178" s="2"/>
      <c r="GZ178" s="2"/>
      <c r="HA178" s="2">
        <v>0</v>
      </c>
      <c r="HB178" s="2">
        <v>0</v>
      </c>
      <c r="HC178" s="2">
        <f t="shared" si="164"/>
        <v>0</v>
      </c>
      <c r="HD178" s="2"/>
      <c r="HE178" s="2" t="s">
        <v>3</v>
      </c>
      <c r="HF178" s="2" t="s">
        <v>3</v>
      </c>
      <c r="HG178" s="2"/>
      <c r="HH178" s="2"/>
      <c r="HI178" s="2"/>
      <c r="HJ178" s="2"/>
      <c r="HK178" s="2"/>
      <c r="HL178" s="2"/>
      <c r="HM178" s="2" t="s">
        <v>3</v>
      </c>
      <c r="HN178" s="2" t="s">
        <v>3</v>
      </c>
      <c r="HO178" s="2" t="s">
        <v>3</v>
      </c>
      <c r="HP178" s="2" t="s">
        <v>3</v>
      </c>
      <c r="HQ178" s="2" t="s">
        <v>3</v>
      </c>
      <c r="HR178" s="2"/>
      <c r="HS178" s="2">
        <v>0</v>
      </c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>
        <v>0</v>
      </c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x14ac:dyDescent="0.2">
      <c r="A179">
        <v>18</v>
      </c>
      <c r="B179">
        <v>1</v>
      </c>
      <c r="C179">
        <v>170</v>
      </c>
      <c r="E179" t="s">
        <v>262</v>
      </c>
      <c r="F179" t="s">
        <v>255</v>
      </c>
      <c r="G179" t="s">
        <v>256</v>
      </c>
      <c r="H179" t="s">
        <v>88</v>
      </c>
      <c r="I179">
        <f>I177*J179</f>
        <v>0.28125</v>
      </c>
      <c r="J179">
        <v>15</v>
      </c>
      <c r="K179">
        <v>15</v>
      </c>
      <c r="O179">
        <f t="shared" si="135"/>
        <v>299.01</v>
      </c>
      <c r="P179">
        <f t="shared" si="136"/>
        <v>299.01</v>
      </c>
      <c r="Q179">
        <f>(ROUND((ROUND(((ET179)*AV179*I179),2)*BB179),2)+ROUND((ROUND(((AE179-(EU179))*AV179*I179),2)*BS179),2))</f>
        <v>0</v>
      </c>
      <c r="R179">
        <f t="shared" si="137"/>
        <v>0</v>
      </c>
      <c r="S179">
        <f t="shared" si="138"/>
        <v>0</v>
      </c>
      <c r="T179">
        <f t="shared" si="139"/>
        <v>0</v>
      </c>
      <c r="U179">
        <f t="shared" si="140"/>
        <v>0</v>
      </c>
      <c r="V179">
        <f t="shared" si="141"/>
        <v>0</v>
      </c>
      <c r="W179">
        <f t="shared" si="142"/>
        <v>0</v>
      </c>
      <c r="X179">
        <f t="shared" si="143"/>
        <v>0</v>
      </c>
      <c r="Y179">
        <f t="shared" si="144"/>
        <v>0</v>
      </c>
      <c r="AA179">
        <v>56611490</v>
      </c>
      <c r="AB179">
        <f t="shared" si="145"/>
        <v>146.84</v>
      </c>
      <c r="AC179">
        <f t="shared" si="146"/>
        <v>146.84</v>
      </c>
      <c r="AD179">
        <f>ROUND((((ET179)-(EU179))+AE179),6)</f>
        <v>0</v>
      </c>
      <c r="AE179">
        <f>ROUND((EU179),6)</f>
        <v>0</v>
      </c>
      <c r="AF179">
        <f>ROUND((EV179),6)</f>
        <v>0</v>
      </c>
      <c r="AG179">
        <f t="shared" si="147"/>
        <v>0</v>
      </c>
      <c r="AH179">
        <f>(EW179)</f>
        <v>0</v>
      </c>
      <c r="AI179">
        <f>(EX179)</f>
        <v>0</v>
      </c>
      <c r="AJ179">
        <f t="shared" si="148"/>
        <v>0</v>
      </c>
      <c r="AK179">
        <v>146.84</v>
      </c>
      <c r="AL179">
        <v>146.84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1</v>
      </c>
      <c r="AZ179">
        <v>1</v>
      </c>
      <c r="BA179">
        <v>1</v>
      </c>
      <c r="BB179">
        <v>1</v>
      </c>
      <c r="BC179">
        <v>7.24</v>
      </c>
      <c r="BD179" t="s">
        <v>3</v>
      </c>
      <c r="BE179" t="s">
        <v>3</v>
      </c>
      <c r="BF179" t="s">
        <v>3</v>
      </c>
      <c r="BG179" t="s">
        <v>3</v>
      </c>
      <c r="BH179">
        <v>3</v>
      </c>
      <c r="BI179">
        <v>1</v>
      </c>
      <c r="BJ179" t="s">
        <v>257</v>
      </c>
      <c r="BM179">
        <v>295</v>
      </c>
      <c r="BN179">
        <v>0</v>
      </c>
      <c r="BO179" t="s">
        <v>255</v>
      </c>
      <c r="BP179">
        <v>1</v>
      </c>
      <c r="BQ179">
        <v>30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 t="s">
        <v>3</v>
      </c>
      <c r="BZ179">
        <v>0</v>
      </c>
      <c r="CA179">
        <v>0</v>
      </c>
      <c r="CB179" t="s">
        <v>3</v>
      </c>
      <c r="CE179">
        <v>30</v>
      </c>
      <c r="CF179">
        <v>0</v>
      </c>
      <c r="CG179">
        <v>0</v>
      </c>
      <c r="CM179">
        <v>0</v>
      </c>
      <c r="CN179" t="s">
        <v>3</v>
      </c>
      <c r="CO179">
        <v>0</v>
      </c>
      <c r="CP179">
        <f t="shared" si="149"/>
        <v>299.01</v>
      </c>
      <c r="CQ179">
        <f t="shared" si="150"/>
        <v>1063.1199999999999</v>
      </c>
      <c r="CR179">
        <f>(ROUND((ROUND(((ET179)*AV179*1),2)*BB179),2)+ROUND((ROUND(((AE179-(EU179))*AV179*1),2)*BS179),2))</f>
        <v>0</v>
      </c>
      <c r="CS179">
        <f t="shared" si="151"/>
        <v>0</v>
      </c>
      <c r="CT179">
        <f t="shared" si="152"/>
        <v>0</v>
      </c>
      <c r="CU179">
        <f t="shared" si="153"/>
        <v>0</v>
      </c>
      <c r="CV179">
        <f t="shared" si="154"/>
        <v>0</v>
      </c>
      <c r="CW179">
        <f t="shared" si="155"/>
        <v>0</v>
      </c>
      <c r="CX179">
        <f t="shared" si="156"/>
        <v>0</v>
      </c>
      <c r="CY179">
        <f>S179*(BZ179/100)</f>
        <v>0</v>
      </c>
      <c r="CZ179">
        <f>S179*(CA179/100)</f>
        <v>0</v>
      </c>
      <c r="DC179" t="s">
        <v>3</v>
      </c>
      <c r="DD179" t="s">
        <v>3</v>
      </c>
      <c r="DE179" t="s">
        <v>3</v>
      </c>
      <c r="DF179" t="s">
        <v>3</v>
      </c>
      <c r="DG179" t="s">
        <v>3</v>
      </c>
      <c r="DH179" t="s">
        <v>3</v>
      </c>
      <c r="DI179" t="s">
        <v>3</v>
      </c>
      <c r="DJ179" t="s">
        <v>3</v>
      </c>
      <c r="DK179" t="s">
        <v>3</v>
      </c>
      <c r="DL179" t="s">
        <v>3</v>
      </c>
      <c r="DM179" t="s">
        <v>3</v>
      </c>
      <c r="DN179">
        <v>187</v>
      </c>
      <c r="DO179">
        <v>101</v>
      </c>
      <c r="DP179">
        <v>1</v>
      </c>
      <c r="DQ179">
        <v>1</v>
      </c>
      <c r="DU179">
        <v>1007</v>
      </c>
      <c r="DV179" t="s">
        <v>88</v>
      </c>
      <c r="DW179" t="s">
        <v>88</v>
      </c>
      <c r="DX179">
        <v>1</v>
      </c>
      <c r="DZ179" t="s">
        <v>3</v>
      </c>
      <c r="EA179" t="s">
        <v>3</v>
      </c>
      <c r="EB179" t="s">
        <v>3</v>
      </c>
      <c r="EC179" t="s">
        <v>3</v>
      </c>
      <c r="EE179">
        <v>51696334</v>
      </c>
      <c r="EF179">
        <v>30</v>
      </c>
      <c r="EG179" t="s">
        <v>23</v>
      </c>
      <c r="EH179">
        <v>0</v>
      </c>
      <c r="EI179" t="s">
        <v>3</v>
      </c>
      <c r="EJ179">
        <v>1</v>
      </c>
      <c r="EK179">
        <v>295</v>
      </c>
      <c r="EL179" t="s">
        <v>252</v>
      </c>
      <c r="EM179" t="s">
        <v>253</v>
      </c>
      <c r="EO179" t="s">
        <v>3</v>
      </c>
      <c r="EQ179">
        <v>0</v>
      </c>
      <c r="ER179">
        <v>146.84</v>
      </c>
      <c r="ES179">
        <v>146.84</v>
      </c>
      <c r="ET179">
        <v>0</v>
      </c>
      <c r="EU179">
        <v>0</v>
      </c>
      <c r="EV179">
        <v>0</v>
      </c>
      <c r="EW179">
        <v>0</v>
      </c>
      <c r="EX179">
        <v>0</v>
      </c>
      <c r="FQ179">
        <v>0</v>
      </c>
      <c r="FR179">
        <v>0</v>
      </c>
      <c r="FS179">
        <v>0</v>
      </c>
      <c r="FX179">
        <v>187</v>
      </c>
      <c r="FY179">
        <v>101</v>
      </c>
      <c r="GA179" t="s">
        <v>3</v>
      </c>
      <c r="GD179">
        <v>0</v>
      </c>
      <c r="GF179">
        <v>-1933062003</v>
      </c>
      <c r="GG179">
        <v>2</v>
      </c>
      <c r="GH179">
        <v>1</v>
      </c>
      <c r="GI179">
        <v>2</v>
      </c>
      <c r="GJ179">
        <v>0</v>
      </c>
      <c r="GK179">
        <f>ROUND(R179*(S12)/100,2)</f>
        <v>0</v>
      </c>
      <c r="GL179">
        <f t="shared" si="157"/>
        <v>0</v>
      </c>
      <c r="GM179">
        <f t="shared" si="158"/>
        <v>299.01</v>
      </c>
      <c r="GN179">
        <f t="shared" si="159"/>
        <v>299.01</v>
      </c>
      <c r="GO179">
        <f t="shared" si="160"/>
        <v>0</v>
      </c>
      <c r="GP179">
        <f t="shared" si="161"/>
        <v>0</v>
      </c>
      <c r="GR179">
        <v>0</v>
      </c>
      <c r="GS179">
        <v>3</v>
      </c>
      <c r="GT179">
        <v>0</v>
      </c>
      <c r="GU179" t="s">
        <v>3</v>
      </c>
      <c r="GV179">
        <f t="shared" si="162"/>
        <v>0</v>
      </c>
      <c r="GW179">
        <v>1</v>
      </c>
      <c r="GX179">
        <f t="shared" si="163"/>
        <v>0</v>
      </c>
      <c r="HA179">
        <v>0</v>
      </c>
      <c r="HB179">
        <v>0</v>
      </c>
      <c r="HC179">
        <f t="shared" si="164"/>
        <v>0</v>
      </c>
      <c r="HE179" t="s">
        <v>3</v>
      </c>
      <c r="HF179" t="s">
        <v>3</v>
      </c>
      <c r="HM179" t="s">
        <v>3</v>
      </c>
      <c r="HN179" t="s">
        <v>3</v>
      </c>
      <c r="HO179" t="s">
        <v>3</v>
      </c>
      <c r="HP179" t="s">
        <v>3</v>
      </c>
      <c r="HQ179" t="s">
        <v>3</v>
      </c>
      <c r="HS179">
        <v>0</v>
      </c>
      <c r="IK179">
        <v>0</v>
      </c>
    </row>
    <row r="180" spans="1:255" x14ac:dyDescent="0.2">
      <c r="A180" s="2">
        <v>17</v>
      </c>
      <c r="B180" s="2">
        <v>1</v>
      </c>
      <c r="C180" s="2">
        <f>ROW(SmtRes!A171)</f>
        <v>171</v>
      </c>
      <c r="D180" s="2">
        <f>ROW(EtalonRes!A284)</f>
        <v>284</v>
      </c>
      <c r="E180" s="2" t="s">
        <v>263</v>
      </c>
      <c r="F180" s="2" t="s">
        <v>264</v>
      </c>
      <c r="G180" s="2" t="s">
        <v>265</v>
      </c>
      <c r="H180" s="2" t="s">
        <v>250</v>
      </c>
      <c r="I180" s="2">
        <f>ROUND(-7.5/100,9)</f>
        <v>-7.4999999999999997E-2</v>
      </c>
      <c r="J180" s="2">
        <v>0</v>
      </c>
      <c r="K180" s="2">
        <f>ROUND(-7.5/100,9)</f>
        <v>-7.4999999999999997E-2</v>
      </c>
      <c r="L180" s="2"/>
      <c r="M180" s="2"/>
      <c r="N180" s="2"/>
      <c r="O180" s="2">
        <f t="shared" si="135"/>
        <v>-4.7</v>
      </c>
      <c r="P180" s="2">
        <f t="shared" si="136"/>
        <v>0</v>
      </c>
      <c r="Q180" s="2">
        <f>(ROUND((ROUND((((ET180*1.1))*AV180*I180),2)*BB180),2)+ROUND((ROUND(((AE180-((EU180*1.1)))*AV180*I180),2)*BS180),2))</f>
        <v>0</v>
      </c>
      <c r="R180" s="2">
        <f t="shared" si="137"/>
        <v>0</v>
      </c>
      <c r="S180" s="2">
        <f t="shared" si="138"/>
        <v>-4.7</v>
      </c>
      <c r="T180" s="2">
        <f t="shared" si="139"/>
        <v>0</v>
      </c>
      <c r="U180" s="2">
        <f t="shared" si="140"/>
        <v>-0.45127499999999998</v>
      </c>
      <c r="V180" s="2">
        <f t="shared" si="141"/>
        <v>0</v>
      </c>
      <c r="W180" s="2">
        <f t="shared" si="142"/>
        <v>0</v>
      </c>
      <c r="X180" s="2">
        <f t="shared" si="143"/>
        <v>-8.7899999999999991</v>
      </c>
      <c r="Y180" s="2">
        <f t="shared" si="144"/>
        <v>-4.75</v>
      </c>
      <c r="Z180" s="2"/>
      <c r="AA180" s="2">
        <v>56622523</v>
      </c>
      <c r="AB180" s="2">
        <f t="shared" si="145"/>
        <v>62.634</v>
      </c>
      <c r="AC180" s="2">
        <f t="shared" si="146"/>
        <v>0</v>
      </c>
      <c r="AD180" s="2">
        <f>ROUND(((((ET180*1.1))-((EU180*1.1)))+AE180),6)</f>
        <v>0</v>
      </c>
      <c r="AE180" s="2">
        <f>ROUND(((EU180*1.1)),6)</f>
        <v>0</v>
      </c>
      <c r="AF180" s="2">
        <f>ROUND(((EV180*1.1)),6)</f>
        <v>62.634</v>
      </c>
      <c r="AG180" s="2">
        <f t="shared" si="147"/>
        <v>0</v>
      </c>
      <c r="AH180" s="2">
        <f>((EW180*1.1))</f>
        <v>6.0170000000000003</v>
      </c>
      <c r="AI180" s="2">
        <f>((EX180*1.1))</f>
        <v>0</v>
      </c>
      <c r="AJ180" s="2">
        <f t="shared" si="148"/>
        <v>0</v>
      </c>
      <c r="AK180" s="2">
        <v>56.94</v>
      </c>
      <c r="AL180" s="2">
        <v>0</v>
      </c>
      <c r="AM180" s="2">
        <v>0</v>
      </c>
      <c r="AN180" s="2">
        <v>0</v>
      </c>
      <c r="AO180" s="2">
        <v>56.94</v>
      </c>
      <c r="AP180" s="2">
        <v>0</v>
      </c>
      <c r="AQ180" s="2">
        <v>5.47</v>
      </c>
      <c r="AR180" s="2">
        <v>0</v>
      </c>
      <c r="AS180" s="2">
        <v>0</v>
      </c>
      <c r="AT180" s="2">
        <v>187</v>
      </c>
      <c r="AU180" s="2">
        <v>101</v>
      </c>
      <c r="AV180" s="2">
        <v>1</v>
      </c>
      <c r="AW180" s="2">
        <v>1</v>
      </c>
      <c r="AX180" s="2"/>
      <c r="AY180" s="2"/>
      <c r="AZ180" s="2">
        <v>1</v>
      </c>
      <c r="BA180" s="2">
        <v>1</v>
      </c>
      <c r="BB180" s="2">
        <v>1</v>
      </c>
      <c r="BC180" s="2">
        <v>1</v>
      </c>
      <c r="BD180" s="2" t="s">
        <v>3</v>
      </c>
      <c r="BE180" s="2" t="s">
        <v>3</v>
      </c>
      <c r="BF180" s="2" t="s">
        <v>3</v>
      </c>
      <c r="BG180" s="2" t="s">
        <v>3</v>
      </c>
      <c r="BH180" s="2">
        <v>0</v>
      </c>
      <c r="BI180" s="2">
        <v>1</v>
      </c>
      <c r="BJ180" s="2" t="s">
        <v>266</v>
      </c>
      <c r="BK180" s="2"/>
      <c r="BL180" s="2"/>
      <c r="BM180" s="2">
        <v>295</v>
      </c>
      <c r="BN180" s="2">
        <v>0</v>
      </c>
      <c r="BO180" s="2" t="s">
        <v>3</v>
      </c>
      <c r="BP180" s="2">
        <v>0</v>
      </c>
      <c r="BQ180" s="2">
        <v>30</v>
      </c>
      <c r="BR180" s="2">
        <v>0</v>
      </c>
      <c r="BS180" s="2">
        <v>1</v>
      </c>
      <c r="BT180" s="2">
        <v>1</v>
      </c>
      <c r="BU180" s="2">
        <v>1</v>
      </c>
      <c r="BV180" s="2">
        <v>1</v>
      </c>
      <c r="BW180" s="2">
        <v>1</v>
      </c>
      <c r="BX180" s="2">
        <v>1</v>
      </c>
      <c r="BY180" s="2" t="s">
        <v>3</v>
      </c>
      <c r="BZ180" s="2">
        <v>187</v>
      </c>
      <c r="CA180" s="2">
        <v>101</v>
      </c>
      <c r="CB180" s="2" t="s">
        <v>3</v>
      </c>
      <c r="CC180" s="2"/>
      <c r="CD180" s="2"/>
      <c r="CE180" s="2">
        <v>30</v>
      </c>
      <c r="CF180" s="2">
        <v>0</v>
      </c>
      <c r="CG180" s="2">
        <v>0</v>
      </c>
      <c r="CH180" s="2"/>
      <c r="CI180" s="2"/>
      <c r="CJ180" s="2"/>
      <c r="CK180" s="2"/>
      <c r="CL180" s="2"/>
      <c r="CM180" s="2">
        <v>0</v>
      </c>
      <c r="CN180" s="2" t="s">
        <v>689</v>
      </c>
      <c r="CO180" s="2">
        <v>0</v>
      </c>
      <c r="CP180" s="2">
        <f t="shared" si="149"/>
        <v>-4.7</v>
      </c>
      <c r="CQ180" s="2">
        <f t="shared" si="150"/>
        <v>0</v>
      </c>
      <c r="CR180" s="2">
        <f>(ROUND((ROUND((((ET180*1.1))*AV180*1),2)*BB180),2)+ROUND((ROUND(((AE180-((EU180*1.1)))*AV180*1),2)*BS180),2))</f>
        <v>0</v>
      </c>
      <c r="CS180" s="2">
        <f t="shared" si="151"/>
        <v>0</v>
      </c>
      <c r="CT180" s="2">
        <f t="shared" si="152"/>
        <v>62.63</v>
      </c>
      <c r="CU180" s="2">
        <f t="shared" si="153"/>
        <v>0</v>
      </c>
      <c r="CV180" s="2">
        <f t="shared" si="154"/>
        <v>6.0170000000000003</v>
      </c>
      <c r="CW180" s="2">
        <f t="shared" si="155"/>
        <v>0</v>
      </c>
      <c r="CX180" s="2">
        <f t="shared" si="156"/>
        <v>0</v>
      </c>
      <c r="CY180" s="2">
        <f>((S180*BZ180)/100)</f>
        <v>-8.7889999999999997</v>
      </c>
      <c r="CZ180" s="2">
        <f>((S180*CA180)/100)</f>
        <v>-4.7470000000000008</v>
      </c>
      <c r="DA180" s="2"/>
      <c r="DB180" s="2"/>
      <c r="DC180" s="2" t="s">
        <v>3</v>
      </c>
      <c r="DD180" s="2" t="s">
        <v>3</v>
      </c>
      <c r="DE180" s="2" t="s">
        <v>22</v>
      </c>
      <c r="DF180" s="2" t="s">
        <v>22</v>
      </c>
      <c r="DG180" s="2" t="s">
        <v>22</v>
      </c>
      <c r="DH180" s="2" t="s">
        <v>3</v>
      </c>
      <c r="DI180" s="2" t="s">
        <v>22</v>
      </c>
      <c r="DJ180" s="2" t="s">
        <v>22</v>
      </c>
      <c r="DK180" s="2" t="s">
        <v>3</v>
      </c>
      <c r="DL180" s="2" t="s">
        <v>3</v>
      </c>
      <c r="DM180" s="2" t="s">
        <v>3</v>
      </c>
      <c r="DN180" s="2">
        <v>0</v>
      </c>
      <c r="DO180" s="2">
        <v>0</v>
      </c>
      <c r="DP180" s="2">
        <v>1</v>
      </c>
      <c r="DQ180" s="2">
        <v>1</v>
      </c>
      <c r="DR180" s="2"/>
      <c r="DS180" s="2"/>
      <c r="DT180" s="2"/>
      <c r="DU180" s="2">
        <v>1005</v>
      </c>
      <c r="DV180" s="2" t="s">
        <v>250</v>
      </c>
      <c r="DW180" s="2" t="s">
        <v>250</v>
      </c>
      <c r="DX180" s="2">
        <v>100</v>
      </c>
      <c r="DY180" s="2"/>
      <c r="DZ180" s="2" t="s">
        <v>3</v>
      </c>
      <c r="EA180" s="2" t="s">
        <v>3</v>
      </c>
      <c r="EB180" s="2" t="s">
        <v>3</v>
      </c>
      <c r="EC180" s="2" t="s">
        <v>3</v>
      </c>
      <c r="ED180" s="2"/>
      <c r="EE180" s="2">
        <v>51696334</v>
      </c>
      <c r="EF180" s="2">
        <v>30</v>
      </c>
      <c r="EG180" s="2" t="s">
        <v>23</v>
      </c>
      <c r="EH180" s="2">
        <v>0</v>
      </c>
      <c r="EI180" s="2" t="s">
        <v>3</v>
      </c>
      <c r="EJ180" s="2">
        <v>1</v>
      </c>
      <c r="EK180" s="2">
        <v>295</v>
      </c>
      <c r="EL180" s="2" t="s">
        <v>252</v>
      </c>
      <c r="EM180" s="2" t="s">
        <v>253</v>
      </c>
      <c r="EN180" s="2"/>
      <c r="EO180" s="2" t="s">
        <v>26</v>
      </c>
      <c r="EP180" s="2"/>
      <c r="EQ180" s="2">
        <v>131072</v>
      </c>
      <c r="ER180" s="2">
        <v>56.94</v>
      </c>
      <c r="ES180" s="2">
        <v>0</v>
      </c>
      <c r="ET180" s="2">
        <v>0</v>
      </c>
      <c r="EU180" s="2">
        <v>0</v>
      </c>
      <c r="EV180" s="2">
        <v>56.94</v>
      </c>
      <c r="EW180" s="2">
        <v>5.47</v>
      </c>
      <c r="EX180" s="2">
        <v>0</v>
      </c>
      <c r="EY180" s="2">
        <v>0</v>
      </c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>
        <v>0</v>
      </c>
      <c r="FR180" s="2">
        <v>0</v>
      </c>
      <c r="FS180" s="2">
        <v>0</v>
      </c>
      <c r="FT180" s="2"/>
      <c r="FU180" s="2"/>
      <c r="FV180" s="2"/>
      <c r="FW180" s="2"/>
      <c r="FX180" s="2">
        <v>187</v>
      </c>
      <c r="FY180" s="2">
        <v>101</v>
      </c>
      <c r="FZ180" s="2"/>
      <c r="GA180" s="2" t="s">
        <v>3</v>
      </c>
      <c r="GB180" s="2"/>
      <c r="GC180" s="2"/>
      <c r="GD180" s="2">
        <v>0</v>
      </c>
      <c r="GE180" s="2"/>
      <c r="GF180" s="2">
        <v>1966967839</v>
      </c>
      <c r="GG180" s="2">
        <v>2</v>
      </c>
      <c r="GH180" s="2">
        <v>1</v>
      </c>
      <c r="GI180" s="2">
        <v>-2</v>
      </c>
      <c r="GJ180" s="2">
        <v>0</v>
      </c>
      <c r="GK180" s="2">
        <f>ROUND(R180*(R12)/100,2)</f>
        <v>0</v>
      </c>
      <c r="GL180" s="2">
        <f t="shared" si="157"/>
        <v>0</v>
      </c>
      <c r="GM180" s="2">
        <f t="shared" si="158"/>
        <v>-18.239999999999998</v>
      </c>
      <c r="GN180" s="2">
        <f t="shared" si="159"/>
        <v>-18.239999999999998</v>
      </c>
      <c r="GO180" s="2">
        <f t="shared" si="160"/>
        <v>0</v>
      </c>
      <c r="GP180" s="2">
        <f t="shared" si="161"/>
        <v>0</v>
      </c>
      <c r="GQ180" s="2"/>
      <c r="GR180" s="2">
        <v>0</v>
      </c>
      <c r="GS180" s="2">
        <v>0</v>
      </c>
      <c r="GT180" s="2">
        <v>0</v>
      </c>
      <c r="GU180" s="2" t="s">
        <v>3</v>
      </c>
      <c r="GV180" s="2">
        <f t="shared" si="162"/>
        <v>0</v>
      </c>
      <c r="GW180" s="2">
        <v>1</v>
      </c>
      <c r="GX180" s="2">
        <f t="shared" si="163"/>
        <v>0</v>
      </c>
      <c r="GY180" s="2"/>
      <c r="GZ180" s="2"/>
      <c r="HA180" s="2">
        <v>0</v>
      </c>
      <c r="HB180" s="2">
        <v>0</v>
      </c>
      <c r="HC180" s="2">
        <f t="shared" si="164"/>
        <v>0</v>
      </c>
      <c r="HD180" s="2"/>
      <c r="HE180" s="2" t="s">
        <v>3</v>
      </c>
      <c r="HF180" s="2" t="s">
        <v>3</v>
      </c>
      <c r="HG180" s="2"/>
      <c r="HH180" s="2"/>
      <c r="HI180" s="2"/>
      <c r="HJ180" s="2"/>
      <c r="HK180" s="2"/>
      <c r="HL180" s="2"/>
      <c r="HM180" s="2" t="s">
        <v>3</v>
      </c>
      <c r="HN180" s="2" t="s">
        <v>3</v>
      </c>
      <c r="HO180" s="2" t="s">
        <v>3</v>
      </c>
      <c r="HP180" s="2" t="s">
        <v>3</v>
      </c>
      <c r="HQ180" s="2" t="s">
        <v>3</v>
      </c>
      <c r="HR180" s="2"/>
      <c r="HS180" s="2">
        <v>0</v>
      </c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>
        <v>0</v>
      </c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x14ac:dyDescent="0.2">
      <c r="A181">
        <v>17</v>
      </c>
      <c r="B181">
        <v>1</v>
      </c>
      <c r="C181">
        <f>ROW(SmtRes!A172)</f>
        <v>172</v>
      </c>
      <c r="D181">
        <f>ROW(EtalonRes!A286)</f>
        <v>286</v>
      </c>
      <c r="E181" t="s">
        <v>263</v>
      </c>
      <c r="F181" t="s">
        <v>264</v>
      </c>
      <c r="G181" t="s">
        <v>265</v>
      </c>
      <c r="H181" t="s">
        <v>250</v>
      </c>
      <c r="I181">
        <f>ROUND(-7.5/100,9)</f>
        <v>-7.4999999999999997E-2</v>
      </c>
      <c r="J181">
        <v>0</v>
      </c>
      <c r="K181">
        <f>ROUND(-7.5/100,9)</f>
        <v>-7.4999999999999997E-2</v>
      </c>
      <c r="O181">
        <f t="shared" si="135"/>
        <v>-162.19999999999999</v>
      </c>
      <c r="P181">
        <f t="shared" si="136"/>
        <v>0</v>
      </c>
      <c r="Q181">
        <f>(ROUND((ROUND((((ET181*1.1))*AV181*I181),2)*BB181),2)+ROUND((ROUND(((AE181-((EU181*1.1)))*AV181*I181),2)*BS181),2))</f>
        <v>0</v>
      </c>
      <c r="R181">
        <f t="shared" si="137"/>
        <v>0</v>
      </c>
      <c r="S181">
        <f t="shared" si="138"/>
        <v>-162.19999999999999</v>
      </c>
      <c r="T181">
        <f t="shared" si="139"/>
        <v>0</v>
      </c>
      <c r="U181">
        <f t="shared" si="140"/>
        <v>-0.45127499999999998</v>
      </c>
      <c r="V181">
        <f t="shared" si="141"/>
        <v>0</v>
      </c>
      <c r="W181">
        <f t="shared" si="142"/>
        <v>0</v>
      </c>
      <c r="X181">
        <f t="shared" si="143"/>
        <v>-170.31</v>
      </c>
      <c r="Y181">
        <f t="shared" si="144"/>
        <v>-77.86</v>
      </c>
      <c r="AA181">
        <v>56611490</v>
      </c>
      <c r="AB181">
        <f t="shared" si="145"/>
        <v>62.634</v>
      </c>
      <c r="AC181">
        <f t="shared" si="146"/>
        <v>0</v>
      </c>
      <c r="AD181">
        <f>ROUND(((((ET181*1.1))-((EU181*1.1)))+AE181),6)</f>
        <v>0</v>
      </c>
      <c r="AE181">
        <f>ROUND(((EU181*1.1)),6)</f>
        <v>0</v>
      </c>
      <c r="AF181">
        <f>ROUND(((EV181*1.1)),6)</f>
        <v>62.634</v>
      </c>
      <c r="AG181">
        <f t="shared" si="147"/>
        <v>0</v>
      </c>
      <c r="AH181">
        <f>((EW181*1.1))</f>
        <v>6.0170000000000003</v>
      </c>
      <c r="AI181">
        <f>((EX181*1.1))</f>
        <v>0</v>
      </c>
      <c r="AJ181">
        <f t="shared" si="148"/>
        <v>0</v>
      </c>
      <c r="AK181">
        <v>56.94</v>
      </c>
      <c r="AL181">
        <v>0</v>
      </c>
      <c r="AM181">
        <v>0</v>
      </c>
      <c r="AN181">
        <v>0</v>
      </c>
      <c r="AO181">
        <v>56.94</v>
      </c>
      <c r="AP181">
        <v>0</v>
      </c>
      <c r="AQ181">
        <v>5.47</v>
      </c>
      <c r="AR181">
        <v>0</v>
      </c>
      <c r="AS181">
        <v>0</v>
      </c>
      <c r="AT181">
        <v>105</v>
      </c>
      <c r="AU181">
        <v>48</v>
      </c>
      <c r="AV181">
        <v>1</v>
      </c>
      <c r="AW181">
        <v>1</v>
      </c>
      <c r="AZ181">
        <v>1</v>
      </c>
      <c r="BA181">
        <v>34.51</v>
      </c>
      <c r="BB181">
        <v>1</v>
      </c>
      <c r="BC181">
        <v>1</v>
      </c>
      <c r="BD181" t="s">
        <v>3</v>
      </c>
      <c r="BE181" t="s">
        <v>3</v>
      </c>
      <c r="BF181" t="s">
        <v>3</v>
      </c>
      <c r="BG181" t="s">
        <v>3</v>
      </c>
      <c r="BH181">
        <v>0</v>
      </c>
      <c r="BI181">
        <v>1</v>
      </c>
      <c r="BJ181" t="s">
        <v>266</v>
      </c>
      <c r="BM181">
        <v>295</v>
      </c>
      <c r="BN181">
        <v>0</v>
      </c>
      <c r="BO181" t="s">
        <v>264</v>
      </c>
      <c r="BP181">
        <v>1</v>
      </c>
      <c r="BQ181">
        <v>30</v>
      </c>
      <c r="BR181">
        <v>0</v>
      </c>
      <c r="BS181">
        <v>34.51</v>
      </c>
      <c r="BT181">
        <v>1</v>
      </c>
      <c r="BU181">
        <v>1</v>
      </c>
      <c r="BV181">
        <v>1</v>
      </c>
      <c r="BW181">
        <v>1</v>
      </c>
      <c r="BX181">
        <v>1</v>
      </c>
      <c r="BY181" t="s">
        <v>3</v>
      </c>
      <c r="BZ181">
        <v>105</v>
      </c>
      <c r="CA181">
        <v>48</v>
      </c>
      <c r="CB181" t="s">
        <v>3</v>
      </c>
      <c r="CE181">
        <v>30</v>
      </c>
      <c r="CF181">
        <v>0</v>
      </c>
      <c r="CG181">
        <v>0</v>
      </c>
      <c r="CM181">
        <v>0</v>
      </c>
      <c r="CN181" t="s">
        <v>689</v>
      </c>
      <c r="CO181">
        <v>0</v>
      </c>
      <c r="CP181">
        <f t="shared" si="149"/>
        <v>-162.19999999999999</v>
      </c>
      <c r="CQ181">
        <f t="shared" si="150"/>
        <v>0</v>
      </c>
      <c r="CR181">
        <f>(ROUND((ROUND((((ET181*1.1))*AV181*1),2)*BB181),2)+ROUND((ROUND(((AE181-((EU181*1.1)))*AV181*1),2)*BS181),2))</f>
        <v>0</v>
      </c>
      <c r="CS181">
        <f t="shared" si="151"/>
        <v>0</v>
      </c>
      <c r="CT181">
        <f t="shared" si="152"/>
        <v>2161.36</v>
      </c>
      <c r="CU181">
        <f t="shared" si="153"/>
        <v>0</v>
      </c>
      <c r="CV181">
        <f t="shared" si="154"/>
        <v>6.0170000000000003</v>
      </c>
      <c r="CW181">
        <f t="shared" si="155"/>
        <v>0</v>
      </c>
      <c r="CX181">
        <f t="shared" si="156"/>
        <v>0</v>
      </c>
      <c r="CY181">
        <f>S181*(BZ181/100)</f>
        <v>-170.31</v>
      </c>
      <c r="CZ181">
        <f>S181*(CA181/100)</f>
        <v>-77.855999999999995</v>
      </c>
      <c r="DC181" t="s">
        <v>3</v>
      </c>
      <c r="DD181" t="s">
        <v>3</v>
      </c>
      <c r="DE181" t="s">
        <v>22</v>
      </c>
      <c r="DF181" t="s">
        <v>22</v>
      </c>
      <c r="DG181" t="s">
        <v>22</v>
      </c>
      <c r="DH181" t="s">
        <v>3</v>
      </c>
      <c r="DI181" t="s">
        <v>22</v>
      </c>
      <c r="DJ181" t="s">
        <v>22</v>
      </c>
      <c r="DK181" t="s">
        <v>3</v>
      </c>
      <c r="DL181" t="s">
        <v>3</v>
      </c>
      <c r="DM181" t="s">
        <v>3</v>
      </c>
      <c r="DN181">
        <v>187</v>
      </c>
      <c r="DO181">
        <v>101</v>
      </c>
      <c r="DP181">
        <v>1</v>
      </c>
      <c r="DQ181">
        <v>1</v>
      </c>
      <c r="DU181">
        <v>1005</v>
      </c>
      <c r="DV181" t="s">
        <v>250</v>
      </c>
      <c r="DW181" t="s">
        <v>250</v>
      </c>
      <c r="DX181">
        <v>100</v>
      </c>
      <c r="DZ181" t="s">
        <v>3</v>
      </c>
      <c r="EA181" t="s">
        <v>3</v>
      </c>
      <c r="EB181" t="s">
        <v>3</v>
      </c>
      <c r="EC181" t="s">
        <v>3</v>
      </c>
      <c r="EE181">
        <v>51696334</v>
      </c>
      <c r="EF181">
        <v>30</v>
      </c>
      <c r="EG181" t="s">
        <v>23</v>
      </c>
      <c r="EH181">
        <v>0</v>
      </c>
      <c r="EI181" t="s">
        <v>3</v>
      </c>
      <c r="EJ181">
        <v>1</v>
      </c>
      <c r="EK181">
        <v>295</v>
      </c>
      <c r="EL181" t="s">
        <v>252</v>
      </c>
      <c r="EM181" t="s">
        <v>253</v>
      </c>
      <c r="EO181" t="s">
        <v>26</v>
      </c>
      <c r="EQ181">
        <v>131072</v>
      </c>
      <c r="ER181">
        <v>56.94</v>
      </c>
      <c r="ES181">
        <v>0</v>
      </c>
      <c r="ET181">
        <v>0</v>
      </c>
      <c r="EU181">
        <v>0</v>
      </c>
      <c r="EV181">
        <v>56.94</v>
      </c>
      <c r="EW181">
        <v>5.47</v>
      </c>
      <c r="EX181">
        <v>0</v>
      </c>
      <c r="EY181">
        <v>0</v>
      </c>
      <c r="FQ181">
        <v>0</v>
      </c>
      <c r="FR181">
        <v>0</v>
      </c>
      <c r="FS181">
        <v>0</v>
      </c>
      <c r="FX181">
        <v>187</v>
      </c>
      <c r="FY181">
        <v>101</v>
      </c>
      <c r="GA181" t="s">
        <v>3</v>
      </c>
      <c r="GD181">
        <v>0</v>
      </c>
      <c r="GF181">
        <v>1966967839</v>
      </c>
      <c r="GG181">
        <v>2</v>
      </c>
      <c r="GH181">
        <v>1</v>
      </c>
      <c r="GI181">
        <v>2</v>
      </c>
      <c r="GJ181">
        <v>0</v>
      </c>
      <c r="GK181">
        <f>ROUND(R181*(S12)/100,2)</f>
        <v>0</v>
      </c>
      <c r="GL181">
        <f t="shared" si="157"/>
        <v>0</v>
      </c>
      <c r="GM181">
        <f t="shared" si="158"/>
        <v>-410.37</v>
      </c>
      <c r="GN181">
        <f t="shared" si="159"/>
        <v>-410.37</v>
      </c>
      <c r="GO181">
        <f t="shared" si="160"/>
        <v>0</v>
      </c>
      <c r="GP181">
        <f t="shared" si="161"/>
        <v>0</v>
      </c>
      <c r="GR181">
        <v>0</v>
      </c>
      <c r="GS181">
        <v>3</v>
      </c>
      <c r="GT181">
        <v>0</v>
      </c>
      <c r="GU181" t="s">
        <v>3</v>
      </c>
      <c r="GV181">
        <f t="shared" si="162"/>
        <v>0</v>
      </c>
      <c r="GW181">
        <v>1</v>
      </c>
      <c r="GX181">
        <f t="shared" si="163"/>
        <v>0</v>
      </c>
      <c r="HA181">
        <v>0</v>
      </c>
      <c r="HB181">
        <v>0</v>
      </c>
      <c r="HC181">
        <f t="shared" si="164"/>
        <v>0</v>
      </c>
      <c r="HE181" t="s">
        <v>3</v>
      </c>
      <c r="HF181" t="s">
        <v>3</v>
      </c>
      <c r="HM181" t="s">
        <v>3</v>
      </c>
      <c r="HN181" t="s">
        <v>3</v>
      </c>
      <c r="HO181" t="s">
        <v>3</v>
      </c>
      <c r="HP181" t="s">
        <v>3</v>
      </c>
      <c r="HQ181" t="s">
        <v>3</v>
      </c>
      <c r="HS181">
        <v>0</v>
      </c>
      <c r="IK181">
        <v>0</v>
      </c>
    </row>
    <row r="182" spans="1:255" x14ac:dyDescent="0.2">
      <c r="A182" s="2">
        <v>18</v>
      </c>
      <c r="B182" s="2">
        <v>1</v>
      </c>
      <c r="C182" s="2">
        <v>171</v>
      </c>
      <c r="D182" s="2"/>
      <c r="E182" s="2" t="s">
        <v>267</v>
      </c>
      <c r="F182" s="2" t="s">
        <v>255</v>
      </c>
      <c r="G182" s="2" t="s">
        <v>256</v>
      </c>
      <c r="H182" s="2" t="s">
        <v>88</v>
      </c>
      <c r="I182" s="2">
        <f>I180*J182</f>
        <v>-0.375</v>
      </c>
      <c r="J182" s="2">
        <v>5</v>
      </c>
      <c r="K182" s="2">
        <v>5</v>
      </c>
      <c r="L182" s="2"/>
      <c r="M182" s="2"/>
      <c r="N182" s="2"/>
      <c r="O182" s="2">
        <f t="shared" si="135"/>
        <v>-55.07</v>
      </c>
      <c r="P182" s="2">
        <f t="shared" si="136"/>
        <v>-55.07</v>
      </c>
      <c r="Q182" s="2">
        <f>(ROUND((ROUND(((ET182)*AV182*I182),2)*BB182),2)+ROUND((ROUND(((AE182-(EU182))*AV182*I182),2)*BS182),2))</f>
        <v>0</v>
      </c>
      <c r="R182" s="2">
        <f t="shared" si="137"/>
        <v>0</v>
      </c>
      <c r="S182" s="2">
        <f t="shared" si="138"/>
        <v>0</v>
      </c>
      <c r="T182" s="2">
        <f t="shared" si="139"/>
        <v>0</v>
      </c>
      <c r="U182" s="2">
        <f t="shared" si="140"/>
        <v>0</v>
      </c>
      <c r="V182" s="2">
        <f t="shared" si="141"/>
        <v>0</v>
      </c>
      <c r="W182" s="2">
        <f t="shared" si="142"/>
        <v>0</v>
      </c>
      <c r="X182" s="2">
        <f t="shared" si="143"/>
        <v>0</v>
      </c>
      <c r="Y182" s="2">
        <f t="shared" si="144"/>
        <v>0</v>
      </c>
      <c r="Z182" s="2"/>
      <c r="AA182" s="2">
        <v>56622523</v>
      </c>
      <c r="AB182" s="2">
        <f t="shared" si="145"/>
        <v>146.84</v>
      </c>
      <c r="AC182" s="2">
        <f t="shared" si="146"/>
        <v>146.84</v>
      </c>
      <c r="AD182" s="2">
        <f>ROUND((((ET182)-(EU182))+AE182),6)</f>
        <v>0</v>
      </c>
      <c r="AE182" s="2">
        <f>ROUND((EU182),6)</f>
        <v>0</v>
      </c>
      <c r="AF182" s="2">
        <f>ROUND((EV182),6)</f>
        <v>0</v>
      </c>
      <c r="AG182" s="2">
        <f t="shared" si="147"/>
        <v>0</v>
      </c>
      <c r="AH182" s="2">
        <f>(EW182)</f>
        <v>0</v>
      </c>
      <c r="AI182" s="2">
        <f>(EX182)</f>
        <v>0</v>
      </c>
      <c r="AJ182" s="2">
        <f t="shared" si="148"/>
        <v>0</v>
      </c>
      <c r="AK182" s="2">
        <v>146.84</v>
      </c>
      <c r="AL182" s="2">
        <v>146.84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187</v>
      </c>
      <c r="AU182" s="2">
        <v>101</v>
      </c>
      <c r="AV182" s="2">
        <v>1</v>
      </c>
      <c r="AW182" s="2">
        <v>1</v>
      </c>
      <c r="AX182" s="2"/>
      <c r="AY182" s="2"/>
      <c r="AZ182" s="2">
        <v>1</v>
      </c>
      <c r="BA182" s="2">
        <v>1</v>
      </c>
      <c r="BB182" s="2">
        <v>1</v>
      </c>
      <c r="BC182" s="2">
        <v>1</v>
      </c>
      <c r="BD182" s="2" t="s">
        <v>3</v>
      </c>
      <c r="BE182" s="2" t="s">
        <v>3</v>
      </c>
      <c r="BF182" s="2" t="s">
        <v>3</v>
      </c>
      <c r="BG182" s="2" t="s">
        <v>3</v>
      </c>
      <c r="BH182" s="2">
        <v>3</v>
      </c>
      <c r="BI182" s="2">
        <v>1</v>
      </c>
      <c r="BJ182" s="2" t="s">
        <v>257</v>
      </c>
      <c r="BK182" s="2"/>
      <c r="BL182" s="2"/>
      <c r="BM182" s="2">
        <v>295</v>
      </c>
      <c r="BN182" s="2">
        <v>0</v>
      </c>
      <c r="BO182" s="2" t="s">
        <v>3</v>
      </c>
      <c r="BP182" s="2">
        <v>0</v>
      </c>
      <c r="BQ182" s="2">
        <v>30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 t="s">
        <v>3</v>
      </c>
      <c r="BZ182" s="2">
        <v>187</v>
      </c>
      <c r="CA182" s="2">
        <v>101</v>
      </c>
      <c r="CB182" s="2" t="s">
        <v>3</v>
      </c>
      <c r="CC182" s="2"/>
      <c r="CD182" s="2"/>
      <c r="CE182" s="2">
        <v>30</v>
      </c>
      <c r="CF182" s="2">
        <v>0</v>
      </c>
      <c r="CG182" s="2">
        <v>0</v>
      </c>
      <c r="CH182" s="2"/>
      <c r="CI182" s="2"/>
      <c r="CJ182" s="2"/>
      <c r="CK182" s="2"/>
      <c r="CL182" s="2"/>
      <c r="CM182" s="2">
        <v>0</v>
      </c>
      <c r="CN182" s="2" t="s">
        <v>3</v>
      </c>
      <c r="CO182" s="2">
        <v>0</v>
      </c>
      <c r="CP182" s="2">
        <f t="shared" si="149"/>
        <v>-55.07</v>
      </c>
      <c r="CQ182" s="2">
        <f t="shared" si="150"/>
        <v>146.84</v>
      </c>
      <c r="CR182" s="2">
        <f>(ROUND((ROUND(((ET182)*AV182*1),2)*BB182),2)+ROUND((ROUND(((AE182-(EU182))*AV182*1),2)*BS182),2))</f>
        <v>0</v>
      </c>
      <c r="CS182" s="2">
        <f t="shared" si="151"/>
        <v>0</v>
      </c>
      <c r="CT182" s="2">
        <f t="shared" si="152"/>
        <v>0</v>
      </c>
      <c r="CU182" s="2">
        <f t="shared" si="153"/>
        <v>0</v>
      </c>
      <c r="CV182" s="2">
        <f t="shared" si="154"/>
        <v>0</v>
      </c>
      <c r="CW182" s="2">
        <f t="shared" si="155"/>
        <v>0</v>
      </c>
      <c r="CX182" s="2">
        <f t="shared" si="156"/>
        <v>0</v>
      </c>
      <c r="CY182" s="2">
        <f>((S182*BZ182)/100)</f>
        <v>0</v>
      </c>
      <c r="CZ182" s="2">
        <f>((S182*CA182)/100)</f>
        <v>0</v>
      </c>
      <c r="DA182" s="2"/>
      <c r="DB182" s="2"/>
      <c r="DC182" s="2" t="s">
        <v>3</v>
      </c>
      <c r="DD182" s="2" t="s">
        <v>3</v>
      </c>
      <c r="DE182" s="2" t="s">
        <v>3</v>
      </c>
      <c r="DF182" s="2" t="s">
        <v>3</v>
      </c>
      <c r="DG182" s="2" t="s">
        <v>3</v>
      </c>
      <c r="DH182" s="2" t="s">
        <v>3</v>
      </c>
      <c r="DI182" s="2" t="s">
        <v>3</v>
      </c>
      <c r="DJ182" s="2" t="s">
        <v>3</v>
      </c>
      <c r="DK182" s="2" t="s">
        <v>3</v>
      </c>
      <c r="DL182" s="2" t="s">
        <v>3</v>
      </c>
      <c r="DM182" s="2" t="s">
        <v>3</v>
      </c>
      <c r="DN182" s="2">
        <v>0</v>
      </c>
      <c r="DO182" s="2">
        <v>0</v>
      </c>
      <c r="DP182" s="2">
        <v>1</v>
      </c>
      <c r="DQ182" s="2">
        <v>1</v>
      </c>
      <c r="DR182" s="2"/>
      <c r="DS182" s="2"/>
      <c r="DT182" s="2"/>
      <c r="DU182" s="2">
        <v>1007</v>
      </c>
      <c r="DV182" s="2" t="s">
        <v>88</v>
      </c>
      <c r="DW182" s="2" t="s">
        <v>88</v>
      </c>
      <c r="DX182" s="2">
        <v>1</v>
      </c>
      <c r="DY182" s="2"/>
      <c r="DZ182" s="2" t="s">
        <v>3</v>
      </c>
      <c r="EA182" s="2" t="s">
        <v>3</v>
      </c>
      <c r="EB182" s="2" t="s">
        <v>3</v>
      </c>
      <c r="EC182" s="2" t="s">
        <v>3</v>
      </c>
      <c r="ED182" s="2"/>
      <c r="EE182" s="2">
        <v>51696334</v>
      </c>
      <c r="EF182" s="2">
        <v>30</v>
      </c>
      <c r="EG182" s="2" t="s">
        <v>23</v>
      </c>
      <c r="EH182" s="2">
        <v>0</v>
      </c>
      <c r="EI182" s="2" t="s">
        <v>3</v>
      </c>
      <c r="EJ182" s="2">
        <v>1</v>
      </c>
      <c r="EK182" s="2">
        <v>295</v>
      </c>
      <c r="EL182" s="2" t="s">
        <v>252</v>
      </c>
      <c r="EM182" s="2" t="s">
        <v>253</v>
      </c>
      <c r="EN182" s="2"/>
      <c r="EO182" s="2" t="s">
        <v>3</v>
      </c>
      <c r="EP182" s="2"/>
      <c r="EQ182" s="2">
        <v>0</v>
      </c>
      <c r="ER182" s="2">
        <v>146.84</v>
      </c>
      <c r="ES182" s="2">
        <v>146.84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>
        <v>0</v>
      </c>
      <c r="FR182" s="2">
        <v>0</v>
      </c>
      <c r="FS182" s="2">
        <v>0</v>
      </c>
      <c r="FT182" s="2"/>
      <c r="FU182" s="2"/>
      <c r="FV182" s="2"/>
      <c r="FW182" s="2"/>
      <c r="FX182" s="2">
        <v>187</v>
      </c>
      <c r="FY182" s="2">
        <v>101</v>
      </c>
      <c r="FZ182" s="2"/>
      <c r="GA182" s="2" t="s">
        <v>3</v>
      </c>
      <c r="GB182" s="2"/>
      <c r="GC182" s="2"/>
      <c r="GD182" s="2">
        <v>0</v>
      </c>
      <c r="GE182" s="2"/>
      <c r="GF182" s="2">
        <v>-1933062003</v>
      </c>
      <c r="GG182" s="2">
        <v>2</v>
      </c>
      <c r="GH182" s="2">
        <v>1</v>
      </c>
      <c r="GI182" s="2">
        <v>-2</v>
      </c>
      <c r="GJ182" s="2">
        <v>0</v>
      </c>
      <c r="GK182" s="2">
        <f>ROUND(R182*(R12)/100,2)</f>
        <v>0</v>
      </c>
      <c r="GL182" s="2">
        <f t="shared" si="157"/>
        <v>0</v>
      </c>
      <c r="GM182" s="2">
        <f t="shared" si="158"/>
        <v>-55.07</v>
      </c>
      <c r="GN182" s="2">
        <f t="shared" si="159"/>
        <v>-55.07</v>
      </c>
      <c r="GO182" s="2">
        <f t="shared" si="160"/>
        <v>0</v>
      </c>
      <c r="GP182" s="2">
        <f t="shared" si="161"/>
        <v>0</v>
      </c>
      <c r="GQ182" s="2"/>
      <c r="GR182" s="2">
        <v>0</v>
      </c>
      <c r="GS182" s="2">
        <v>0</v>
      </c>
      <c r="GT182" s="2">
        <v>0</v>
      </c>
      <c r="GU182" s="2" t="s">
        <v>3</v>
      </c>
      <c r="GV182" s="2">
        <f t="shared" si="162"/>
        <v>0</v>
      </c>
      <c r="GW182" s="2">
        <v>1</v>
      </c>
      <c r="GX182" s="2">
        <f t="shared" si="163"/>
        <v>0</v>
      </c>
      <c r="GY182" s="2"/>
      <c r="GZ182" s="2"/>
      <c r="HA182" s="2">
        <v>0</v>
      </c>
      <c r="HB182" s="2">
        <v>0</v>
      </c>
      <c r="HC182" s="2">
        <f t="shared" si="164"/>
        <v>0</v>
      </c>
      <c r="HD182" s="2"/>
      <c r="HE182" s="2" t="s">
        <v>3</v>
      </c>
      <c r="HF182" s="2" t="s">
        <v>3</v>
      </c>
      <c r="HG182" s="2"/>
      <c r="HH182" s="2"/>
      <c r="HI182" s="2"/>
      <c r="HJ182" s="2"/>
      <c r="HK182" s="2"/>
      <c r="HL182" s="2"/>
      <c r="HM182" s="2" t="s">
        <v>3</v>
      </c>
      <c r="HN182" s="2" t="s">
        <v>3</v>
      </c>
      <c r="HO182" s="2" t="s">
        <v>3</v>
      </c>
      <c r="HP182" s="2" t="s">
        <v>3</v>
      </c>
      <c r="HQ182" s="2" t="s">
        <v>3</v>
      </c>
      <c r="HR182" s="2"/>
      <c r="HS182" s="2">
        <v>0</v>
      </c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>
        <v>0</v>
      </c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x14ac:dyDescent="0.2">
      <c r="A183">
        <v>18</v>
      </c>
      <c r="B183">
        <v>1</v>
      </c>
      <c r="C183">
        <v>172</v>
      </c>
      <c r="E183" t="s">
        <v>267</v>
      </c>
      <c r="F183" t="s">
        <v>255</v>
      </c>
      <c r="G183" t="s">
        <v>256</v>
      </c>
      <c r="H183" t="s">
        <v>88</v>
      </c>
      <c r="I183">
        <f>I181*J183</f>
        <v>-0.375</v>
      </c>
      <c r="J183">
        <v>5</v>
      </c>
      <c r="K183">
        <v>5</v>
      </c>
      <c r="O183">
        <f t="shared" si="135"/>
        <v>-398.71</v>
      </c>
      <c r="P183">
        <f t="shared" si="136"/>
        <v>-398.71</v>
      </c>
      <c r="Q183">
        <f>(ROUND((ROUND(((ET183)*AV183*I183),2)*BB183),2)+ROUND((ROUND(((AE183-(EU183))*AV183*I183),2)*BS183),2))</f>
        <v>0</v>
      </c>
      <c r="R183">
        <f t="shared" si="137"/>
        <v>0</v>
      </c>
      <c r="S183">
        <f t="shared" si="138"/>
        <v>0</v>
      </c>
      <c r="T183">
        <f t="shared" si="139"/>
        <v>0</v>
      </c>
      <c r="U183">
        <f t="shared" si="140"/>
        <v>0</v>
      </c>
      <c r="V183">
        <f t="shared" si="141"/>
        <v>0</v>
      </c>
      <c r="W183">
        <f t="shared" si="142"/>
        <v>0</v>
      </c>
      <c r="X183">
        <f t="shared" si="143"/>
        <v>0</v>
      </c>
      <c r="Y183">
        <f t="shared" si="144"/>
        <v>0</v>
      </c>
      <c r="AA183">
        <v>56611490</v>
      </c>
      <c r="AB183">
        <f t="shared" si="145"/>
        <v>146.84</v>
      </c>
      <c r="AC183">
        <f t="shared" si="146"/>
        <v>146.84</v>
      </c>
      <c r="AD183">
        <f>ROUND((((ET183)-(EU183))+AE183),6)</f>
        <v>0</v>
      </c>
      <c r="AE183">
        <f>ROUND((EU183),6)</f>
        <v>0</v>
      </c>
      <c r="AF183">
        <f>ROUND((EV183),6)</f>
        <v>0</v>
      </c>
      <c r="AG183">
        <f t="shared" si="147"/>
        <v>0</v>
      </c>
      <c r="AH183">
        <f>(EW183)</f>
        <v>0</v>
      </c>
      <c r="AI183">
        <f>(EX183)</f>
        <v>0</v>
      </c>
      <c r="AJ183">
        <f t="shared" si="148"/>
        <v>0</v>
      </c>
      <c r="AK183">
        <v>146.84</v>
      </c>
      <c r="AL183">
        <v>146.84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1</v>
      </c>
      <c r="AZ183">
        <v>1</v>
      </c>
      <c r="BA183">
        <v>1</v>
      </c>
      <c r="BB183">
        <v>1</v>
      </c>
      <c r="BC183">
        <v>7.24</v>
      </c>
      <c r="BD183" t="s">
        <v>3</v>
      </c>
      <c r="BE183" t="s">
        <v>3</v>
      </c>
      <c r="BF183" t="s">
        <v>3</v>
      </c>
      <c r="BG183" t="s">
        <v>3</v>
      </c>
      <c r="BH183">
        <v>3</v>
      </c>
      <c r="BI183">
        <v>1</v>
      </c>
      <c r="BJ183" t="s">
        <v>257</v>
      </c>
      <c r="BM183">
        <v>295</v>
      </c>
      <c r="BN183">
        <v>0</v>
      </c>
      <c r="BO183" t="s">
        <v>255</v>
      </c>
      <c r="BP183">
        <v>1</v>
      </c>
      <c r="BQ183">
        <v>30</v>
      </c>
      <c r="BR183">
        <v>0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 t="s">
        <v>3</v>
      </c>
      <c r="BZ183">
        <v>0</v>
      </c>
      <c r="CA183">
        <v>0</v>
      </c>
      <c r="CB183" t="s">
        <v>3</v>
      </c>
      <c r="CE183">
        <v>30</v>
      </c>
      <c r="CF183">
        <v>0</v>
      </c>
      <c r="CG183">
        <v>0</v>
      </c>
      <c r="CM183">
        <v>0</v>
      </c>
      <c r="CN183" t="s">
        <v>3</v>
      </c>
      <c r="CO183">
        <v>0</v>
      </c>
      <c r="CP183">
        <f t="shared" si="149"/>
        <v>-398.71</v>
      </c>
      <c r="CQ183">
        <f t="shared" si="150"/>
        <v>1063.1199999999999</v>
      </c>
      <c r="CR183">
        <f>(ROUND((ROUND(((ET183)*AV183*1),2)*BB183),2)+ROUND((ROUND(((AE183-(EU183))*AV183*1),2)*BS183),2))</f>
        <v>0</v>
      </c>
      <c r="CS183">
        <f t="shared" si="151"/>
        <v>0</v>
      </c>
      <c r="CT183">
        <f t="shared" si="152"/>
        <v>0</v>
      </c>
      <c r="CU183">
        <f t="shared" si="153"/>
        <v>0</v>
      </c>
      <c r="CV183">
        <f t="shared" si="154"/>
        <v>0</v>
      </c>
      <c r="CW183">
        <f t="shared" si="155"/>
        <v>0</v>
      </c>
      <c r="CX183">
        <f t="shared" si="156"/>
        <v>0</v>
      </c>
      <c r="CY183">
        <f>S183*(BZ183/100)</f>
        <v>0</v>
      </c>
      <c r="CZ183">
        <f>S183*(CA183/100)</f>
        <v>0</v>
      </c>
      <c r="DC183" t="s">
        <v>3</v>
      </c>
      <c r="DD183" t="s">
        <v>3</v>
      </c>
      <c r="DE183" t="s">
        <v>3</v>
      </c>
      <c r="DF183" t="s">
        <v>3</v>
      </c>
      <c r="DG183" t="s">
        <v>3</v>
      </c>
      <c r="DH183" t="s">
        <v>3</v>
      </c>
      <c r="DI183" t="s">
        <v>3</v>
      </c>
      <c r="DJ183" t="s">
        <v>3</v>
      </c>
      <c r="DK183" t="s">
        <v>3</v>
      </c>
      <c r="DL183" t="s">
        <v>3</v>
      </c>
      <c r="DM183" t="s">
        <v>3</v>
      </c>
      <c r="DN183">
        <v>187</v>
      </c>
      <c r="DO183">
        <v>101</v>
      </c>
      <c r="DP183">
        <v>1</v>
      </c>
      <c r="DQ183">
        <v>1</v>
      </c>
      <c r="DU183">
        <v>1007</v>
      </c>
      <c r="DV183" t="s">
        <v>88</v>
      </c>
      <c r="DW183" t="s">
        <v>88</v>
      </c>
      <c r="DX183">
        <v>1</v>
      </c>
      <c r="DZ183" t="s">
        <v>3</v>
      </c>
      <c r="EA183" t="s">
        <v>3</v>
      </c>
      <c r="EB183" t="s">
        <v>3</v>
      </c>
      <c r="EC183" t="s">
        <v>3</v>
      </c>
      <c r="EE183">
        <v>51696334</v>
      </c>
      <c r="EF183">
        <v>30</v>
      </c>
      <c r="EG183" t="s">
        <v>23</v>
      </c>
      <c r="EH183">
        <v>0</v>
      </c>
      <c r="EI183" t="s">
        <v>3</v>
      </c>
      <c r="EJ183">
        <v>1</v>
      </c>
      <c r="EK183">
        <v>295</v>
      </c>
      <c r="EL183" t="s">
        <v>252</v>
      </c>
      <c r="EM183" t="s">
        <v>253</v>
      </c>
      <c r="EO183" t="s">
        <v>3</v>
      </c>
      <c r="EQ183">
        <v>0</v>
      </c>
      <c r="ER183">
        <v>146.84</v>
      </c>
      <c r="ES183">
        <v>146.84</v>
      </c>
      <c r="ET183">
        <v>0</v>
      </c>
      <c r="EU183">
        <v>0</v>
      </c>
      <c r="EV183">
        <v>0</v>
      </c>
      <c r="EW183">
        <v>0</v>
      </c>
      <c r="EX183">
        <v>0</v>
      </c>
      <c r="FQ183">
        <v>0</v>
      </c>
      <c r="FR183">
        <v>0</v>
      </c>
      <c r="FS183">
        <v>0</v>
      </c>
      <c r="FX183">
        <v>187</v>
      </c>
      <c r="FY183">
        <v>101</v>
      </c>
      <c r="GA183" t="s">
        <v>3</v>
      </c>
      <c r="GD183">
        <v>0</v>
      </c>
      <c r="GF183">
        <v>-1933062003</v>
      </c>
      <c r="GG183">
        <v>2</v>
      </c>
      <c r="GH183">
        <v>1</v>
      </c>
      <c r="GI183">
        <v>2</v>
      </c>
      <c r="GJ183">
        <v>0</v>
      </c>
      <c r="GK183">
        <f>ROUND(R183*(S12)/100,2)</f>
        <v>0</v>
      </c>
      <c r="GL183">
        <f t="shared" si="157"/>
        <v>0</v>
      </c>
      <c r="GM183">
        <f t="shared" si="158"/>
        <v>-398.71</v>
      </c>
      <c r="GN183">
        <f t="shared" si="159"/>
        <v>-398.71</v>
      </c>
      <c r="GO183">
        <f t="shared" si="160"/>
        <v>0</v>
      </c>
      <c r="GP183">
        <f t="shared" si="161"/>
        <v>0</v>
      </c>
      <c r="GR183">
        <v>0</v>
      </c>
      <c r="GS183">
        <v>3</v>
      </c>
      <c r="GT183">
        <v>0</v>
      </c>
      <c r="GU183" t="s">
        <v>3</v>
      </c>
      <c r="GV183">
        <f t="shared" si="162"/>
        <v>0</v>
      </c>
      <c r="GW183">
        <v>1</v>
      </c>
      <c r="GX183">
        <f t="shared" si="163"/>
        <v>0</v>
      </c>
      <c r="HA183">
        <v>0</v>
      </c>
      <c r="HB183">
        <v>0</v>
      </c>
      <c r="HC183">
        <f t="shared" si="164"/>
        <v>0</v>
      </c>
      <c r="HE183" t="s">
        <v>3</v>
      </c>
      <c r="HF183" t="s">
        <v>3</v>
      </c>
      <c r="HM183" t="s">
        <v>3</v>
      </c>
      <c r="HN183" t="s">
        <v>3</v>
      </c>
      <c r="HO183" t="s">
        <v>3</v>
      </c>
      <c r="HP183" t="s">
        <v>3</v>
      </c>
      <c r="HQ183" t="s">
        <v>3</v>
      </c>
      <c r="HS183">
        <v>0</v>
      </c>
      <c r="IK183">
        <v>0</v>
      </c>
    </row>
    <row r="184" spans="1:255" x14ac:dyDescent="0.2">
      <c r="A184" s="2">
        <v>17</v>
      </c>
      <c r="B184" s="2">
        <v>1</v>
      </c>
      <c r="C184" s="2">
        <f>ROW(SmtRes!A173)</f>
        <v>173</v>
      </c>
      <c r="D184" s="2">
        <f>ROW(EtalonRes!A289)</f>
        <v>289</v>
      </c>
      <c r="E184" s="2" t="s">
        <v>268</v>
      </c>
      <c r="F184" s="2" t="s">
        <v>269</v>
      </c>
      <c r="G184" s="2" t="s">
        <v>270</v>
      </c>
      <c r="H184" s="2" t="s">
        <v>250</v>
      </c>
      <c r="I184" s="2">
        <f>ROUND(7.5/100,9)</f>
        <v>7.4999999999999997E-2</v>
      </c>
      <c r="J184" s="2">
        <v>0</v>
      </c>
      <c r="K184" s="2">
        <f>ROUND(7.5/100,9)</f>
        <v>7.4999999999999997E-2</v>
      </c>
      <c r="L184" s="2"/>
      <c r="M184" s="2"/>
      <c r="N184" s="2"/>
      <c r="O184" s="2">
        <f t="shared" si="135"/>
        <v>10.14</v>
      </c>
      <c r="P184" s="2">
        <f t="shared" si="136"/>
        <v>5.3</v>
      </c>
      <c r="Q184" s="2">
        <f>(ROUND((ROUND((((ET184*1.1))*AV184*I184),2)*BB184),2)+ROUND((ROUND(((AE184-((EU184*1.1)))*AV184*I184),2)*BS184),2))</f>
        <v>0</v>
      </c>
      <c r="R184" s="2">
        <f t="shared" si="137"/>
        <v>0</v>
      </c>
      <c r="S184" s="2">
        <f t="shared" si="138"/>
        <v>4.84</v>
      </c>
      <c r="T184" s="2">
        <f t="shared" si="139"/>
        <v>0</v>
      </c>
      <c r="U184" s="2">
        <f t="shared" si="140"/>
        <v>0.43312500000000004</v>
      </c>
      <c r="V184" s="2">
        <f t="shared" si="141"/>
        <v>0</v>
      </c>
      <c r="W184" s="2">
        <f t="shared" si="142"/>
        <v>0</v>
      </c>
      <c r="X184" s="2">
        <f t="shared" si="143"/>
        <v>9.0500000000000007</v>
      </c>
      <c r="Y184" s="2">
        <f t="shared" si="144"/>
        <v>4.8899999999999997</v>
      </c>
      <c r="Z184" s="2"/>
      <c r="AA184" s="2">
        <v>56622523</v>
      </c>
      <c r="AB184" s="2">
        <f t="shared" si="145"/>
        <v>135.27000000000001</v>
      </c>
      <c r="AC184" s="2">
        <f t="shared" si="146"/>
        <v>70.7</v>
      </c>
      <c r="AD184" s="2">
        <f>ROUND(((((ET184*1.1))-((EU184*1.1)))+AE184),6)</f>
        <v>0</v>
      </c>
      <c r="AE184" s="2">
        <f>ROUND(((EU184*1.1)),6)</f>
        <v>0</v>
      </c>
      <c r="AF184" s="2">
        <f>ROUND(((EV184*1.1)),6)</f>
        <v>64.569999999999993</v>
      </c>
      <c r="AG184" s="2">
        <f t="shared" si="147"/>
        <v>0</v>
      </c>
      <c r="AH184" s="2">
        <f>((EW184*1.1))</f>
        <v>5.7750000000000004</v>
      </c>
      <c r="AI184" s="2">
        <f>((EX184*1.1))</f>
        <v>0</v>
      </c>
      <c r="AJ184" s="2">
        <f t="shared" si="148"/>
        <v>0</v>
      </c>
      <c r="AK184" s="2">
        <v>129.4</v>
      </c>
      <c r="AL184" s="2">
        <v>70.7</v>
      </c>
      <c r="AM184" s="2">
        <v>0</v>
      </c>
      <c r="AN184" s="2">
        <v>0</v>
      </c>
      <c r="AO184" s="2">
        <v>58.7</v>
      </c>
      <c r="AP184" s="2">
        <v>0</v>
      </c>
      <c r="AQ184" s="2">
        <v>5.25</v>
      </c>
      <c r="AR184" s="2">
        <v>0</v>
      </c>
      <c r="AS184" s="2">
        <v>0</v>
      </c>
      <c r="AT184" s="2">
        <v>187</v>
      </c>
      <c r="AU184" s="2">
        <v>101</v>
      </c>
      <c r="AV184" s="2">
        <v>1</v>
      </c>
      <c r="AW184" s="2">
        <v>1</v>
      </c>
      <c r="AX184" s="2"/>
      <c r="AY184" s="2"/>
      <c r="AZ184" s="2">
        <v>1</v>
      </c>
      <c r="BA184" s="2">
        <v>1</v>
      </c>
      <c r="BB184" s="2">
        <v>1</v>
      </c>
      <c r="BC184" s="2">
        <v>1</v>
      </c>
      <c r="BD184" s="2" t="s">
        <v>3</v>
      </c>
      <c r="BE184" s="2" t="s">
        <v>3</v>
      </c>
      <c r="BF184" s="2" t="s">
        <v>3</v>
      </c>
      <c r="BG184" s="2" t="s">
        <v>3</v>
      </c>
      <c r="BH184" s="2">
        <v>0</v>
      </c>
      <c r="BI184" s="2">
        <v>1</v>
      </c>
      <c r="BJ184" s="2" t="s">
        <v>271</v>
      </c>
      <c r="BK184" s="2"/>
      <c r="BL184" s="2"/>
      <c r="BM184" s="2">
        <v>295</v>
      </c>
      <c r="BN184" s="2">
        <v>0</v>
      </c>
      <c r="BO184" s="2" t="s">
        <v>3</v>
      </c>
      <c r="BP184" s="2">
        <v>0</v>
      </c>
      <c r="BQ184" s="2">
        <v>30</v>
      </c>
      <c r="BR184" s="2">
        <v>0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 t="s">
        <v>3</v>
      </c>
      <c r="BZ184" s="2">
        <v>187</v>
      </c>
      <c r="CA184" s="2">
        <v>101</v>
      </c>
      <c r="CB184" s="2" t="s">
        <v>3</v>
      </c>
      <c r="CC184" s="2"/>
      <c r="CD184" s="2"/>
      <c r="CE184" s="2">
        <v>30</v>
      </c>
      <c r="CF184" s="2">
        <v>0</v>
      </c>
      <c r="CG184" s="2">
        <v>0</v>
      </c>
      <c r="CH184" s="2"/>
      <c r="CI184" s="2"/>
      <c r="CJ184" s="2"/>
      <c r="CK184" s="2"/>
      <c r="CL184" s="2"/>
      <c r="CM184" s="2">
        <v>0</v>
      </c>
      <c r="CN184" s="2" t="s">
        <v>689</v>
      </c>
      <c r="CO184" s="2">
        <v>0</v>
      </c>
      <c r="CP184" s="2">
        <f t="shared" si="149"/>
        <v>10.14</v>
      </c>
      <c r="CQ184" s="2">
        <f t="shared" si="150"/>
        <v>70.7</v>
      </c>
      <c r="CR184" s="2">
        <f>(ROUND((ROUND((((ET184*1.1))*AV184*1),2)*BB184),2)+ROUND((ROUND(((AE184-((EU184*1.1)))*AV184*1),2)*BS184),2))</f>
        <v>0</v>
      </c>
      <c r="CS184" s="2">
        <f t="shared" si="151"/>
        <v>0</v>
      </c>
      <c r="CT184" s="2">
        <f t="shared" si="152"/>
        <v>64.569999999999993</v>
      </c>
      <c r="CU184" s="2">
        <f t="shared" si="153"/>
        <v>0</v>
      </c>
      <c r="CV184" s="2">
        <f t="shared" si="154"/>
        <v>5.7750000000000004</v>
      </c>
      <c r="CW184" s="2">
        <f t="shared" si="155"/>
        <v>0</v>
      </c>
      <c r="CX184" s="2">
        <f t="shared" si="156"/>
        <v>0</v>
      </c>
      <c r="CY184" s="2">
        <f>((S184*BZ184)/100)</f>
        <v>9.0507999999999988</v>
      </c>
      <c r="CZ184" s="2">
        <f>((S184*CA184)/100)</f>
        <v>4.8883999999999999</v>
      </c>
      <c r="DA184" s="2"/>
      <c r="DB184" s="2"/>
      <c r="DC184" s="2" t="s">
        <v>3</v>
      </c>
      <c r="DD184" s="2" t="s">
        <v>3</v>
      </c>
      <c r="DE184" s="2" t="s">
        <v>22</v>
      </c>
      <c r="DF184" s="2" t="s">
        <v>22</v>
      </c>
      <c r="DG184" s="2" t="s">
        <v>22</v>
      </c>
      <c r="DH184" s="2" t="s">
        <v>3</v>
      </c>
      <c r="DI184" s="2" t="s">
        <v>22</v>
      </c>
      <c r="DJ184" s="2" t="s">
        <v>22</v>
      </c>
      <c r="DK184" s="2" t="s">
        <v>3</v>
      </c>
      <c r="DL184" s="2" t="s">
        <v>3</v>
      </c>
      <c r="DM184" s="2" t="s">
        <v>3</v>
      </c>
      <c r="DN184" s="2">
        <v>0</v>
      </c>
      <c r="DO184" s="2">
        <v>0</v>
      </c>
      <c r="DP184" s="2">
        <v>1</v>
      </c>
      <c r="DQ184" s="2">
        <v>1</v>
      </c>
      <c r="DR184" s="2"/>
      <c r="DS184" s="2"/>
      <c r="DT184" s="2"/>
      <c r="DU184" s="2">
        <v>1005</v>
      </c>
      <c r="DV184" s="2" t="s">
        <v>250</v>
      </c>
      <c r="DW184" s="2" t="s">
        <v>250</v>
      </c>
      <c r="DX184" s="2">
        <v>100</v>
      </c>
      <c r="DY184" s="2"/>
      <c r="DZ184" s="2" t="s">
        <v>3</v>
      </c>
      <c r="EA184" s="2" t="s">
        <v>3</v>
      </c>
      <c r="EB184" s="2" t="s">
        <v>3</v>
      </c>
      <c r="EC184" s="2" t="s">
        <v>3</v>
      </c>
      <c r="ED184" s="2"/>
      <c r="EE184" s="2">
        <v>51696334</v>
      </c>
      <c r="EF184" s="2">
        <v>30</v>
      </c>
      <c r="EG184" s="2" t="s">
        <v>23</v>
      </c>
      <c r="EH184" s="2">
        <v>0</v>
      </c>
      <c r="EI184" s="2" t="s">
        <v>3</v>
      </c>
      <c r="EJ184" s="2">
        <v>1</v>
      </c>
      <c r="EK184" s="2">
        <v>295</v>
      </c>
      <c r="EL184" s="2" t="s">
        <v>252</v>
      </c>
      <c r="EM184" s="2" t="s">
        <v>253</v>
      </c>
      <c r="EN184" s="2"/>
      <c r="EO184" s="2" t="s">
        <v>26</v>
      </c>
      <c r="EP184" s="2"/>
      <c r="EQ184" s="2">
        <v>131072</v>
      </c>
      <c r="ER184" s="2">
        <v>129.4</v>
      </c>
      <c r="ES184" s="2">
        <v>70.7</v>
      </c>
      <c r="ET184" s="2">
        <v>0</v>
      </c>
      <c r="EU184" s="2">
        <v>0</v>
      </c>
      <c r="EV184" s="2">
        <v>58.7</v>
      </c>
      <c r="EW184" s="2">
        <v>5.25</v>
      </c>
      <c r="EX184" s="2">
        <v>0</v>
      </c>
      <c r="EY184" s="2">
        <v>0</v>
      </c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>
        <v>0</v>
      </c>
      <c r="FR184" s="2">
        <v>0</v>
      </c>
      <c r="FS184" s="2">
        <v>0</v>
      </c>
      <c r="FT184" s="2"/>
      <c r="FU184" s="2"/>
      <c r="FV184" s="2"/>
      <c r="FW184" s="2"/>
      <c r="FX184" s="2">
        <v>187</v>
      </c>
      <c r="FY184" s="2">
        <v>101</v>
      </c>
      <c r="FZ184" s="2"/>
      <c r="GA184" s="2" t="s">
        <v>3</v>
      </c>
      <c r="GB184" s="2"/>
      <c r="GC184" s="2"/>
      <c r="GD184" s="2">
        <v>0</v>
      </c>
      <c r="GE184" s="2"/>
      <c r="GF184" s="2">
        <v>92434860</v>
      </c>
      <c r="GG184" s="2">
        <v>2</v>
      </c>
      <c r="GH184" s="2">
        <v>1</v>
      </c>
      <c r="GI184" s="2">
        <v>-2</v>
      </c>
      <c r="GJ184" s="2">
        <v>0</v>
      </c>
      <c r="GK184" s="2">
        <f>ROUND(R184*(R12)/100,2)</f>
        <v>0</v>
      </c>
      <c r="GL184" s="2">
        <f t="shared" si="157"/>
        <v>0</v>
      </c>
      <c r="GM184" s="2">
        <f t="shared" si="158"/>
        <v>24.08</v>
      </c>
      <c r="GN184" s="2">
        <f t="shared" si="159"/>
        <v>24.08</v>
      </c>
      <c r="GO184" s="2">
        <f t="shared" si="160"/>
        <v>0</v>
      </c>
      <c r="GP184" s="2">
        <f t="shared" si="161"/>
        <v>0</v>
      </c>
      <c r="GQ184" s="2"/>
      <c r="GR184" s="2">
        <v>0</v>
      </c>
      <c r="GS184" s="2">
        <v>0</v>
      </c>
      <c r="GT184" s="2">
        <v>0</v>
      </c>
      <c r="GU184" s="2" t="s">
        <v>3</v>
      </c>
      <c r="GV184" s="2">
        <f t="shared" si="162"/>
        <v>0</v>
      </c>
      <c r="GW184" s="2">
        <v>1</v>
      </c>
      <c r="GX184" s="2">
        <f t="shared" si="163"/>
        <v>0</v>
      </c>
      <c r="GY184" s="2"/>
      <c r="GZ184" s="2"/>
      <c r="HA184" s="2">
        <v>0</v>
      </c>
      <c r="HB184" s="2">
        <v>0</v>
      </c>
      <c r="HC184" s="2">
        <f t="shared" si="164"/>
        <v>0</v>
      </c>
      <c r="HD184" s="2"/>
      <c r="HE184" s="2" t="s">
        <v>3</v>
      </c>
      <c r="HF184" s="2" t="s">
        <v>3</v>
      </c>
      <c r="HG184" s="2"/>
      <c r="HH184" s="2"/>
      <c r="HI184" s="2"/>
      <c r="HJ184" s="2"/>
      <c r="HK184" s="2"/>
      <c r="HL184" s="2"/>
      <c r="HM184" s="2" t="s">
        <v>3</v>
      </c>
      <c r="HN184" s="2" t="s">
        <v>3</v>
      </c>
      <c r="HO184" s="2" t="s">
        <v>3</v>
      </c>
      <c r="HP184" s="2" t="s">
        <v>3</v>
      </c>
      <c r="HQ184" s="2" t="s">
        <v>3</v>
      </c>
      <c r="HR184" s="2"/>
      <c r="HS184" s="2">
        <v>0</v>
      </c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>
        <v>0</v>
      </c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x14ac:dyDescent="0.2">
      <c r="A185">
        <v>17</v>
      </c>
      <c r="B185">
        <v>1</v>
      </c>
      <c r="C185">
        <f>ROW(SmtRes!A174)</f>
        <v>174</v>
      </c>
      <c r="D185">
        <f>ROW(EtalonRes!A292)</f>
        <v>292</v>
      </c>
      <c r="E185" t="s">
        <v>268</v>
      </c>
      <c r="F185" t="s">
        <v>269</v>
      </c>
      <c r="G185" t="s">
        <v>270</v>
      </c>
      <c r="H185" t="s">
        <v>250</v>
      </c>
      <c r="I185">
        <f>ROUND(7.5/100,9)</f>
        <v>7.4999999999999997E-2</v>
      </c>
      <c r="J185">
        <v>0</v>
      </c>
      <c r="K185">
        <f>ROUND(7.5/100,9)</f>
        <v>7.4999999999999997E-2</v>
      </c>
      <c r="O185">
        <f t="shared" si="135"/>
        <v>204.4</v>
      </c>
      <c r="P185">
        <f t="shared" si="136"/>
        <v>37.369999999999997</v>
      </c>
      <c r="Q185">
        <f>(ROUND((ROUND((((ET185*1.1))*AV185*I185),2)*BB185),2)+ROUND((ROUND(((AE185-((EU185*1.1)))*AV185*I185),2)*BS185),2))</f>
        <v>0</v>
      </c>
      <c r="R185">
        <f t="shared" si="137"/>
        <v>0</v>
      </c>
      <c r="S185">
        <f t="shared" si="138"/>
        <v>167.03</v>
      </c>
      <c r="T185">
        <f t="shared" si="139"/>
        <v>0</v>
      </c>
      <c r="U185">
        <f t="shared" si="140"/>
        <v>0.43312500000000004</v>
      </c>
      <c r="V185">
        <f t="shared" si="141"/>
        <v>0</v>
      </c>
      <c r="W185">
        <f t="shared" si="142"/>
        <v>0</v>
      </c>
      <c r="X185">
        <f t="shared" si="143"/>
        <v>175.38</v>
      </c>
      <c r="Y185">
        <f t="shared" si="144"/>
        <v>80.17</v>
      </c>
      <c r="AA185">
        <v>56611490</v>
      </c>
      <c r="AB185">
        <f t="shared" si="145"/>
        <v>135.27000000000001</v>
      </c>
      <c r="AC185">
        <f t="shared" si="146"/>
        <v>70.7</v>
      </c>
      <c r="AD185">
        <f>ROUND(((((ET185*1.1))-((EU185*1.1)))+AE185),6)</f>
        <v>0</v>
      </c>
      <c r="AE185">
        <f>ROUND(((EU185*1.1)),6)</f>
        <v>0</v>
      </c>
      <c r="AF185">
        <f>ROUND(((EV185*1.1)),6)</f>
        <v>64.569999999999993</v>
      </c>
      <c r="AG185">
        <f t="shared" si="147"/>
        <v>0</v>
      </c>
      <c r="AH185">
        <f>((EW185*1.1))</f>
        <v>5.7750000000000004</v>
      </c>
      <c r="AI185">
        <f>((EX185*1.1))</f>
        <v>0</v>
      </c>
      <c r="AJ185">
        <f t="shared" si="148"/>
        <v>0</v>
      </c>
      <c r="AK185">
        <v>129.4</v>
      </c>
      <c r="AL185">
        <v>70.7</v>
      </c>
      <c r="AM185">
        <v>0</v>
      </c>
      <c r="AN185">
        <v>0</v>
      </c>
      <c r="AO185">
        <v>58.7</v>
      </c>
      <c r="AP185">
        <v>0</v>
      </c>
      <c r="AQ185">
        <v>5.25</v>
      </c>
      <c r="AR185">
        <v>0</v>
      </c>
      <c r="AS185">
        <v>0</v>
      </c>
      <c r="AT185">
        <v>105</v>
      </c>
      <c r="AU185">
        <v>48</v>
      </c>
      <c r="AV185">
        <v>1</v>
      </c>
      <c r="AW185">
        <v>1</v>
      </c>
      <c r="AZ185">
        <v>1</v>
      </c>
      <c r="BA185">
        <v>34.51</v>
      </c>
      <c r="BB185">
        <v>1</v>
      </c>
      <c r="BC185">
        <v>7.05</v>
      </c>
      <c r="BD185" t="s">
        <v>3</v>
      </c>
      <c r="BE185" t="s">
        <v>3</v>
      </c>
      <c r="BF185" t="s">
        <v>3</v>
      </c>
      <c r="BG185" t="s">
        <v>3</v>
      </c>
      <c r="BH185">
        <v>0</v>
      </c>
      <c r="BI185">
        <v>1</v>
      </c>
      <c r="BJ185" t="s">
        <v>271</v>
      </c>
      <c r="BM185">
        <v>295</v>
      </c>
      <c r="BN185">
        <v>0</v>
      </c>
      <c r="BO185" t="s">
        <v>269</v>
      </c>
      <c r="BP185">
        <v>1</v>
      </c>
      <c r="BQ185">
        <v>30</v>
      </c>
      <c r="BR185">
        <v>0</v>
      </c>
      <c r="BS185">
        <v>34.51</v>
      </c>
      <c r="BT185">
        <v>1</v>
      </c>
      <c r="BU185">
        <v>1</v>
      </c>
      <c r="BV185">
        <v>1</v>
      </c>
      <c r="BW185">
        <v>1</v>
      </c>
      <c r="BX185">
        <v>1</v>
      </c>
      <c r="BY185" t="s">
        <v>3</v>
      </c>
      <c r="BZ185">
        <v>105</v>
      </c>
      <c r="CA185">
        <v>48</v>
      </c>
      <c r="CB185" t="s">
        <v>3</v>
      </c>
      <c r="CE185">
        <v>30</v>
      </c>
      <c r="CF185">
        <v>0</v>
      </c>
      <c r="CG185">
        <v>0</v>
      </c>
      <c r="CM185">
        <v>0</v>
      </c>
      <c r="CN185" t="s">
        <v>689</v>
      </c>
      <c r="CO185">
        <v>0</v>
      </c>
      <c r="CP185">
        <f t="shared" si="149"/>
        <v>204.4</v>
      </c>
      <c r="CQ185">
        <f t="shared" si="150"/>
        <v>498.44</v>
      </c>
      <c r="CR185">
        <f>(ROUND((ROUND((((ET185*1.1))*AV185*1),2)*BB185),2)+ROUND((ROUND(((AE185-((EU185*1.1)))*AV185*1),2)*BS185),2))</f>
        <v>0</v>
      </c>
      <c r="CS185">
        <f t="shared" si="151"/>
        <v>0</v>
      </c>
      <c r="CT185">
        <f t="shared" si="152"/>
        <v>2228.31</v>
      </c>
      <c r="CU185">
        <f t="shared" si="153"/>
        <v>0</v>
      </c>
      <c r="CV185">
        <f t="shared" si="154"/>
        <v>5.7750000000000004</v>
      </c>
      <c r="CW185">
        <f t="shared" si="155"/>
        <v>0</v>
      </c>
      <c r="CX185">
        <f t="shared" si="156"/>
        <v>0</v>
      </c>
      <c r="CY185">
        <f>S185*(BZ185/100)</f>
        <v>175.38150000000002</v>
      </c>
      <c r="CZ185">
        <f>S185*(CA185/100)</f>
        <v>80.174399999999991</v>
      </c>
      <c r="DC185" t="s">
        <v>3</v>
      </c>
      <c r="DD185" t="s">
        <v>3</v>
      </c>
      <c r="DE185" t="s">
        <v>22</v>
      </c>
      <c r="DF185" t="s">
        <v>22</v>
      </c>
      <c r="DG185" t="s">
        <v>22</v>
      </c>
      <c r="DH185" t="s">
        <v>3</v>
      </c>
      <c r="DI185" t="s">
        <v>22</v>
      </c>
      <c r="DJ185" t="s">
        <v>22</v>
      </c>
      <c r="DK185" t="s">
        <v>3</v>
      </c>
      <c r="DL185" t="s">
        <v>3</v>
      </c>
      <c r="DM185" t="s">
        <v>3</v>
      </c>
      <c r="DN185">
        <v>187</v>
      </c>
      <c r="DO185">
        <v>101</v>
      </c>
      <c r="DP185">
        <v>1</v>
      </c>
      <c r="DQ185">
        <v>1</v>
      </c>
      <c r="DU185">
        <v>1005</v>
      </c>
      <c r="DV185" t="s">
        <v>250</v>
      </c>
      <c r="DW185" t="s">
        <v>250</v>
      </c>
      <c r="DX185">
        <v>100</v>
      </c>
      <c r="DZ185" t="s">
        <v>3</v>
      </c>
      <c r="EA185" t="s">
        <v>3</v>
      </c>
      <c r="EB185" t="s">
        <v>3</v>
      </c>
      <c r="EC185" t="s">
        <v>3</v>
      </c>
      <c r="EE185">
        <v>51696334</v>
      </c>
      <c r="EF185">
        <v>30</v>
      </c>
      <c r="EG185" t="s">
        <v>23</v>
      </c>
      <c r="EH185">
        <v>0</v>
      </c>
      <c r="EI185" t="s">
        <v>3</v>
      </c>
      <c r="EJ185">
        <v>1</v>
      </c>
      <c r="EK185">
        <v>295</v>
      </c>
      <c r="EL185" t="s">
        <v>252</v>
      </c>
      <c r="EM185" t="s">
        <v>253</v>
      </c>
      <c r="EO185" t="s">
        <v>26</v>
      </c>
      <c r="EQ185">
        <v>131072</v>
      </c>
      <c r="ER185">
        <v>129.4</v>
      </c>
      <c r="ES185">
        <v>70.7</v>
      </c>
      <c r="ET185">
        <v>0</v>
      </c>
      <c r="EU185">
        <v>0</v>
      </c>
      <c r="EV185">
        <v>58.7</v>
      </c>
      <c r="EW185">
        <v>5.25</v>
      </c>
      <c r="EX185">
        <v>0</v>
      </c>
      <c r="EY185">
        <v>0</v>
      </c>
      <c r="FQ185">
        <v>0</v>
      </c>
      <c r="FR185">
        <v>0</v>
      </c>
      <c r="FS185">
        <v>0</v>
      </c>
      <c r="FX185">
        <v>187</v>
      </c>
      <c r="FY185">
        <v>101</v>
      </c>
      <c r="GA185" t="s">
        <v>3</v>
      </c>
      <c r="GD185">
        <v>0</v>
      </c>
      <c r="GF185">
        <v>92434860</v>
      </c>
      <c r="GG185">
        <v>2</v>
      </c>
      <c r="GH185">
        <v>1</v>
      </c>
      <c r="GI185">
        <v>2</v>
      </c>
      <c r="GJ185">
        <v>0</v>
      </c>
      <c r="GK185">
        <f>ROUND(R185*(S12)/100,2)</f>
        <v>0</v>
      </c>
      <c r="GL185">
        <f t="shared" si="157"/>
        <v>0</v>
      </c>
      <c r="GM185">
        <f t="shared" si="158"/>
        <v>459.95</v>
      </c>
      <c r="GN185">
        <f t="shared" si="159"/>
        <v>459.95</v>
      </c>
      <c r="GO185">
        <f t="shared" si="160"/>
        <v>0</v>
      </c>
      <c r="GP185">
        <f t="shared" si="161"/>
        <v>0</v>
      </c>
      <c r="GR185">
        <v>0</v>
      </c>
      <c r="GS185">
        <v>3</v>
      </c>
      <c r="GT185">
        <v>0</v>
      </c>
      <c r="GU185" t="s">
        <v>3</v>
      </c>
      <c r="GV185">
        <f t="shared" si="162"/>
        <v>0</v>
      </c>
      <c r="GW185">
        <v>1</v>
      </c>
      <c r="GX185">
        <f t="shared" si="163"/>
        <v>0</v>
      </c>
      <c r="HA185">
        <v>0</v>
      </c>
      <c r="HB185">
        <v>0</v>
      </c>
      <c r="HC185">
        <f t="shared" si="164"/>
        <v>0</v>
      </c>
      <c r="HE185" t="s">
        <v>3</v>
      </c>
      <c r="HF185" t="s">
        <v>3</v>
      </c>
      <c r="HM185" t="s">
        <v>3</v>
      </c>
      <c r="HN185" t="s">
        <v>3</v>
      </c>
      <c r="HO185" t="s">
        <v>3</v>
      </c>
      <c r="HP185" t="s">
        <v>3</v>
      </c>
      <c r="HQ185" t="s">
        <v>3</v>
      </c>
      <c r="HS185">
        <v>0</v>
      </c>
      <c r="IK185">
        <v>0</v>
      </c>
    </row>
    <row r="186" spans="1:255" x14ac:dyDescent="0.2">
      <c r="A186" s="2">
        <v>18</v>
      </c>
      <c r="B186" s="2">
        <v>1</v>
      </c>
      <c r="C186" s="2">
        <v>173</v>
      </c>
      <c r="D186" s="2"/>
      <c r="E186" s="2" t="s">
        <v>272</v>
      </c>
      <c r="F186" s="2" t="s">
        <v>273</v>
      </c>
      <c r="G186" s="2" t="s">
        <v>274</v>
      </c>
      <c r="H186" s="2" t="s">
        <v>104</v>
      </c>
      <c r="I186" s="2">
        <f>I184*J186</f>
        <v>0.3</v>
      </c>
      <c r="J186" s="2">
        <v>4</v>
      </c>
      <c r="K186" s="2">
        <v>4</v>
      </c>
      <c r="L186" s="2"/>
      <c r="M186" s="2"/>
      <c r="N186" s="2"/>
      <c r="O186" s="2">
        <f t="shared" si="135"/>
        <v>17.38</v>
      </c>
      <c r="P186" s="2">
        <f t="shared" si="136"/>
        <v>17.38</v>
      </c>
      <c r="Q186" s="2">
        <f>(ROUND((ROUND(((ET186)*AV186*I186),2)*BB186),2)+ROUND((ROUND(((AE186-(EU186))*AV186*I186),2)*BS186),2))</f>
        <v>0</v>
      </c>
      <c r="R186" s="2">
        <f t="shared" si="137"/>
        <v>0</v>
      </c>
      <c r="S186" s="2">
        <f t="shared" si="138"/>
        <v>0</v>
      </c>
      <c r="T186" s="2">
        <f t="shared" si="139"/>
        <v>0</v>
      </c>
      <c r="U186" s="2">
        <f t="shared" si="140"/>
        <v>0</v>
      </c>
      <c r="V186" s="2">
        <f t="shared" si="141"/>
        <v>0</v>
      </c>
      <c r="W186" s="2">
        <f t="shared" si="142"/>
        <v>0</v>
      </c>
      <c r="X186" s="2">
        <f t="shared" si="143"/>
        <v>0</v>
      </c>
      <c r="Y186" s="2">
        <f t="shared" si="144"/>
        <v>0</v>
      </c>
      <c r="Z186" s="2"/>
      <c r="AA186" s="2">
        <v>56622523</v>
      </c>
      <c r="AB186" s="2">
        <f t="shared" si="145"/>
        <v>57.93</v>
      </c>
      <c r="AC186" s="2">
        <f t="shared" si="146"/>
        <v>57.93</v>
      </c>
      <c r="AD186" s="2">
        <f>ROUND((((ET186)-(EU186))+AE186),6)</f>
        <v>0</v>
      </c>
      <c r="AE186" s="2">
        <f>ROUND((EU186),6)</f>
        <v>0</v>
      </c>
      <c r="AF186" s="2">
        <f>ROUND((EV186),6)</f>
        <v>0</v>
      </c>
      <c r="AG186" s="2">
        <f t="shared" si="147"/>
        <v>0</v>
      </c>
      <c r="AH186" s="2">
        <f>(EW186)</f>
        <v>0</v>
      </c>
      <c r="AI186" s="2">
        <f>(EX186)</f>
        <v>0</v>
      </c>
      <c r="AJ186" s="2">
        <f t="shared" si="148"/>
        <v>0</v>
      </c>
      <c r="AK186" s="2">
        <v>57.93</v>
      </c>
      <c r="AL186" s="2">
        <v>57.93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187</v>
      </c>
      <c r="AU186" s="2">
        <v>101</v>
      </c>
      <c r="AV186" s="2">
        <v>1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3</v>
      </c>
      <c r="BI186" s="2">
        <v>1</v>
      </c>
      <c r="BJ186" s="2" t="s">
        <v>275</v>
      </c>
      <c r="BK186" s="2"/>
      <c r="BL186" s="2"/>
      <c r="BM186" s="2">
        <v>295</v>
      </c>
      <c r="BN186" s="2">
        <v>0</v>
      </c>
      <c r="BO186" s="2" t="s">
        <v>3</v>
      </c>
      <c r="BP186" s="2">
        <v>0</v>
      </c>
      <c r="BQ186" s="2">
        <v>30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187</v>
      </c>
      <c r="CA186" s="2">
        <v>101</v>
      </c>
      <c r="CB186" s="2" t="s">
        <v>3</v>
      </c>
      <c r="CC186" s="2"/>
      <c r="CD186" s="2"/>
      <c r="CE186" s="2">
        <v>30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3</v>
      </c>
      <c r="CO186" s="2">
        <v>0</v>
      </c>
      <c r="CP186" s="2">
        <f t="shared" si="149"/>
        <v>17.38</v>
      </c>
      <c r="CQ186" s="2">
        <f t="shared" si="150"/>
        <v>57.93</v>
      </c>
      <c r="CR186" s="2">
        <f>(ROUND((ROUND(((ET186)*AV186*1),2)*BB186),2)+ROUND((ROUND(((AE186-(EU186))*AV186*1),2)*BS186),2))</f>
        <v>0</v>
      </c>
      <c r="CS186" s="2">
        <f t="shared" si="151"/>
        <v>0</v>
      </c>
      <c r="CT186" s="2">
        <f t="shared" si="152"/>
        <v>0</v>
      </c>
      <c r="CU186" s="2">
        <f t="shared" si="153"/>
        <v>0</v>
      </c>
      <c r="CV186" s="2">
        <f t="shared" si="154"/>
        <v>0</v>
      </c>
      <c r="CW186" s="2">
        <f t="shared" si="155"/>
        <v>0</v>
      </c>
      <c r="CX186" s="2">
        <f t="shared" si="156"/>
        <v>0</v>
      </c>
      <c r="CY186" s="2">
        <f>((S186*BZ186)/100)</f>
        <v>0</v>
      </c>
      <c r="CZ186" s="2">
        <f>((S186*CA186)/100)</f>
        <v>0</v>
      </c>
      <c r="DA186" s="2"/>
      <c r="DB186" s="2"/>
      <c r="DC186" s="2" t="s">
        <v>3</v>
      </c>
      <c r="DD186" s="2" t="s">
        <v>3</v>
      </c>
      <c r="DE186" s="2" t="s">
        <v>3</v>
      </c>
      <c r="DF186" s="2" t="s">
        <v>3</v>
      </c>
      <c r="DG186" s="2" t="s">
        <v>3</v>
      </c>
      <c r="DH186" s="2" t="s">
        <v>3</v>
      </c>
      <c r="DI186" s="2" t="s">
        <v>3</v>
      </c>
      <c r="DJ186" s="2" t="s">
        <v>3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1009</v>
      </c>
      <c r="DV186" s="2" t="s">
        <v>104</v>
      </c>
      <c r="DW186" s="2" t="s">
        <v>104</v>
      </c>
      <c r="DX186" s="2">
        <v>1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51696334</v>
      </c>
      <c r="EF186" s="2">
        <v>30</v>
      </c>
      <c r="EG186" s="2" t="s">
        <v>23</v>
      </c>
      <c r="EH186" s="2">
        <v>0</v>
      </c>
      <c r="EI186" s="2" t="s">
        <v>3</v>
      </c>
      <c r="EJ186" s="2">
        <v>1</v>
      </c>
      <c r="EK186" s="2">
        <v>295</v>
      </c>
      <c r="EL186" s="2" t="s">
        <v>252</v>
      </c>
      <c r="EM186" s="2" t="s">
        <v>253</v>
      </c>
      <c r="EN186" s="2"/>
      <c r="EO186" s="2" t="s">
        <v>3</v>
      </c>
      <c r="EP186" s="2"/>
      <c r="EQ186" s="2">
        <v>0</v>
      </c>
      <c r="ER186" s="2">
        <v>57.93</v>
      </c>
      <c r="ES186" s="2">
        <v>57.93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v>0</v>
      </c>
      <c r="FS186" s="2">
        <v>0</v>
      </c>
      <c r="FT186" s="2"/>
      <c r="FU186" s="2"/>
      <c r="FV186" s="2"/>
      <c r="FW186" s="2"/>
      <c r="FX186" s="2">
        <v>187</v>
      </c>
      <c r="FY186" s="2">
        <v>101</v>
      </c>
      <c r="FZ186" s="2"/>
      <c r="GA186" s="2" t="s">
        <v>3</v>
      </c>
      <c r="GB186" s="2"/>
      <c r="GC186" s="2"/>
      <c r="GD186" s="2">
        <v>0</v>
      </c>
      <c r="GE186" s="2"/>
      <c r="GF186" s="2">
        <v>-1082088882</v>
      </c>
      <c r="GG186" s="2">
        <v>2</v>
      </c>
      <c r="GH186" s="2">
        <v>1</v>
      </c>
      <c r="GI186" s="2">
        <v>-2</v>
      </c>
      <c r="GJ186" s="2">
        <v>0</v>
      </c>
      <c r="GK186" s="2">
        <f>ROUND(R186*(R12)/100,2)</f>
        <v>0</v>
      </c>
      <c r="GL186" s="2">
        <f t="shared" si="157"/>
        <v>0</v>
      </c>
      <c r="GM186" s="2">
        <f t="shared" si="158"/>
        <v>17.38</v>
      </c>
      <c r="GN186" s="2">
        <f t="shared" si="159"/>
        <v>17.38</v>
      </c>
      <c r="GO186" s="2">
        <f t="shared" si="160"/>
        <v>0</v>
      </c>
      <c r="GP186" s="2">
        <f t="shared" si="161"/>
        <v>0</v>
      </c>
      <c r="GQ186" s="2"/>
      <c r="GR186" s="2">
        <v>0</v>
      </c>
      <c r="GS186" s="2">
        <v>0</v>
      </c>
      <c r="GT186" s="2">
        <v>0</v>
      </c>
      <c r="GU186" s="2" t="s">
        <v>3</v>
      </c>
      <c r="GV186" s="2">
        <f t="shared" si="162"/>
        <v>0</v>
      </c>
      <c r="GW186" s="2">
        <v>1</v>
      </c>
      <c r="GX186" s="2">
        <f t="shared" si="163"/>
        <v>0</v>
      </c>
      <c r="GY186" s="2"/>
      <c r="GZ186" s="2"/>
      <c r="HA186" s="2">
        <v>0</v>
      </c>
      <c r="HB186" s="2">
        <v>0</v>
      </c>
      <c r="HC186" s="2">
        <f t="shared" si="164"/>
        <v>0</v>
      </c>
      <c r="HD186" s="2"/>
      <c r="HE186" s="2" t="s">
        <v>3</v>
      </c>
      <c r="HF186" s="2" t="s">
        <v>3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">
      <c r="A187">
        <v>18</v>
      </c>
      <c r="B187">
        <v>1</v>
      </c>
      <c r="C187">
        <v>174</v>
      </c>
      <c r="E187" t="s">
        <v>272</v>
      </c>
      <c r="F187" t="s">
        <v>273</v>
      </c>
      <c r="G187" t="s">
        <v>274</v>
      </c>
      <c r="H187" t="s">
        <v>104</v>
      </c>
      <c r="I187">
        <f>I185*J187</f>
        <v>0.3</v>
      </c>
      <c r="J187">
        <v>4</v>
      </c>
      <c r="K187">
        <v>4</v>
      </c>
      <c r="O187">
        <f t="shared" si="135"/>
        <v>44.84</v>
      </c>
      <c r="P187">
        <f t="shared" si="136"/>
        <v>44.84</v>
      </c>
      <c r="Q187">
        <f>(ROUND((ROUND(((ET187)*AV187*I187),2)*BB187),2)+ROUND((ROUND(((AE187-(EU187))*AV187*I187),2)*BS187),2))</f>
        <v>0</v>
      </c>
      <c r="R187">
        <f t="shared" si="137"/>
        <v>0</v>
      </c>
      <c r="S187">
        <f t="shared" si="138"/>
        <v>0</v>
      </c>
      <c r="T187">
        <f t="shared" si="139"/>
        <v>0</v>
      </c>
      <c r="U187">
        <f t="shared" si="140"/>
        <v>0</v>
      </c>
      <c r="V187">
        <f t="shared" si="141"/>
        <v>0</v>
      </c>
      <c r="W187">
        <f t="shared" si="142"/>
        <v>0</v>
      </c>
      <c r="X187">
        <f t="shared" si="143"/>
        <v>0</v>
      </c>
      <c r="Y187">
        <f t="shared" si="144"/>
        <v>0</v>
      </c>
      <c r="AA187">
        <v>56611490</v>
      </c>
      <c r="AB187">
        <f t="shared" si="145"/>
        <v>57.93</v>
      </c>
      <c r="AC187">
        <f t="shared" si="146"/>
        <v>57.93</v>
      </c>
      <c r="AD187">
        <f>ROUND((((ET187)-(EU187))+AE187),6)</f>
        <v>0</v>
      </c>
      <c r="AE187">
        <f>ROUND((EU187),6)</f>
        <v>0</v>
      </c>
      <c r="AF187">
        <f>ROUND((EV187),6)</f>
        <v>0</v>
      </c>
      <c r="AG187">
        <f t="shared" si="147"/>
        <v>0</v>
      </c>
      <c r="AH187">
        <f>(EW187)</f>
        <v>0</v>
      </c>
      <c r="AI187">
        <f>(EX187)</f>
        <v>0</v>
      </c>
      <c r="AJ187">
        <f t="shared" si="148"/>
        <v>0</v>
      </c>
      <c r="AK187">
        <v>57.93</v>
      </c>
      <c r="AL187">
        <v>57.93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1</v>
      </c>
      <c r="AZ187">
        <v>1</v>
      </c>
      <c r="BA187">
        <v>1</v>
      </c>
      <c r="BB187">
        <v>1</v>
      </c>
      <c r="BC187">
        <v>2.58</v>
      </c>
      <c r="BD187" t="s">
        <v>3</v>
      </c>
      <c r="BE187" t="s">
        <v>3</v>
      </c>
      <c r="BF187" t="s">
        <v>3</v>
      </c>
      <c r="BG187" t="s">
        <v>3</v>
      </c>
      <c r="BH187">
        <v>3</v>
      </c>
      <c r="BI187">
        <v>1</v>
      </c>
      <c r="BJ187" t="s">
        <v>275</v>
      </c>
      <c r="BM187">
        <v>295</v>
      </c>
      <c r="BN187">
        <v>0</v>
      </c>
      <c r="BO187" t="s">
        <v>273</v>
      </c>
      <c r="BP187">
        <v>1</v>
      </c>
      <c r="BQ187">
        <v>30</v>
      </c>
      <c r="BR187">
        <v>0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 t="s">
        <v>3</v>
      </c>
      <c r="BZ187">
        <v>0</v>
      </c>
      <c r="CA187">
        <v>0</v>
      </c>
      <c r="CB187" t="s">
        <v>3</v>
      </c>
      <c r="CE187">
        <v>30</v>
      </c>
      <c r="CF187">
        <v>0</v>
      </c>
      <c r="CG187">
        <v>0</v>
      </c>
      <c r="CM187">
        <v>0</v>
      </c>
      <c r="CN187" t="s">
        <v>3</v>
      </c>
      <c r="CO187">
        <v>0</v>
      </c>
      <c r="CP187">
        <f t="shared" si="149"/>
        <v>44.84</v>
      </c>
      <c r="CQ187">
        <f t="shared" si="150"/>
        <v>149.46</v>
      </c>
      <c r="CR187">
        <f>(ROUND((ROUND(((ET187)*AV187*1),2)*BB187),2)+ROUND((ROUND(((AE187-(EU187))*AV187*1),2)*BS187),2))</f>
        <v>0</v>
      </c>
      <c r="CS187">
        <f t="shared" si="151"/>
        <v>0</v>
      </c>
      <c r="CT187">
        <f t="shared" si="152"/>
        <v>0</v>
      </c>
      <c r="CU187">
        <f t="shared" si="153"/>
        <v>0</v>
      </c>
      <c r="CV187">
        <f t="shared" si="154"/>
        <v>0</v>
      </c>
      <c r="CW187">
        <f t="shared" si="155"/>
        <v>0</v>
      </c>
      <c r="CX187">
        <f t="shared" si="156"/>
        <v>0</v>
      </c>
      <c r="CY187">
        <f>S187*(BZ187/100)</f>
        <v>0</v>
      </c>
      <c r="CZ187">
        <f>S187*(CA187/100)</f>
        <v>0</v>
      </c>
      <c r="DC187" t="s">
        <v>3</v>
      </c>
      <c r="DD187" t="s">
        <v>3</v>
      </c>
      <c r="DE187" t="s">
        <v>3</v>
      </c>
      <c r="DF187" t="s">
        <v>3</v>
      </c>
      <c r="DG187" t="s">
        <v>3</v>
      </c>
      <c r="DH187" t="s">
        <v>3</v>
      </c>
      <c r="DI187" t="s">
        <v>3</v>
      </c>
      <c r="DJ187" t="s">
        <v>3</v>
      </c>
      <c r="DK187" t="s">
        <v>3</v>
      </c>
      <c r="DL187" t="s">
        <v>3</v>
      </c>
      <c r="DM187" t="s">
        <v>3</v>
      </c>
      <c r="DN187">
        <v>187</v>
      </c>
      <c r="DO187">
        <v>101</v>
      </c>
      <c r="DP187">
        <v>1</v>
      </c>
      <c r="DQ187">
        <v>1</v>
      </c>
      <c r="DU187">
        <v>1009</v>
      </c>
      <c r="DV187" t="s">
        <v>104</v>
      </c>
      <c r="DW187" t="s">
        <v>104</v>
      </c>
      <c r="DX187">
        <v>1</v>
      </c>
      <c r="DZ187" t="s">
        <v>3</v>
      </c>
      <c r="EA187" t="s">
        <v>3</v>
      </c>
      <c r="EB187" t="s">
        <v>3</v>
      </c>
      <c r="EC187" t="s">
        <v>3</v>
      </c>
      <c r="EE187">
        <v>51696334</v>
      </c>
      <c r="EF187">
        <v>30</v>
      </c>
      <c r="EG187" t="s">
        <v>23</v>
      </c>
      <c r="EH187">
        <v>0</v>
      </c>
      <c r="EI187" t="s">
        <v>3</v>
      </c>
      <c r="EJ187">
        <v>1</v>
      </c>
      <c r="EK187">
        <v>295</v>
      </c>
      <c r="EL187" t="s">
        <v>252</v>
      </c>
      <c r="EM187" t="s">
        <v>253</v>
      </c>
      <c r="EO187" t="s">
        <v>3</v>
      </c>
      <c r="EQ187">
        <v>0</v>
      </c>
      <c r="ER187">
        <v>57.93</v>
      </c>
      <c r="ES187">
        <v>57.93</v>
      </c>
      <c r="ET187">
        <v>0</v>
      </c>
      <c r="EU187">
        <v>0</v>
      </c>
      <c r="EV187">
        <v>0</v>
      </c>
      <c r="EW187">
        <v>0</v>
      </c>
      <c r="EX187">
        <v>0</v>
      </c>
      <c r="FQ187">
        <v>0</v>
      </c>
      <c r="FR187">
        <v>0</v>
      </c>
      <c r="FS187">
        <v>0</v>
      </c>
      <c r="FX187">
        <v>187</v>
      </c>
      <c r="FY187">
        <v>101</v>
      </c>
      <c r="GA187" t="s">
        <v>3</v>
      </c>
      <c r="GD187">
        <v>0</v>
      </c>
      <c r="GF187">
        <v>-1082088882</v>
      </c>
      <c r="GG187">
        <v>2</v>
      </c>
      <c r="GH187">
        <v>1</v>
      </c>
      <c r="GI187">
        <v>2</v>
      </c>
      <c r="GJ187">
        <v>0</v>
      </c>
      <c r="GK187">
        <f>ROUND(R187*(S12)/100,2)</f>
        <v>0</v>
      </c>
      <c r="GL187">
        <f t="shared" si="157"/>
        <v>0</v>
      </c>
      <c r="GM187">
        <f t="shared" si="158"/>
        <v>44.84</v>
      </c>
      <c r="GN187">
        <f t="shared" si="159"/>
        <v>44.84</v>
      </c>
      <c r="GO187">
        <f t="shared" si="160"/>
        <v>0</v>
      </c>
      <c r="GP187">
        <f t="shared" si="161"/>
        <v>0</v>
      </c>
      <c r="GR187">
        <v>0</v>
      </c>
      <c r="GS187">
        <v>3</v>
      </c>
      <c r="GT187">
        <v>0</v>
      </c>
      <c r="GU187" t="s">
        <v>3</v>
      </c>
      <c r="GV187">
        <f t="shared" si="162"/>
        <v>0</v>
      </c>
      <c r="GW187">
        <v>1</v>
      </c>
      <c r="GX187">
        <f t="shared" si="163"/>
        <v>0</v>
      </c>
      <c r="HA187">
        <v>0</v>
      </c>
      <c r="HB187">
        <v>0</v>
      </c>
      <c r="HC187">
        <f t="shared" si="164"/>
        <v>0</v>
      </c>
      <c r="HE187" t="s">
        <v>3</v>
      </c>
      <c r="HF187" t="s">
        <v>3</v>
      </c>
      <c r="HM187" t="s">
        <v>3</v>
      </c>
      <c r="HN187" t="s">
        <v>3</v>
      </c>
      <c r="HO187" t="s">
        <v>3</v>
      </c>
      <c r="HP187" t="s">
        <v>3</v>
      </c>
      <c r="HQ187" t="s">
        <v>3</v>
      </c>
      <c r="HS187">
        <v>0</v>
      </c>
      <c r="IK187">
        <v>0</v>
      </c>
    </row>
    <row r="189" spans="1:255" x14ac:dyDescent="0.2">
      <c r="A189" s="3">
        <v>51</v>
      </c>
      <c r="B189" s="3">
        <f>B168</f>
        <v>1</v>
      </c>
      <c r="C189" s="3">
        <f>A168</f>
        <v>5</v>
      </c>
      <c r="D189" s="3">
        <f>ROW(A168)</f>
        <v>168</v>
      </c>
      <c r="E189" s="3"/>
      <c r="F189" s="3" t="str">
        <f>IF(F168&lt;&gt;"",F168,"")</f>
        <v>Новый подраздел</v>
      </c>
      <c r="G189" s="3" t="str">
        <f>IF(G168&lt;&gt;"",G168,"")</f>
        <v>Газон</v>
      </c>
      <c r="H189" s="3">
        <v>0</v>
      </c>
      <c r="I189" s="3"/>
      <c r="J189" s="3"/>
      <c r="K189" s="3"/>
      <c r="L189" s="3"/>
      <c r="M189" s="3"/>
      <c r="N189" s="3"/>
      <c r="O189" s="3">
        <f t="shared" ref="O189:T189" si="165">ROUND(AB189,2)</f>
        <v>159.1</v>
      </c>
      <c r="P189" s="3">
        <f t="shared" si="165"/>
        <v>132.81</v>
      </c>
      <c r="Q189" s="3">
        <f t="shared" si="165"/>
        <v>0.31</v>
      </c>
      <c r="R189" s="3">
        <f t="shared" si="165"/>
        <v>0.04</v>
      </c>
      <c r="S189" s="3">
        <f t="shared" si="165"/>
        <v>25.98</v>
      </c>
      <c r="T189" s="3">
        <f t="shared" si="165"/>
        <v>0</v>
      </c>
      <c r="U189" s="3">
        <f>AH189</f>
        <v>2.4638625000000003</v>
      </c>
      <c r="V189" s="3">
        <f>AI189</f>
        <v>0</v>
      </c>
      <c r="W189" s="3">
        <f>ROUND(AJ189,2)</f>
        <v>0</v>
      </c>
      <c r="X189" s="3">
        <f>ROUND(AK189,2)</f>
        <v>48.58</v>
      </c>
      <c r="Y189" s="3">
        <f>ROUND(AL189,2)</f>
        <v>26.24</v>
      </c>
      <c r="Z189" s="3"/>
      <c r="AA189" s="3"/>
      <c r="AB189" s="3">
        <f>ROUND(SUMIF(AA172:AA187,"=56622523",O172:O187),2)</f>
        <v>159.1</v>
      </c>
      <c r="AC189" s="3">
        <f>ROUND(SUMIF(AA172:AA187,"=56622523",P172:P187),2)</f>
        <v>132.81</v>
      </c>
      <c r="AD189" s="3">
        <f>ROUND(SUMIF(AA172:AA187,"=56622523",Q172:Q187),2)</f>
        <v>0.31</v>
      </c>
      <c r="AE189" s="3">
        <f>ROUND(SUMIF(AA172:AA187,"=56622523",R172:R187),2)</f>
        <v>0.04</v>
      </c>
      <c r="AF189" s="3">
        <f>ROUND(SUMIF(AA172:AA187,"=56622523",S172:S187),2)</f>
        <v>25.98</v>
      </c>
      <c r="AG189" s="3">
        <f>ROUND(SUMIF(AA172:AA187,"=56622523",T172:T187),2)</f>
        <v>0</v>
      </c>
      <c r="AH189" s="3">
        <f>SUMIF(AA172:AA187,"=56622523",U172:U187)</f>
        <v>2.4638625000000003</v>
      </c>
      <c r="AI189" s="3">
        <f>SUMIF(AA172:AA187,"=56622523",V172:V187)</f>
        <v>0</v>
      </c>
      <c r="AJ189" s="3">
        <f>ROUND(SUMIF(AA172:AA187,"=56622523",W172:W187),2)</f>
        <v>0</v>
      </c>
      <c r="AK189" s="3">
        <f>ROUND(SUMIF(AA172:AA187,"=56622523",X172:X187),2)</f>
        <v>48.58</v>
      </c>
      <c r="AL189" s="3">
        <f>ROUND(SUMIF(AA172:AA187,"=56622523",Y172:Y187),2)</f>
        <v>26.24</v>
      </c>
      <c r="AM189" s="3"/>
      <c r="AN189" s="3"/>
      <c r="AO189" s="3">
        <f t="shared" ref="AO189:BD189" si="166">ROUND(BX189,2)</f>
        <v>0</v>
      </c>
      <c r="AP189" s="3">
        <f t="shared" si="166"/>
        <v>0</v>
      </c>
      <c r="AQ189" s="3">
        <f t="shared" si="166"/>
        <v>0</v>
      </c>
      <c r="AR189" s="3">
        <f t="shared" si="166"/>
        <v>233.99</v>
      </c>
      <c r="AS189" s="3">
        <f t="shared" si="166"/>
        <v>233.99</v>
      </c>
      <c r="AT189" s="3">
        <f t="shared" si="166"/>
        <v>0</v>
      </c>
      <c r="AU189" s="3">
        <f t="shared" si="166"/>
        <v>0</v>
      </c>
      <c r="AV189" s="3">
        <f t="shared" si="166"/>
        <v>132.81</v>
      </c>
      <c r="AW189" s="3">
        <f t="shared" si="166"/>
        <v>132.81</v>
      </c>
      <c r="AX189" s="3">
        <f t="shared" si="166"/>
        <v>0</v>
      </c>
      <c r="AY189" s="3">
        <f t="shared" si="166"/>
        <v>132.81</v>
      </c>
      <c r="AZ189" s="3">
        <f t="shared" si="166"/>
        <v>0</v>
      </c>
      <c r="BA189" s="3">
        <f t="shared" si="166"/>
        <v>0</v>
      </c>
      <c r="BB189" s="3">
        <f t="shared" si="166"/>
        <v>0</v>
      </c>
      <c r="BC189" s="3">
        <f t="shared" si="166"/>
        <v>0</v>
      </c>
      <c r="BD189" s="3">
        <f t="shared" si="166"/>
        <v>0</v>
      </c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>
        <f>ROUND(SUMIF(AA172:AA187,"=56622523",FQ172:FQ187),2)</f>
        <v>0</v>
      </c>
      <c r="BY189" s="3">
        <f>ROUND(SUMIF(AA172:AA187,"=56622523",FR172:FR187),2)</f>
        <v>0</v>
      </c>
      <c r="BZ189" s="3">
        <f>ROUND(SUMIF(AA172:AA187,"=56622523",GL172:GL187),2)</f>
        <v>0</v>
      </c>
      <c r="CA189" s="3">
        <f>ROUND(SUMIF(AA172:AA187,"=56622523",GM172:GM187),2)</f>
        <v>233.99</v>
      </c>
      <c r="CB189" s="3">
        <f>ROUND(SUMIF(AA172:AA187,"=56622523",GN172:GN187),2)</f>
        <v>233.99</v>
      </c>
      <c r="CC189" s="3">
        <f>ROUND(SUMIF(AA172:AA187,"=56622523",GO172:GO187),2)</f>
        <v>0</v>
      </c>
      <c r="CD189" s="3">
        <f>ROUND(SUMIF(AA172:AA187,"=56622523",GP172:GP187),2)</f>
        <v>0</v>
      </c>
      <c r="CE189" s="3">
        <f>AC189-BX189</f>
        <v>132.81</v>
      </c>
      <c r="CF189" s="3">
        <f>AC189-BY189</f>
        <v>132.81</v>
      </c>
      <c r="CG189" s="3">
        <f>BX189-BZ189</f>
        <v>0</v>
      </c>
      <c r="CH189" s="3">
        <f>AC189-BX189-BY189+BZ189</f>
        <v>132.81</v>
      </c>
      <c r="CI189" s="3">
        <f>BY189-BZ189</f>
        <v>0</v>
      </c>
      <c r="CJ189" s="3">
        <f>ROUND(SUMIF(AA172:AA187,"=56622523",GX172:GX187),2)</f>
        <v>0</v>
      </c>
      <c r="CK189" s="3">
        <f>ROUND(SUMIF(AA172:AA187,"=56622523",GY172:GY187),2)</f>
        <v>0</v>
      </c>
      <c r="CL189" s="3">
        <f>ROUND(SUMIF(AA172:AA187,"=56622523",GZ172:GZ187),2)</f>
        <v>0</v>
      </c>
      <c r="CM189" s="3">
        <f>ROUND(SUMIF(AA172:AA187,"=56622523",HD172:HD187),2)</f>
        <v>0</v>
      </c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4">
        <f t="shared" ref="DG189:DL189" si="167">ROUND(DT189,2)</f>
        <v>1780.22</v>
      </c>
      <c r="DH189" s="4">
        <f t="shared" si="167"/>
        <v>879.55</v>
      </c>
      <c r="DI189" s="4">
        <f t="shared" si="167"/>
        <v>4.0999999999999996</v>
      </c>
      <c r="DJ189" s="4">
        <f t="shared" si="167"/>
        <v>1.38</v>
      </c>
      <c r="DK189" s="4">
        <f t="shared" si="167"/>
        <v>896.57</v>
      </c>
      <c r="DL189" s="4">
        <f t="shared" si="167"/>
        <v>0</v>
      </c>
      <c r="DM189" s="4">
        <f>DZ189</f>
        <v>2.4638625000000003</v>
      </c>
      <c r="DN189" s="4">
        <f>EA189</f>
        <v>0</v>
      </c>
      <c r="DO189" s="4">
        <f>ROUND(EB189,2)</f>
        <v>0</v>
      </c>
      <c r="DP189" s="4">
        <f>ROUND(EC189,2)</f>
        <v>941.4</v>
      </c>
      <c r="DQ189" s="4">
        <f>ROUND(ED189,2)</f>
        <v>430.34</v>
      </c>
      <c r="DR189" s="4"/>
      <c r="DS189" s="4"/>
      <c r="DT189" s="4">
        <f>ROUND(SUMIF(AA172:AA187,"=56611490",O172:O187),2)</f>
        <v>1780.22</v>
      </c>
      <c r="DU189" s="4">
        <f>ROUND(SUMIF(AA172:AA187,"=56611490",P172:P187),2)</f>
        <v>879.55</v>
      </c>
      <c r="DV189" s="4">
        <f>ROUND(SUMIF(AA172:AA187,"=56611490",Q172:Q187),2)</f>
        <v>4.0999999999999996</v>
      </c>
      <c r="DW189" s="4">
        <f>ROUND(SUMIF(AA172:AA187,"=56611490",R172:R187),2)</f>
        <v>1.38</v>
      </c>
      <c r="DX189" s="4">
        <f>ROUND(SUMIF(AA172:AA187,"=56611490",S172:S187),2)</f>
        <v>896.57</v>
      </c>
      <c r="DY189" s="4">
        <f>ROUND(SUMIF(AA172:AA187,"=56611490",T172:T187),2)</f>
        <v>0</v>
      </c>
      <c r="DZ189" s="4">
        <f>SUMIF(AA172:AA187,"=56611490",U172:U187)</f>
        <v>2.4638625000000003</v>
      </c>
      <c r="EA189" s="4">
        <f>SUMIF(AA172:AA187,"=56611490",V172:V187)</f>
        <v>0</v>
      </c>
      <c r="EB189" s="4">
        <f>ROUND(SUMIF(AA172:AA187,"=56611490",W172:W187),2)</f>
        <v>0</v>
      </c>
      <c r="EC189" s="4">
        <f>ROUND(SUMIF(AA172:AA187,"=56611490",X172:X187),2)</f>
        <v>941.4</v>
      </c>
      <c r="ED189" s="4">
        <f>ROUND(SUMIF(AA172:AA187,"=56611490",Y172:Y187),2)</f>
        <v>430.34</v>
      </c>
      <c r="EE189" s="4"/>
      <c r="EF189" s="4"/>
      <c r="EG189" s="4">
        <f t="shared" ref="EG189:EV189" si="168">ROUND(FP189,2)</f>
        <v>0</v>
      </c>
      <c r="EH189" s="4">
        <f t="shared" si="168"/>
        <v>0</v>
      </c>
      <c r="EI189" s="4">
        <f t="shared" si="168"/>
        <v>0</v>
      </c>
      <c r="EJ189" s="4">
        <f t="shared" si="168"/>
        <v>3154.17</v>
      </c>
      <c r="EK189" s="4">
        <f t="shared" si="168"/>
        <v>3154.17</v>
      </c>
      <c r="EL189" s="4">
        <f t="shared" si="168"/>
        <v>0</v>
      </c>
      <c r="EM189" s="4">
        <f t="shared" si="168"/>
        <v>0</v>
      </c>
      <c r="EN189" s="4">
        <f t="shared" si="168"/>
        <v>879.55</v>
      </c>
      <c r="EO189" s="4">
        <f t="shared" si="168"/>
        <v>879.55</v>
      </c>
      <c r="EP189" s="4">
        <f t="shared" si="168"/>
        <v>0</v>
      </c>
      <c r="EQ189" s="4">
        <f t="shared" si="168"/>
        <v>879.55</v>
      </c>
      <c r="ER189" s="4">
        <f t="shared" si="168"/>
        <v>0</v>
      </c>
      <c r="ES189" s="4">
        <f t="shared" si="168"/>
        <v>0</v>
      </c>
      <c r="ET189" s="4">
        <f t="shared" si="168"/>
        <v>0</v>
      </c>
      <c r="EU189" s="4">
        <f t="shared" si="168"/>
        <v>0</v>
      </c>
      <c r="EV189" s="4">
        <f t="shared" si="168"/>
        <v>0</v>
      </c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>
        <f>ROUND(SUMIF(AA172:AA187,"=56611490",FQ172:FQ187),2)</f>
        <v>0</v>
      </c>
      <c r="FQ189" s="4">
        <f>ROUND(SUMIF(AA172:AA187,"=56611490",FR172:FR187),2)</f>
        <v>0</v>
      </c>
      <c r="FR189" s="4">
        <f>ROUND(SUMIF(AA172:AA187,"=56611490",GL172:GL187),2)</f>
        <v>0</v>
      </c>
      <c r="FS189" s="4">
        <f>ROUND(SUMIF(AA172:AA187,"=56611490",GM172:GM187),2)</f>
        <v>3154.17</v>
      </c>
      <c r="FT189" s="4">
        <f>ROUND(SUMIF(AA172:AA187,"=56611490",GN172:GN187),2)</f>
        <v>3154.17</v>
      </c>
      <c r="FU189" s="4">
        <f>ROUND(SUMIF(AA172:AA187,"=56611490",GO172:GO187),2)</f>
        <v>0</v>
      </c>
      <c r="FV189" s="4">
        <f>ROUND(SUMIF(AA172:AA187,"=56611490",GP172:GP187),2)</f>
        <v>0</v>
      </c>
      <c r="FW189" s="4">
        <f>DU189-FP189</f>
        <v>879.55</v>
      </c>
      <c r="FX189" s="4">
        <f>DU189-FQ189</f>
        <v>879.55</v>
      </c>
      <c r="FY189" s="4">
        <f>FP189-FR189</f>
        <v>0</v>
      </c>
      <c r="FZ189" s="4">
        <f>DU189-FP189-FQ189+FR189</f>
        <v>879.55</v>
      </c>
      <c r="GA189" s="4">
        <f>FQ189-FR189</f>
        <v>0</v>
      </c>
      <c r="GB189" s="4">
        <f>ROUND(SUMIF(AA172:AA187,"=56611490",GX172:GX187),2)</f>
        <v>0</v>
      </c>
      <c r="GC189" s="4">
        <f>ROUND(SUMIF(AA172:AA187,"=56611490",GY172:GY187),2)</f>
        <v>0</v>
      </c>
      <c r="GD189" s="4">
        <f>ROUND(SUMIF(AA172:AA187,"=56611490",GZ172:GZ187),2)</f>
        <v>0</v>
      </c>
      <c r="GE189" s="4">
        <f>ROUND(SUMIF(AA172:AA187,"=56611490",HD172:HD187),2)</f>
        <v>0</v>
      </c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>
        <v>0</v>
      </c>
    </row>
    <row r="191" spans="1:255" x14ac:dyDescent="0.2">
      <c r="A191" s="5">
        <v>50</v>
      </c>
      <c r="B191" s="5">
        <v>0</v>
      </c>
      <c r="C191" s="5">
        <v>0</v>
      </c>
      <c r="D191" s="5">
        <v>1</v>
      </c>
      <c r="E191" s="5">
        <v>201</v>
      </c>
      <c r="F191" s="5">
        <f>ROUND(Source!O189,O191)</f>
        <v>159.1</v>
      </c>
      <c r="G191" s="5" t="s">
        <v>106</v>
      </c>
      <c r="H191" s="5" t="s">
        <v>107</v>
      </c>
      <c r="I191" s="5"/>
      <c r="J191" s="5"/>
      <c r="K191" s="5">
        <v>201</v>
      </c>
      <c r="L191" s="5">
        <v>1</v>
      </c>
      <c r="M191" s="5">
        <v>3</v>
      </c>
      <c r="N191" s="5" t="s">
        <v>3</v>
      </c>
      <c r="O191" s="5">
        <v>2</v>
      </c>
      <c r="P191" s="5">
        <f>ROUND(Source!DG189,O191)</f>
        <v>1780.22</v>
      </c>
      <c r="Q191" s="5"/>
      <c r="R191" s="5"/>
      <c r="S191" s="5"/>
      <c r="T191" s="5"/>
      <c r="U191" s="5"/>
      <c r="V191" s="5"/>
      <c r="W191" s="5">
        <v>159.1</v>
      </c>
      <c r="X191" s="5">
        <v>1</v>
      </c>
      <c r="Y191" s="5">
        <v>159.1</v>
      </c>
      <c r="Z191" s="5">
        <v>1780.22</v>
      </c>
      <c r="AA191" s="5">
        <v>1</v>
      </c>
      <c r="AB191" s="5">
        <v>1780.22</v>
      </c>
    </row>
    <row r="192" spans="1:255" x14ac:dyDescent="0.2">
      <c r="A192" s="5">
        <v>50</v>
      </c>
      <c r="B192" s="5">
        <v>0</v>
      </c>
      <c r="C192" s="5">
        <v>0</v>
      </c>
      <c r="D192" s="5">
        <v>1</v>
      </c>
      <c r="E192" s="5">
        <v>202</v>
      </c>
      <c r="F192" s="5">
        <f>ROUND(Source!P189,O192)</f>
        <v>132.81</v>
      </c>
      <c r="G192" s="5" t="s">
        <v>108</v>
      </c>
      <c r="H192" s="5" t="s">
        <v>109</v>
      </c>
      <c r="I192" s="5"/>
      <c r="J192" s="5"/>
      <c r="K192" s="5">
        <v>202</v>
      </c>
      <c r="L192" s="5">
        <v>2</v>
      </c>
      <c r="M192" s="5">
        <v>3</v>
      </c>
      <c r="N192" s="5" t="s">
        <v>3</v>
      </c>
      <c r="O192" s="5">
        <v>2</v>
      </c>
      <c r="P192" s="5">
        <f>ROUND(Source!DH189,O192)</f>
        <v>879.55</v>
      </c>
      <c r="Q192" s="5"/>
      <c r="R192" s="5"/>
      <c r="S192" s="5"/>
      <c r="T192" s="5"/>
      <c r="U192" s="5"/>
      <c r="V192" s="5"/>
      <c r="W192" s="5">
        <v>132.81</v>
      </c>
      <c r="X192" s="5">
        <v>1</v>
      </c>
      <c r="Y192" s="5">
        <v>132.81</v>
      </c>
      <c r="Z192" s="5">
        <v>879.55</v>
      </c>
      <c r="AA192" s="5">
        <v>1</v>
      </c>
      <c r="AB192" s="5">
        <v>879.55</v>
      </c>
    </row>
    <row r="193" spans="1:28" x14ac:dyDescent="0.2">
      <c r="A193" s="5">
        <v>50</v>
      </c>
      <c r="B193" s="5">
        <v>0</v>
      </c>
      <c r="C193" s="5">
        <v>0</v>
      </c>
      <c r="D193" s="5">
        <v>1</v>
      </c>
      <c r="E193" s="5">
        <v>222</v>
      </c>
      <c r="F193" s="5">
        <f>ROUND(Source!AO189,O193)</f>
        <v>0</v>
      </c>
      <c r="G193" s="5" t="s">
        <v>110</v>
      </c>
      <c r="H193" s="5" t="s">
        <v>111</v>
      </c>
      <c r="I193" s="5"/>
      <c r="J193" s="5"/>
      <c r="K193" s="5">
        <v>222</v>
      </c>
      <c r="L193" s="5">
        <v>3</v>
      </c>
      <c r="M193" s="5">
        <v>3</v>
      </c>
      <c r="N193" s="5" t="s">
        <v>3</v>
      </c>
      <c r="O193" s="5">
        <v>2</v>
      </c>
      <c r="P193" s="5">
        <f>ROUND(Source!EG189,O193)</f>
        <v>0</v>
      </c>
      <c r="Q193" s="5"/>
      <c r="R193" s="5"/>
      <c r="S193" s="5"/>
      <c r="T193" s="5"/>
      <c r="U193" s="5"/>
      <c r="V193" s="5"/>
      <c r="W193" s="5">
        <v>0</v>
      </c>
      <c r="X193" s="5">
        <v>1</v>
      </c>
      <c r="Y193" s="5">
        <v>0</v>
      </c>
      <c r="Z193" s="5">
        <v>0</v>
      </c>
      <c r="AA193" s="5">
        <v>1</v>
      </c>
      <c r="AB193" s="5">
        <v>0</v>
      </c>
    </row>
    <row r="194" spans="1:28" x14ac:dyDescent="0.2">
      <c r="A194" s="5">
        <v>50</v>
      </c>
      <c r="B194" s="5">
        <v>0</v>
      </c>
      <c r="C194" s="5">
        <v>0</v>
      </c>
      <c r="D194" s="5">
        <v>1</v>
      </c>
      <c r="E194" s="5">
        <v>225</v>
      </c>
      <c r="F194" s="5">
        <f>ROUND(Source!AV189,O194)</f>
        <v>132.81</v>
      </c>
      <c r="G194" s="5" t="s">
        <v>112</v>
      </c>
      <c r="H194" s="5" t="s">
        <v>113</v>
      </c>
      <c r="I194" s="5"/>
      <c r="J194" s="5"/>
      <c r="K194" s="5">
        <v>225</v>
      </c>
      <c r="L194" s="5">
        <v>4</v>
      </c>
      <c r="M194" s="5">
        <v>3</v>
      </c>
      <c r="N194" s="5" t="s">
        <v>3</v>
      </c>
      <c r="O194" s="5">
        <v>2</v>
      </c>
      <c r="P194" s="5">
        <f>ROUND(Source!EN189,O194)</f>
        <v>879.55</v>
      </c>
      <c r="Q194" s="5"/>
      <c r="R194" s="5"/>
      <c r="S194" s="5"/>
      <c r="T194" s="5"/>
      <c r="U194" s="5"/>
      <c r="V194" s="5"/>
      <c r="W194" s="5">
        <v>132.81</v>
      </c>
      <c r="X194" s="5">
        <v>1</v>
      </c>
      <c r="Y194" s="5">
        <v>132.81</v>
      </c>
      <c r="Z194" s="5">
        <v>879.55</v>
      </c>
      <c r="AA194" s="5">
        <v>1</v>
      </c>
      <c r="AB194" s="5">
        <v>879.55</v>
      </c>
    </row>
    <row r="195" spans="1:28" x14ac:dyDescent="0.2">
      <c r="A195" s="5">
        <v>50</v>
      </c>
      <c r="B195" s="5">
        <v>0</v>
      </c>
      <c r="C195" s="5">
        <v>0</v>
      </c>
      <c r="D195" s="5">
        <v>1</v>
      </c>
      <c r="E195" s="5">
        <v>226</v>
      </c>
      <c r="F195" s="5">
        <f>ROUND(Source!AW189,O195)</f>
        <v>132.81</v>
      </c>
      <c r="G195" s="5" t="s">
        <v>114</v>
      </c>
      <c r="H195" s="5" t="s">
        <v>115</v>
      </c>
      <c r="I195" s="5"/>
      <c r="J195" s="5"/>
      <c r="K195" s="5">
        <v>226</v>
      </c>
      <c r="L195" s="5">
        <v>5</v>
      </c>
      <c r="M195" s="5">
        <v>3</v>
      </c>
      <c r="N195" s="5" t="s">
        <v>3</v>
      </c>
      <c r="O195" s="5">
        <v>2</v>
      </c>
      <c r="P195" s="5">
        <f>ROUND(Source!EO189,O195)</f>
        <v>879.55</v>
      </c>
      <c r="Q195" s="5"/>
      <c r="R195" s="5"/>
      <c r="S195" s="5"/>
      <c r="T195" s="5"/>
      <c r="U195" s="5"/>
      <c r="V195" s="5"/>
      <c r="W195" s="5">
        <v>132.81</v>
      </c>
      <c r="X195" s="5">
        <v>1</v>
      </c>
      <c r="Y195" s="5">
        <v>132.81</v>
      </c>
      <c r="Z195" s="5">
        <v>879.55</v>
      </c>
      <c r="AA195" s="5">
        <v>1</v>
      </c>
      <c r="AB195" s="5">
        <v>879.55</v>
      </c>
    </row>
    <row r="196" spans="1:28" x14ac:dyDescent="0.2">
      <c r="A196" s="5">
        <v>50</v>
      </c>
      <c r="B196" s="5">
        <v>0</v>
      </c>
      <c r="C196" s="5">
        <v>0</v>
      </c>
      <c r="D196" s="5">
        <v>1</v>
      </c>
      <c r="E196" s="5">
        <v>227</v>
      </c>
      <c r="F196" s="5">
        <f>ROUND(Source!AX189,O196)</f>
        <v>0</v>
      </c>
      <c r="G196" s="5" t="s">
        <v>116</v>
      </c>
      <c r="H196" s="5" t="s">
        <v>117</v>
      </c>
      <c r="I196" s="5"/>
      <c r="J196" s="5"/>
      <c r="K196" s="5">
        <v>227</v>
      </c>
      <c r="L196" s="5">
        <v>6</v>
      </c>
      <c r="M196" s="5">
        <v>3</v>
      </c>
      <c r="N196" s="5" t="s">
        <v>3</v>
      </c>
      <c r="O196" s="5">
        <v>2</v>
      </c>
      <c r="P196" s="5">
        <f>ROUND(Source!EP189,O196)</f>
        <v>0</v>
      </c>
      <c r="Q196" s="5"/>
      <c r="R196" s="5"/>
      <c r="S196" s="5"/>
      <c r="T196" s="5"/>
      <c r="U196" s="5"/>
      <c r="V196" s="5"/>
      <c r="W196" s="5">
        <v>0</v>
      </c>
      <c r="X196" s="5">
        <v>1</v>
      </c>
      <c r="Y196" s="5">
        <v>0</v>
      </c>
      <c r="Z196" s="5">
        <v>0</v>
      </c>
      <c r="AA196" s="5">
        <v>1</v>
      </c>
      <c r="AB196" s="5">
        <v>0</v>
      </c>
    </row>
    <row r="197" spans="1:28" x14ac:dyDescent="0.2">
      <c r="A197" s="5">
        <v>50</v>
      </c>
      <c r="B197" s="5">
        <v>0</v>
      </c>
      <c r="C197" s="5">
        <v>0</v>
      </c>
      <c r="D197" s="5">
        <v>1</v>
      </c>
      <c r="E197" s="5">
        <v>228</v>
      </c>
      <c r="F197" s="5">
        <f>ROUND(Source!AY189,O197)</f>
        <v>132.81</v>
      </c>
      <c r="G197" s="5" t="s">
        <v>118</v>
      </c>
      <c r="H197" s="5" t="s">
        <v>119</v>
      </c>
      <c r="I197" s="5"/>
      <c r="J197" s="5"/>
      <c r="K197" s="5">
        <v>228</v>
      </c>
      <c r="L197" s="5">
        <v>7</v>
      </c>
      <c r="M197" s="5">
        <v>3</v>
      </c>
      <c r="N197" s="5" t="s">
        <v>3</v>
      </c>
      <c r="O197" s="5">
        <v>2</v>
      </c>
      <c r="P197" s="5">
        <f>ROUND(Source!EQ189,O197)</f>
        <v>879.55</v>
      </c>
      <c r="Q197" s="5"/>
      <c r="R197" s="5"/>
      <c r="S197" s="5"/>
      <c r="T197" s="5"/>
      <c r="U197" s="5"/>
      <c r="V197" s="5"/>
      <c r="W197" s="5">
        <v>132.81</v>
      </c>
      <c r="X197" s="5">
        <v>1</v>
      </c>
      <c r="Y197" s="5">
        <v>132.81</v>
      </c>
      <c r="Z197" s="5">
        <v>879.55</v>
      </c>
      <c r="AA197" s="5">
        <v>1</v>
      </c>
      <c r="AB197" s="5">
        <v>879.55</v>
      </c>
    </row>
    <row r="198" spans="1:28" x14ac:dyDescent="0.2">
      <c r="A198" s="5">
        <v>50</v>
      </c>
      <c r="B198" s="5">
        <v>0</v>
      </c>
      <c r="C198" s="5">
        <v>0</v>
      </c>
      <c r="D198" s="5">
        <v>1</v>
      </c>
      <c r="E198" s="5">
        <v>216</v>
      </c>
      <c r="F198" s="5">
        <f>ROUND(Source!AP189,O198)</f>
        <v>0</v>
      </c>
      <c r="G198" s="5" t="s">
        <v>120</v>
      </c>
      <c r="H198" s="5" t="s">
        <v>121</v>
      </c>
      <c r="I198" s="5"/>
      <c r="J198" s="5"/>
      <c r="K198" s="5">
        <v>216</v>
      </c>
      <c r="L198" s="5">
        <v>8</v>
      </c>
      <c r="M198" s="5">
        <v>3</v>
      </c>
      <c r="N198" s="5" t="s">
        <v>3</v>
      </c>
      <c r="O198" s="5">
        <v>2</v>
      </c>
      <c r="P198" s="5">
        <f>ROUND(Source!EH189,O198)</f>
        <v>0</v>
      </c>
      <c r="Q198" s="5"/>
      <c r="R198" s="5"/>
      <c r="S198" s="5"/>
      <c r="T198" s="5"/>
      <c r="U198" s="5"/>
      <c r="V198" s="5"/>
      <c r="W198" s="5">
        <v>0</v>
      </c>
      <c r="X198" s="5">
        <v>1</v>
      </c>
      <c r="Y198" s="5">
        <v>0</v>
      </c>
      <c r="Z198" s="5">
        <v>0</v>
      </c>
      <c r="AA198" s="5">
        <v>1</v>
      </c>
      <c r="AB198" s="5">
        <v>0</v>
      </c>
    </row>
    <row r="199" spans="1:28" x14ac:dyDescent="0.2">
      <c r="A199" s="5">
        <v>50</v>
      </c>
      <c r="B199" s="5">
        <v>0</v>
      </c>
      <c r="C199" s="5">
        <v>0</v>
      </c>
      <c r="D199" s="5">
        <v>1</v>
      </c>
      <c r="E199" s="5">
        <v>223</v>
      </c>
      <c r="F199" s="5">
        <f>ROUND(Source!AQ189,O199)</f>
        <v>0</v>
      </c>
      <c r="G199" s="5" t="s">
        <v>122</v>
      </c>
      <c r="H199" s="5" t="s">
        <v>123</v>
      </c>
      <c r="I199" s="5"/>
      <c r="J199" s="5"/>
      <c r="K199" s="5">
        <v>223</v>
      </c>
      <c r="L199" s="5">
        <v>9</v>
      </c>
      <c r="M199" s="5">
        <v>3</v>
      </c>
      <c r="N199" s="5" t="s">
        <v>3</v>
      </c>
      <c r="O199" s="5">
        <v>2</v>
      </c>
      <c r="P199" s="5">
        <f>ROUND(Source!EI189,O199)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8" x14ac:dyDescent="0.2">
      <c r="A200" s="5">
        <v>50</v>
      </c>
      <c r="B200" s="5">
        <v>0</v>
      </c>
      <c r="C200" s="5">
        <v>0</v>
      </c>
      <c r="D200" s="5">
        <v>1</v>
      </c>
      <c r="E200" s="5">
        <v>229</v>
      </c>
      <c r="F200" s="5">
        <f>ROUND(Source!AZ189,O200)</f>
        <v>0</v>
      </c>
      <c r="G200" s="5" t="s">
        <v>124</v>
      </c>
      <c r="H200" s="5" t="s">
        <v>125</v>
      </c>
      <c r="I200" s="5"/>
      <c r="J200" s="5"/>
      <c r="K200" s="5">
        <v>229</v>
      </c>
      <c r="L200" s="5">
        <v>10</v>
      </c>
      <c r="M200" s="5">
        <v>3</v>
      </c>
      <c r="N200" s="5" t="s">
        <v>3</v>
      </c>
      <c r="O200" s="5">
        <v>2</v>
      </c>
      <c r="P200" s="5">
        <f>ROUND(Source!ER189,O200)</f>
        <v>0</v>
      </c>
      <c r="Q200" s="5"/>
      <c r="R200" s="5"/>
      <c r="S200" s="5"/>
      <c r="T200" s="5"/>
      <c r="U200" s="5"/>
      <c r="V200" s="5"/>
      <c r="W200" s="5">
        <v>0</v>
      </c>
      <c r="X200" s="5">
        <v>1</v>
      </c>
      <c r="Y200" s="5">
        <v>0</v>
      </c>
      <c r="Z200" s="5">
        <v>0</v>
      </c>
      <c r="AA200" s="5">
        <v>1</v>
      </c>
      <c r="AB200" s="5">
        <v>0</v>
      </c>
    </row>
    <row r="201" spans="1:28" x14ac:dyDescent="0.2">
      <c r="A201" s="5">
        <v>50</v>
      </c>
      <c r="B201" s="5">
        <v>0</v>
      </c>
      <c r="C201" s="5">
        <v>0</v>
      </c>
      <c r="D201" s="5">
        <v>1</v>
      </c>
      <c r="E201" s="5">
        <v>203</v>
      </c>
      <c r="F201" s="5">
        <f>ROUND(Source!Q189,O201)</f>
        <v>0.31</v>
      </c>
      <c r="G201" s="5" t="s">
        <v>126</v>
      </c>
      <c r="H201" s="5" t="s">
        <v>127</v>
      </c>
      <c r="I201" s="5"/>
      <c r="J201" s="5"/>
      <c r="K201" s="5">
        <v>203</v>
      </c>
      <c r="L201" s="5">
        <v>11</v>
      </c>
      <c r="M201" s="5">
        <v>3</v>
      </c>
      <c r="N201" s="5" t="s">
        <v>3</v>
      </c>
      <c r="O201" s="5">
        <v>2</v>
      </c>
      <c r="P201" s="5">
        <f>ROUND(Source!DI189,O201)</f>
        <v>4.0999999999999996</v>
      </c>
      <c r="Q201" s="5"/>
      <c r="R201" s="5"/>
      <c r="S201" s="5"/>
      <c r="T201" s="5"/>
      <c r="U201" s="5"/>
      <c r="V201" s="5"/>
      <c r="W201" s="5">
        <v>0.31</v>
      </c>
      <c r="X201" s="5">
        <v>1</v>
      </c>
      <c r="Y201" s="5">
        <v>0.31</v>
      </c>
      <c r="Z201" s="5">
        <v>4.0999999999999996</v>
      </c>
      <c r="AA201" s="5">
        <v>1</v>
      </c>
      <c r="AB201" s="5">
        <v>4.0999999999999996</v>
      </c>
    </row>
    <row r="202" spans="1:28" x14ac:dyDescent="0.2">
      <c r="A202" s="5">
        <v>50</v>
      </c>
      <c r="B202" s="5">
        <v>0</v>
      </c>
      <c r="C202" s="5">
        <v>0</v>
      </c>
      <c r="D202" s="5">
        <v>1</v>
      </c>
      <c r="E202" s="5">
        <v>231</v>
      </c>
      <c r="F202" s="5">
        <f>ROUND(Source!BB189,O202)</f>
        <v>0</v>
      </c>
      <c r="G202" s="5" t="s">
        <v>128</v>
      </c>
      <c r="H202" s="5" t="s">
        <v>129</v>
      </c>
      <c r="I202" s="5"/>
      <c r="J202" s="5"/>
      <c r="K202" s="5">
        <v>231</v>
      </c>
      <c r="L202" s="5">
        <v>12</v>
      </c>
      <c r="M202" s="5">
        <v>3</v>
      </c>
      <c r="N202" s="5" t="s">
        <v>3</v>
      </c>
      <c r="O202" s="5">
        <v>2</v>
      </c>
      <c r="P202" s="5">
        <f>ROUND(Source!ET189,O202)</f>
        <v>0</v>
      </c>
      <c r="Q202" s="5"/>
      <c r="R202" s="5"/>
      <c r="S202" s="5"/>
      <c r="T202" s="5"/>
      <c r="U202" s="5"/>
      <c r="V202" s="5"/>
      <c r="W202" s="5">
        <v>0</v>
      </c>
      <c r="X202" s="5">
        <v>1</v>
      </c>
      <c r="Y202" s="5">
        <v>0</v>
      </c>
      <c r="Z202" s="5">
        <v>0</v>
      </c>
      <c r="AA202" s="5">
        <v>1</v>
      </c>
      <c r="AB202" s="5">
        <v>0</v>
      </c>
    </row>
    <row r="203" spans="1:28" x14ac:dyDescent="0.2">
      <c r="A203" s="5">
        <v>50</v>
      </c>
      <c r="B203" s="5">
        <v>0</v>
      </c>
      <c r="C203" s="5">
        <v>0</v>
      </c>
      <c r="D203" s="5">
        <v>1</v>
      </c>
      <c r="E203" s="5">
        <v>204</v>
      </c>
      <c r="F203" s="5">
        <f>ROUND(Source!R189,O203)</f>
        <v>0.04</v>
      </c>
      <c r="G203" s="5" t="s">
        <v>130</v>
      </c>
      <c r="H203" s="5" t="s">
        <v>131</v>
      </c>
      <c r="I203" s="5"/>
      <c r="J203" s="5"/>
      <c r="K203" s="5">
        <v>204</v>
      </c>
      <c r="L203" s="5">
        <v>13</v>
      </c>
      <c r="M203" s="5">
        <v>3</v>
      </c>
      <c r="N203" s="5" t="s">
        <v>3</v>
      </c>
      <c r="O203" s="5">
        <v>2</v>
      </c>
      <c r="P203" s="5">
        <f>ROUND(Source!DJ189,O203)</f>
        <v>1.38</v>
      </c>
      <c r="Q203" s="5"/>
      <c r="R203" s="5"/>
      <c r="S203" s="5"/>
      <c r="T203" s="5"/>
      <c r="U203" s="5"/>
      <c r="V203" s="5"/>
      <c r="W203" s="5">
        <v>0.04</v>
      </c>
      <c r="X203" s="5">
        <v>1</v>
      </c>
      <c r="Y203" s="5">
        <v>0.04</v>
      </c>
      <c r="Z203" s="5">
        <v>1.38</v>
      </c>
      <c r="AA203" s="5">
        <v>1</v>
      </c>
      <c r="AB203" s="5">
        <v>1.38</v>
      </c>
    </row>
    <row r="204" spans="1:28" x14ac:dyDescent="0.2">
      <c r="A204" s="5">
        <v>50</v>
      </c>
      <c r="B204" s="5">
        <v>0</v>
      </c>
      <c r="C204" s="5">
        <v>0</v>
      </c>
      <c r="D204" s="5">
        <v>1</v>
      </c>
      <c r="E204" s="5">
        <v>205</v>
      </c>
      <c r="F204" s="5">
        <f>ROUND(Source!S189,O204)</f>
        <v>25.98</v>
      </c>
      <c r="G204" s="5" t="s">
        <v>132</v>
      </c>
      <c r="H204" s="5" t="s">
        <v>133</v>
      </c>
      <c r="I204" s="5"/>
      <c r="J204" s="5"/>
      <c r="K204" s="5">
        <v>205</v>
      </c>
      <c r="L204" s="5">
        <v>14</v>
      </c>
      <c r="M204" s="5">
        <v>3</v>
      </c>
      <c r="N204" s="5" t="s">
        <v>3</v>
      </c>
      <c r="O204" s="5">
        <v>2</v>
      </c>
      <c r="P204" s="5">
        <f>ROUND(Source!DK189,O204)</f>
        <v>896.57</v>
      </c>
      <c r="Q204" s="5"/>
      <c r="R204" s="5"/>
      <c r="S204" s="5"/>
      <c r="T204" s="5"/>
      <c r="U204" s="5"/>
      <c r="V204" s="5"/>
      <c r="W204" s="5">
        <v>25.98</v>
      </c>
      <c r="X204" s="5">
        <v>1</v>
      </c>
      <c r="Y204" s="5">
        <v>25.98</v>
      </c>
      <c r="Z204" s="5">
        <v>896.57</v>
      </c>
      <c r="AA204" s="5">
        <v>1</v>
      </c>
      <c r="AB204" s="5">
        <v>896.57</v>
      </c>
    </row>
    <row r="205" spans="1:28" x14ac:dyDescent="0.2">
      <c r="A205" s="5">
        <v>50</v>
      </c>
      <c r="B205" s="5">
        <v>0</v>
      </c>
      <c r="C205" s="5">
        <v>0</v>
      </c>
      <c r="D205" s="5">
        <v>1</v>
      </c>
      <c r="E205" s="5">
        <v>232</v>
      </c>
      <c r="F205" s="5">
        <f>ROUND(Source!BC189,O205)</f>
        <v>0</v>
      </c>
      <c r="G205" s="5" t="s">
        <v>134</v>
      </c>
      <c r="H205" s="5" t="s">
        <v>135</v>
      </c>
      <c r="I205" s="5"/>
      <c r="J205" s="5"/>
      <c r="K205" s="5">
        <v>232</v>
      </c>
      <c r="L205" s="5">
        <v>15</v>
      </c>
      <c r="M205" s="5">
        <v>3</v>
      </c>
      <c r="N205" s="5" t="s">
        <v>3</v>
      </c>
      <c r="O205" s="5">
        <v>2</v>
      </c>
      <c r="P205" s="5">
        <f>ROUND(Source!EU189,O205)</f>
        <v>0</v>
      </c>
      <c r="Q205" s="5"/>
      <c r="R205" s="5"/>
      <c r="S205" s="5"/>
      <c r="T205" s="5"/>
      <c r="U205" s="5"/>
      <c r="V205" s="5"/>
      <c r="W205" s="5">
        <v>0</v>
      </c>
      <c r="X205" s="5">
        <v>1</v>
      </c>
      <c r="Y205" s="5">
        <v>0</v>
      </c>
      <c r="Z205" s="5">
        <v>0</v>
      </c>
      <c r="AA205" s="5">
        <v>1</v>
      </c>
      <c r="AB205" s="5">
        <v>0</v>
      </c>
    </row>
    <row r="206" spans="1:28" x14ac:dyDescent="0.2">
      <c r="A206" s="5">
        <v>50</v>
      </c>
      <c r="B206" s="5">
        <v>0</v>
      </c>
      <c r="C206" s="5">
        <v>0</v>
      </c>
      <c r="D206" s="5">
        <v>1</v>
      </c>
      <c r="E206" s="5">
        <v>214</v>
      </c>
      <c r="F206" s="5">
        <f>ROUND(Source!AS189,O206)</f>
        <v>233.99</v>
      </c>
      <c r="G206" s="5" t="s">
        <v>136</v>
      </c>
      <c r="H206" s="5" t="s">
        <v>137</v>
      </c>
      <c r="I206" s="5"/>
      <c r="J206" s="5"/>
      <c r="K206" s="5">
        <v>214</v>
      </c>
      <c r="L206" s="5">
        <v>16</v>
      </c>
      <c r="M206" s="5">
        <v>3</v>
      </c>
      <c r="N206" s="5" t="s">
        <v>3</v>
      </c>
      <c r="O206" s="5">
        <v>2</v>
      </c>
      <c r="P206" s="5">
        <f>ROUND(Source!EK189,O206)</f>
        <v>3154.17</v>
      </c>
      <c r="Q206" s="5"/>
      <c r="R206" s="5"/>
      <c r="S206" s="5"/>
      <c r="T206" s="5"/>
      <c r="U206" s="5"/>
      <c r="V206" s="5"/>
      <c r="W206" s="5">
        <v>233.99</v>
      </c>
      <c r="X206" s="5">
        <v>1</v>
      </c>
      <c r="Y206" s="5">
        <v>233.99</v>
      </c>
      <c r="Z206" s="5">
        <v>3154.17</v>
      </c>
      <c r="AA206" s="5">
        <v>1</v>
      </c>
      <c r="AB206" s="5">
        <v>3154.17</v>
      </c>
    </row>
    <row r="207" spans="1:28" x14ac:dyDescent="0.2">
      <c r="A207" s="5">
        <v>50</v>
      </c>
      <c r="B207" s="5">
        <v>0</v>
      </c>
      <c r="C207" s="5">
        <v>0</v>
      </c>
      <c r="D207" s="5">
        <v>1</v>
      </c>
      <c r="E207" s="5">
        <v>215</v>
      </c>
      <c r="F207" s="5">
        <f>ROUND(Source!AT189,O207)</f>
        <v>0</v>
      </c>
      <c r="G207" s="5" t="s">
        <v>138</v>
      </c>
      <c r="H207" s="5" t="s">
        <v>139</v>
      </c>
      <c r="I207" s="5"/>
      <c r="J207" s="5"/>
      <c r="K207" s="5">
        <v>215</v>
      </c>
      <c r="L207" s="5">
        <v>17</v>
      </c>
      <c r="M207" s="5">
        <v>3</v>
      </c>
      <c r="N207" s="5" t="s">
        <v>3</v>
      </c>
      <c r="O207" s="5">
        <v>2</v>
      </c>
      <c r="P207" s="5">
        <f>ROUND(Source!EL189,O207)</f>
        <v>0</v>
      </c>
      <c r="Q207" s="5"/>
      <c r="R207" s="5"/>
      <c r="S207" s="5"/>
      <c r="T207" s="5"/>
      <c r="U207" s="5"/>
      <c r="V207" s="5"/>
      <c r="W207" s="5">
        <v>0</v>
      </c>
      <c r="X207" s="5">
        <v>1</v>
      </c>
      <c r="Y207" s="5">
        <v>0</v>
      </c>
      <c r="Z207" s="5">
        <v>0</v>
      </c>
      <c r="AA207" s="5">
        <v>1</v>
      </c>
      <c r="AB207" s="5">
        <v>0</v>
      </c>
    </row>
    <row r="208" spans="1:28" x14ac:dyDescent="0.2">
      <c r="A208" s="5">
        <v>50</v>
      </c>
      <c r="B208" s="5">
        <v>0</v>
      </c>
      <c r="C208" s="5">
        <v>0</v>
      </c>
      <c r="D208" s="5">
        <v>1</v>
      </c>
      <c r="E208" s="5">
        <v>217</v>
      </c>
      <c r="F208" s="5">
        <f>ROUND(Source!AU189,O208)</f>
        <v>0</v>
      </c>
      <c r="G208" s="5" t="s">
        <v>140</v>
      </c>
      <c r="H208" s="5" t="s">
        <v>141</v>
      </c>
      <c r="I208" s="5"/>
      <c r="J208" s="5"/>
      <c r="K208" s="5">
        <v>217</v>
      </c>
      <c r="L208" s="5">
        <v>18</v>
      </c>
      <c r="M208" s="5">
        <v>3</v>
      </c>
      <c r="N208" s="5" t="s">
        <v>3</v>
      </c>
      <c r="O208" s="5">
        <v>2</v>
      </c>
      <c r="P208" s="5">
        <f>ROUND(Source!EM189,O208)</f>
        <v>0</v>
      </c>
      <c r="Q208" s="5"/>
      <c r="R208" s="5"/>
      <c r="S208" s="5"/>
      <c r="T208" s="5"/>
      <c r="U208" s="5"/>
      <c r="V208" s="5"/>
      <c r="W208" s="5">
        <v>0</v>
      </c>
      <c r="X208" s="5">
        <v>1</v>
      </c>
      <c r="Y208" s="5">
        <v>0</v>
      </c>
      <c r="Z208" s="5">
        <v>0</v>
      </c>
      <c r="AA208" s="5">
        <v>1</v>
      </c>
      <c r="AB208" s="5">
        <v>0</v>
      </c>
    </row>
    <row r="209" spans="1:255" x14ac:dyDescent="0.2">
      <c r="A209" s="5">
        <v>50</v>
      </c>
      <c r="B209" s="5">
        <v>0</v>
      </c>
      <c r="C209" s="5">
        <v>0</v>
      </c>
      <c r="D209" s="5">
        <v>1</v>
      </c>
      <c r="E209" s="5">
        <v>230</v>
      </c>
      <c r="F209" s="5">
        <f>ROUND(Source!BA189,O209)</f>
        <v>0</v>
      </c>
      <c r="G209" s="5" t="s">
        <v>142</v>
      </c>
      <c r="H209" s="5" t="s">
        <v>143</v>
      </c>
      <c r="I209" s="5"/>
      <c r="J209" s="5"/>
      <c r="K209" s="5">
        <v>230</v>
      </c>
      <c r="L209" s="5">
        <v>19</v>
      </c>
      <c r="M209" s="5">
        <v>3</v>
      </c>
      <c r="N209" s="5" t="s">
        <v>3</v>
      </c>
      <c r="O209" s="5">
        <v>2</v>
      </c>
      <c r="P209" s="5">
        <f>ROUND(Source!ES189,O209)</f>
        <v>0</v>
      </c>
      <c r="Q209" s="5"/>
      <c r="R209" s="5"/>
      <c r="S209" s="5"/>
      <c r="T209" s="5"/>
      <c r="U209" s="5"/>
      <c r="V209" s="5"/>
      <c r="W209" s="5">
        <v>0</v>
      </c>
      <c r="X209" s="5">
        <v>1</v>
      </c>
      <c r="Y209" s="5">
        <v>0</v>
      </c>
      <c r="Z209" s="5">
        <v>0</v>
      </c>
      <c r="AA209" s="5">
        <v>1</v>
      </c>
      <c r="AB209" s="5">
        <v>0</v>
      </c>
    </row>
    <row r="210" spans="1:255" x14ac:dyDescent="0.2">
      <c r="A210" s="5">
        <v>50</v>
      </c>
      <c r="B210" s="5">
        <v>0</v>
      </c>
      <c r="C210" s="5">
        <v>0</v>
      </c>
      <c r="D210" s="5">
        <v>1</v>
      </c>
      <c r="E210" s="5">
        <v>206</v>
      </c>
      <c r="F210" s="5">
        <f>ROUND(Source!T189,O210)</f>
        <v>0</v>
      </c>
      <c r="G210" s="5" t="s">
        <v>144</v>
      </c>
      <c r="H210" s="5" t="s">
        <v>145</v>
      </c>
      <c r="I210" s="5"/>
      <c r="J210" s="5"/>
      <c r="K210" s="5">
        <v>206</v>
      </c>
      <c r="L210" s="5">
        <v>20</v>
      </c>
      <c r="M210" s="5">
        <v>3</v>
      </c>
      <c r="N210" s="5" t="s">
        <v>3</v>
      </c>
      <c r="O210" s="5">
        <v>2</v>
      </c>
      <c r="P210" s="5">
        <f>ROUND(Source!DL189,O210)</f>
        <v>0</v>
      </c>
      <c r="Q210" s="5"/>
      <c r="R210" s="5"/>
      <c r="S210" s="5"/>
      <c r="T210" s="5"/>
      <c r="U210" s="5"/>
      <c r="V210" s="5"/>
      <c r="W210" s="5">
        <v>0</v>
      </c>
      <c r="X210" s="5">
        <v>1</v>
      </c>
      <c r="Y210" s="5">
        <v>0</v>
      </c>
      <c r="Z210" s="5">
        <v>0</v>
      </c>
      <c r="AA210" s="5">
        <v>1</v>
      </c>
      <c r="AB210" s="5">
        <v>0</v>
      </c>
    </row>
    <row r="211" spans="1:255" x14ac:dyDescent="0.2">
      <c r="A211" s="5">
        <v>50</v>
      </c>
      <c r="B211" s="5">
        <v>0</v>
      </c>
      <c r="C211" s="5">
        <v>0</v>
      </c>
      <c r="D211" s="5">
        <v>1</v>
      </c>
      <c r="E211" s="5">
        <v>207</v>
      </c>
      <c r="F211" s="5">
        <f>Source!U189</f>
        <v>2.4638625000000003</v>
      </c>
      <c r="G211" s="5" t="s">
        <v>146</v>
      </c>
      <c r="H211" s="5" t="s">
        <v>147</v>
      </c>
      <c r="I211" s="5"/>
      <c r="J211" s="5"/>
      <c r="K211" s="5">
        <v>207</v>
      </c>
      <c r="L211" s="5">
        <v>21</v>
      </c>
      <c r="M211" s="5">
        <v>3</v>
      </c>
      <c r="N211" s="5" t="s">
        <v>3</v>
      </c>
      <c r="O211" s="5">
        <v>-1</v>
      </c>
      <c r="P211" s="5">
        <f>Source!DM189</f>
        <v>2.4638625000000003</v>
      </c>
      <c r="Q211" s="5"/>
      <c r="R211" s="5"/>
      <c r="S211" s="5"/>
      <c r="T211" s="5"/>
      <c r="U211" s="5"/>
      <c r="V211" s="5"/>
      <c r="W211" s="5">
        <v>2.4638624999999998</v>
      </c>
      <c r="X211" s="5">
        <v>1</v>
      </c>
      <c r="Y211" s="5">
        <v>2.4638624999999998</v>
      </c>
      <c r="Z211" s="5">
        <v>2.4638624999999998</v>
      </c>
      <c r="AA211" s="5">
        <v>1</v>
      </c>
      <c r="AB211" s="5">
        <v>2.4638624999999998</v>
      </c>
    </row>
    <row r="212" spans="1:255" x14ac:dyDescent="0.2">
      <c r="A212" s="5">
        <v>50</v>
      </c>
      <c r="B212" s="5">
        <v>0</v>
      </c>
      <c r="C212" s="5">
        <v>0</v>
      </c>
      <c r="D212" s="5">
        <v>1</v>
      </c>
      <c r="E212" s="5">
        <v>208</v>
      </c>
      <c r="F212" s="5">
        <f>Source!V189</f>
        <v>0</v>
      </c>
      <c r="G212" s="5" t="s">
        <v>148</v>
      </c>
      <c r="H212" s="5" t="s">
        <v>149</v>
      </c>
      <c r="I212" s="5"/>
      <c r="J212" s="5"/>
      <c r="K212" s="5">
        <v>208</v>
      </c>
      <c r="L212" s="5">
        <v>22</v>
      </c>
      <c r="M212" s="5">
        <v>3</v>
      </c>
      <c r="N212" s="5" t="s">
        <v>3</v>
      </c>
      <c r="O212" s="5">
        <v>-1</v>
      </c>
      <c r="P212" s="5">
        <f>Source!DN189</f>
        <v>0</v>
      </c>
      <c r="Q212" s="5"/>
      <c r="R212" s="5"/>
      <c r="S212" s="5"/>
      <c r="T212" s="5"/>
      <c r="U212" s="5"/>
      <c r="V212" s="5"/>
      <c r="W212" s="5">
        <v>0</v>
      </c>
      <c r="X212" s="5">
        <v>1</v>
      </c>
      <c r="Y212" s="5">
        <v>0</v>
      </c>
      <c r="Z212" s="5">
        <v>0</v>
      </c>
      <c r="AA212" s="5">
        <v>1</v>
      </c>
      <c r="AB212" s="5">
        <v>0</v>
      </c>
    </row>
    <row r="213" spans="1:255" x14ac:dyDescent="0.2">
      <c r="A213" s="5">
        <v>50</v>
      </c>
      <c r="B213" s="5">
        <v>0</v>
      </c>
      <c r="C213" s="5">
        <v>0</v>
      </c>
      <c r="D213" s="5">
        <v>1</v>
      </c>
      <c r="E213" s="5">
        <v>209</v>
      </c>
      <c r="F213" s="5">
        <f>ROUND(Source!W189,O213)</f>
        <v>0</v>
      </c>
      <c r="G213" s="5" t="s">
        <v>150</v>
      </c>
      <c r="H213" s="5" t="s">
        <v>151</v>
      </c>
      <c r="I213" s="5"/>
      <c r="J213" s="5"/>
      <c r="K213" s="5">
        <v>209</v>
      </c>
      <c r="L213" s="5">
        <v>23</v>
      </c>
      <c r="M213" s="5">
        <v>3</v>
      </c>
      <c r="N213" s="5" t="s">
        <v>3</v>
      </c>
      <c r="O213" s="5">
        <v>2</v>
      </c>
      <c r="P213" s="5">
        <f>ROUND(Source!DO189,O213)</f>
        <v>0</v>
      </c>
      <c r="Q213" s="5"/>
      <c r="R213" s="5"/>
      <c r="S213" s="5"/>
      <c r="T213" s="5"/>
      <c r="U213" s="5"/>
      <c r="V213" s="5"/>
      <c r="W213" s="5">
        <v>0</v>
      </c>
      <c r="X213" s="5">
        <v>1</v>
      </c>
      <c r="Y213" s="5">
        <v>0</v>
      </c>
      <c r="Z213" s="5">
        <v>0</v>
      </c>
      <c r="AA213" s="5">
        <v>1</v>
      </c>
      <c r="AB213" s="5">
        <v>0</v>
      </c>
    </row>
    <row r="214" spans="1:255" x14ac:dyDescent="0.2">
      <c r="A214" s="5">
        <v>50</v>
      </c>
      <c r="B214" s="5">
        <v>0</v>
      </c>
      <c r="C214" s="5">
        <v>0</v>
      </c>
      <c r="D214" s="5">
        <v>1</v>
      </c>
      <c r="E214" s="5">
        <v>233</v>
      </c>
      <c r="F214" s="5">
        <f>ROUND(Source!BD189,O214)</f>
        <v>0</v>
      </c>
      <c r="G214" s="5" t="s">
        <v>152</v>
      </c>
      <c r="H214" s="5" t="s">
        <v>153</v>
      </c>
      <c r="I214" s="5"/>
      <c r="J214" s="5"/>
      <c r="K214" s="5">
        <v>233</v>
      </c>
      <c r="L214" s="5">
        <v>24</v>
      </c>
      <c r="M214" s="5">
        <v>3</v>
      </c>
      <c r="N214" s="5" t="s">
        <v>3</v>
      </c>
      <c r="O214" s="5">
        <v>2</v>
      </c>
      <c r="P214" s="5">
        <f>ROUND(Source!EV189,O214)</f>
        <v>0</v>
      </c>
      <c r="Q214" s="5"/>
      <c r="R214" s="5"/>
      <c r="S214" s="5"/>
      <c r="T214" s="5"/>
      <c r="U214" s="5"/>
      <c r="V214" s="5"/>
      <c r="W214" s="5">
        <v>0</v>
      </c>
      <c r="X214" s="5">
        <v>1</v>
      </c>
      <c r="Y214" s="5">
        <v>0</v>
      </c>
      <c r="Z214" s="5">
        <v>0</v>
      </c>
      <c r="AA214" s="5">
        <v>1</v>
      </c>
      <c r="AB214" s="5">
        <v>0</v>
      </c>
    </row>
    <row r="215" spans="1:255" x14ac:dyDescent="0.2">
      <c r="A215" s="5">
        <v>50</v>
      </c>
      <c r="B215" s="5">
        <v>0</v>
      </c>
      <c r="C215" s="5">
        <v>0</v>
      </c>
      <c r="D215" s="5">
        <v>1</v>
      </c>
      <c r="E215" s="5">
        <v>210</v>
      </c>
      <c r="F215" s="5">
        <f>ROUND(Source!X189,O215)</f>
        <v>48.58</v>
      </c>
      <c r="G215" s="5" t="s">
        <v>154</v>
      </c>
      <c r="H215" s="5" t="s">
        <v>155</v>
      </c>
      <c r="I215" s="5"/>
      <c r="J215" s="5"/>
      <c r="K215" s="5">
        <v>210</v>
      </c>
      <c r="L215" s="5">
        <v>25</v>
      </c>
      <c r="M215" s="5">
        <v>3</v>
      </c>
      <c r="N215" s="5" t="s">
        <v>3</v>
      </c>
      <c r="O215" s="5">
        <v>2</v>
      </c>
      <c r="P215" s="5">
        <f>ROUND(Source!DP189,O215)</f>
        <v>941.4</v>
      </c>
      <c r="Q215" s="5"/>
      <c r="R215" s="5"/>
      <c r="S215" s="5"/>
      <c r="T215" s="5"/>
      <c r="U215" s="5"/>
      <c r="V215" s="5"/>
      <c r="W215" s="5">
        <v>48.58</v>
      </c>
      <c r="X215" s="5">
        <v>1</v>
      </c>
      <c r="Y215" s="5">
        <v>48.58</v>
      </c>
      <c r="Z215" s="5">
        <v>941.4</v>
      </c>
      <c r="AA215" s="5">
        <v>1</v>
      </c>
      <c r="AB215" s="5">
        <v>941.4</v>
      </c>
    </row>
    <row r="216" spans="1:255" x14ac:dyDescent="0.2">
      <c r="A216" s="5">
        <v>50</v>
      </c>
      <c r="B216" s="5">
        <v>0</v>
      </c>
      <c r="C216" s="5">
        <v>0</v>
      </c>
      <c r="D216" s="5">
        <v>1</v>
      </c>
      <c r="E216" s="5">
        <v>211</v>
      </c>
      <c r="F216" s="5">
        <f>ROUND(Source!Y189,O216)</f>
        <v>26.24</v>
      </c>
      <c r="G216" s="5" t="s">
        <v>156</v>
      </c>
      <c r="H216" s="5" t="s">
        <v>157</v>
      </c>
      <c r="I216" s="5"/>
      <c r="J216" s="5"/>
      <c r="K216" s="5">
        <v>211</v>
      </c>
      <c r="L216" s="5">
        <v>26</v>
      </c>
      <c r="M216" s="5">
        <v>3</v>
      </c>
      <c r="N216" s="5" t="s">
        <v>3</v>
      </c>
      <c r="O216" s="5">
        <v>2</v>
      </c>
      <c r="P216" s="5">
        <f>ROUND(Source!DQ189,O216)</f>
        <v>430.34</v>
      </c>
      <c r="Q216" s="5"/>
      <c r="R216" s="5"/>
      <c r="S216" s="5"/>
      <c r="T216" s="5"/>
      <c r="U216" s="5"/>
      <c r="V216" s="5"/>
      <c r="W216" s="5">
        <v>26.24</v>
      </c>
      <c r="X216" s="5">
        <v>1</v>
      </c>
      <c r="Y216" s="5">
        <v>26.24</v>
      </c>
      <c r="Z216" s="5">
        <v>430.34</v>
      </c>
      <c r="AA216" s="5">
        <v>1</v>
      </c>
      <c r="AB216" s="5">
        <v>430.34</v>
      </c>
    </row>
    <row r="217" spans="1:255" x14ac:dyDescent="0.2">
      <c r="A217" s="5">
        <v>50</v>
      </c>
      <c r="B217" s="5">
        <v>0</v>
      </c>
      <c r="C217" s="5">
        <v>0</v>
      </c>
      <c r="D217" s="5">
        <v>1</v>
      </c>
      <c r="E217" s="5">
        <v>224</v>
      </c>
      <c r="F217" s="5">
        <f>ROUND(Source!AR189,O217)</f>
        <v>233.99</v>
      </c>
      <c r="G217" s="5" t="s">
        <v>158</v>
      </c>
      <c r="H217" s="5" t="s">
        <v>159</v>
      </c>
      <c r="I217" s="5"/>
      <c r="J217" s="5"/>
      <c r="K217" s="5">
        <v>224</v>
      </c>
      <c r="L217" s="5">
        <v>27</v>
      </c>
      <c r="M217" s="5">
        <v>3</v>
      </c>
      <c r="N217" s="5" t="s">
        <v>3</v>
      </c>
      <c r="O217" s="5">
        <v>2</v>
      </c>
      <c r="P217" s="5">
        <f>ROUND(Source!EJ189,O217)</f>
        <v>3154.17</v>
      </c>
      <c r="Q217" s="5"/>
      <c r="R217" s="5"/>
      <c r="S217" s="5"/>
      <c r="T217" s="5"/>
      <c r="U217" s="5"/>
      <c r="V217" s="5"/>
      <c r="W217" s="5">
        <v>233.99</v>
      </c>
      <c r="X217" s="5">
        <v>1</v>
      </c>
      <c r="Y217" s="5">
        <v>233.99</v>
      </c>
      <c r="Z217" s="5">
        <v>3154.17</v>
      </c>
      <c r="AA217" s="5">
        <v>1</v>
      </c>
      <c r="AB217" s="5">
        <v>3154.17</v>
      </c>
    </row>
    <row r="219" spans="1:255" x14ac:dyDescent="0.2">
      <c r="A219" s="1">
        <v>5</v>
      </c>
      <c r="B219" s="1">
        <v>1</v>
      </c>
      <c r="C219" s="1"/>
      <c r="D219" s="1">
        <f>ROW(A258)</f>
        <v>258</v>
      </c>
      <c r="E219" s="1"/>
      <c r="F219" s="1" t="s">
        <v>245</v>
      </c>
      <c r="G219" s="1" t="s">
        <v>276</v>
      </c>
      <c r="H219" s="1" t="s">
        <v>3</v>
      </c>
      <c r="I219" s="1">
        <v>0</v>
      </c>
      <c r="J219" s="1"/>
      <c r="K219" s="1">
        <v>0</v>
      </c>
      <c r="L219" s="1"/>
      <c r="M219" s="1" t="s">
        <v>3</v>
      </c>
      <c r="N219" s="1"/>
      <c r="O219" s="1"/>
      <c r="P219" s="1"/>
      <c r="Q219" s="1"/>
      <c r="R219" s="1"/>
      <c r="S219" s="1">
        <v>0</v>
      </c>
      <c r="T219" s="1">
        <v>0</v>
      </c>
      <c r="U219" s="1" t="s">
        <v>3</v>
      </c>
      <c r="V219" s="1">
        <v>0</v>
      </c>
      <c r="W219" s="1"/>
      <c r="X219" s="1"/>
      <c r="Y219" s="1"/>
      <c r="Z219" s="1"/>
      <c r="AA219" s="1"/>
      <c r="AB219" s="1" t="s">
        <v>3</v>
      </c>
      <c r="AC219" s="1" t="s">
        <v>3</v>
      </c>
      <c r="AD219" s="1" t="s">
        <v>3</v>
      </c>
      <c r="AE219" s="1" t="s">
        <v>3</v>
      </c>
      <c r="AF219" s="1" t="s">
        <v>3</v>
      </c>
      <c r="AG219" s="1" t="s">
        <v>3</v>
      </c>
      <c r="AH219" s="1"/>
      <c r="AI219" s="1"/>
      <c r="AJ219" s="1"/>
      <c r="AK219" s="1"/>
      <c r="AL219" s="1"/>
      <c r="AM219" s="1"/>
      <c r="AN219" s="1"/>
      <c r="AO219" s="1"/>
      <c r="AP219" s="1" t="s">
        <v>3</v>
      </c>
      <c r="AQ219" s="1" t="s">
        <v>3</v>
      </c>
      <c r="AR219" s="1" t="s">
        <v>3</v>
      </c>
      <c r="AS219" s="1"/>
      <c r="AT219" s="1"/>
      <c r="AU219" s="1"/>
      <c r="AV219" s="1"/>
      <c r="AW219" s="1"/>
      <c r="AX219" s="1"/>
      <c r="AY219" s="1"/>
      <c r="AZ219" s="1" t="s">
        <v>3</v>
      </c>
      <c r="BA219" s="1"/>
      <c r="BB219" s="1" t="s">
        <v>3</v>
      </c>
      <c r="BC219" s="1" t="s">
        <v>3</v>
      </c>
      <c r="BD219" s="1" t="s">
        <v>3</v>
      </c>
      <c r="BE219" s="1" t="s">
        <v>3</v>
      </c>
      <c r="BF219" s="1" t="s">
        <v>3</v>
      </c>
      <c r="BG219" s="1" t="s">
        <v>3</v>
      </c>
      <c r="BH219" s="1" t="s">
        <v>3</v>
      </c>
      <c r="BI219" s="1" t="s">
        <v>3</v>
      </c>
      <c r="BJ219" s="1" t="s">
        <v>3</v>
      </c>
      <c r="BK219" s="1" t="s">
        <v>3</v>
      </c>
      <c r="BL219" s="1" t="s">
        <v>3</v>
      </c>
      <c r="BM219" s="1" t="s">
        <v>3</v>
      </c>
      <c r="BN219" s="1" t="s">
        <v>3</v>
      </c>
      <c r="BO219" s="1" t="s">
        <v>3</v>
      </c>
      <c r="BP219" s="1" t="s">
        <v>3</v>
      </c>
      <c r="BQ219" s="1"/>
      <c r="BR219" s="1"/>
      <c r="BS219" s="1"/>
      <c r="BT219" s="1"/>
      <c r="BU219" s="1"/>
      <c r="BV219" s="1"/>
      <c r="BW219" s="1"/>
      <c r="BX219" s="1">
        <v>0</v>
      </c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>
        <v>0</v>
      </c>
    </row>
    <row r="221" spans="1:255" x14ac:dyDescent="0.2">
      <c r="A221" s="3">
        <v>52</v>
      </c>
      <c r="B221" s="3">
        <f t="shared" ref="B221:G221" si="169">B258</f>
        <v>1</v>
      </c>
      <c r="C221" s="3">
        <f t="shared" si="169"/>
        <v>5</v>
      </c>
      <c r="D221" s="3">
        <f t="shared" si="169"/>
        <v>219</v>
      </c>
      <c r="E221" s="3">
        <f t="shared" si="169"/>
        <v>0</v>
      </c>
      <c r="F221" s="3" t="str">
        <f t="shared" si="169"/>
        <v>Новый подраздел</v>
      </c>
      <c r="G221" s="3" t="str">
        <f t="shared" si="169"/>
        <v>Дорога</v>
      </c>
      <c r="H221" s="3"/>
      <c r="I221" s="3"/>
      <c r="J221" s="3"/>
      <c r="K221" s="3"/>
      <c r="L221" s="3"/>
      <c r="M221" s="3"/>
      <c r="N221" s="3"/>
      <c r="O221" s="3">
        <f t="shared" ref="O221:AT221" si="170">O258</f>
        <v>497.15</v>
      </c>
      <c r="P221" s="3">
        <f t="shared" si="170"/>
        <v>405.38</v>
      </c>
      <c r="Q221" s="3">
        <f t="shared" si="170"/>
        <v>74.52</v>
      </c>
      <c r="R221" s="3">
        <f t="shared" si="170"/>
        <v>8.51</v>
      </c>
      <c r="S221" s="3">
        <f t="shared" si="170"/>
        <v>17.25</v>
      </c>
      <c r="T221" s="3">
        <f t="shared" si="170"/>
        <v>0</v>
      </c>
      <c r="U221" s="3">
        <f t="shared" si="170"/>
        <v>1.5016164042</v>
      </c>
      <c r="V221" s="3">
        <f t="shared" si="170"/>
        <v>0</v>
      </c>
      <c r="W221" s="3">
        <f t="shared" si="170"/>
        <v>0</v>
      </c>
      <c r="X221" s="3">
        <f t="shared" si="170"/>
        <v>21.62</v>
      </c>
      <c r="Y221" s="3">
        <f t="shared" si="170"/>
        <v>14.51</v>
      </c>
      <c r="Z221" s="3">
        <f t="shared" si="170"/>
        <v>0</v>
      </c>
      <c r="AA221" s="3">
        <f t="shared" si="170"/>
        <v>0</v>
      </c>
      <c r="AB221" s="3">
        <f t="shared" si="170"/>
        <v>497.15</v>
      </c>
      <c r="AC221" s="3">
        <f t="shared" si="170"/>
        <v>405.38</v>
      </c>
      <c r="AD221" s="3">
        <f t="shared" si="170"/>
        <v>74.52</v>
      </c>
      <c r="AE221" s="3">
        <f t="shared" si="170"/>
        <v>8.51</v>
      </c>
      <c r="AF221" s="3">
        <f t="shared" si="170"/>
        <v>17.25</v>
      </c>
      <c r="AG221" s="3">
        <f t="shared" si="170"/>
        <v>0</v>
      </c>
      <c r="AH221" s="3">
        <f t="shared" si="170"/>
        <v>1.5016164042</v>
      </c>
      <c r="AI221" s="3">
        <f t="shared" si="170"/>
        <v>0</v>
      </c>
      <c r="AJ221" s="3">
        <f t="shared" si="170"/>
        <v>0</v>
      </c>
      <c r="AK221" s="3">
        <f t="shared" si="170"/>
        <v>21.62</v>
      </c>
      <c r="AL221" s="3">
        <f t="shared" si="170"/>
        <v>14.51</v>
      </c>
      <c r="AM221" s="3">
        <f t="shared" si="170"/>
        <v>0</v>
      </c>
      <c r="AN221" s="3">
        <f t="shared" si="170"/>
        <v>0</v>
      </c>
      <c r="AO221" s="3">
        <f t="shared" si="170"/>
        <v>0</v>
      </c>
      <c r="AP221" s="3">
        <f t="shared" si="170"/>
        <v>0</v>
      </c>
      <c r="AQ221" s="3">
        <f t="shared" si="170"/>
        <v>0</v>
      </c>
      <c r="AR221" s="3">
        <f t="shared" si="170"/>
        <v>548.19000000000005</v>
      </c>
      <c r="AS221" s="3">
        <f t="shared" si="170"/>
        <v>548.19000000000005</v>
      </c>
      <c r="AT221" s="3">
        <f t="shared" si="170"/>
        <v>0</v>
      </c>
      <c r="AU221" s="3">
        <f t="shared" ref="AU221:BZ221" si="171">AU258</f>
        <v>0</v>
      </c>
      <c r="AV221" s="3">
        <f t="shared" si="171"/>
        <v>405.38</v>
      </c>
      <c r="AW221" s="3">
        <f t="shared" si="171"/>
        <v>405.38</v>
      </c>
      <c r="AX221" s="3">
        <f t="shared" si="171"/>
        <v>0</v>
      </c>
      <c r="AY221" s="3">
        <f t="shared" si="171"/>
        <v>405.38</v>
      </c>
      <c r="AZ221" s="3">
        <f t="shared" si="171"/>
        <v>0</v>
      </c>
      <c r="BA221" s="3">
        <f t="shared" si="171"/>
        <v>0</v>
      </c>
      <c r="BB221" s="3">
        <f t="shared" si="171"/>
        <v>0</v>
      </c>
      <c r="BC221" s="3">
        <f t="shared" si="171"/>
        <v>0</v>
      </c>
      <c r="BD221" s="3">
        <f t="shared" si="171"/>
        <v>0</v>
      </c>
      <c r="BE221" s="3">
        <f t="shared" si="171"/>
        <v>0</v>
      </c>
      <c r="BF221" s="3">
        <f t="shared" si="171"/>
        <v>0</v>
      </c>
      <c r="BG221" s="3">
        <f t="shared" si="171"/>
        <v>0</v>
      </c>
      <c r="BH221" s="3">
        <f t="shared" si="171"/>
        <v>0</v>
      </c>
      <c r="BI221" s="3">
        <f t="shared" si="171"/>
        <v>0</v>
      </c>
      <c r="BJ221" s="3">
        <f t="shared" si="171"/>
        <v>0</v>
      </c>
      <c r="BK221" s="3">
        <f t="shared" si="171"/>
        <v>0</v>
      </c>
      <c r="BL221" s="3">
        <f t="shared" si="171"/>
        <v>0</v>
      </c>
      <c r="BM221" s="3">
        <f t="shared" si="171"/>
        <v>0</v>
      </c>
      <c r="BN221" s="3">
        <f t="shared" si="171"/>
        <v>0</v>
      </c>
      <c r="BO221" s="3">
        <f t="shared" si="171"/>
        <v>0</v>
      </c>
      <c r="BP221" s="3">
        <f t="shared" si="171"/>
        <v>0</v>
      </c>
      <c r="BQ221" s="3">
        <f t="shared" si="171"/>
        <v>0</v>
      </c>
      <c r="BR221" s="3">
        <f t="shared" si="171"/>
        <v>0</v>
      </c>
      <c r="BS221" s="3">
        <f t="shared" si="171"/>
        <v>0</v>
      </c>
      <c r="BT221" s="3">
        <f t="shared" si="171"/>
        <v>0</v>
      </c>
      <c r="BU221" s="3">
        <f t="shared" si="171"/>
        <v>0</v>
      </c>
      <c r="BV221" s="3">
        <f t="shared" si="171"/>
        <v>0</v>
      </c>
      <c r="BW221" s="3">
        <f t="shared" si="171"/>
        <v>0</v>
      </c>
      <c r="BX221" s="3">
        <f t="shared" si="171"/>
        <v>0</v>
      </c>
      <c r="BY221" s="3">
        <f t="shared" si="171"/>
        <v>0</v>
      </c>
      <c r="BZ221" s="3">
        <f t="shared" si="171"/>
        <v>0</v>
      </c>
      <c r="CA221" s="3">
        <f t="shared" ref="CA221:DF221" si="172">CA258</f>
        <v>548.19000000000005</v>
      </c>
      <c r="CB221" s="3">
        <f t="shared" si="172"/>
        <v>548.19000000000005</v>
      </c>
      <c r="CC221" s="3">
        <f t="shared" si="172"/>
        <v>0</v>
      </c>
      <c r="CD221" s="3">
        <f t="shared" si="172"/>
        <v>0</v>
      </c>
      <c r="CE221" s="3">
        <f t="shared" si="172"/>
        <v>405.38</v>
      </c>
      <c r="CF221" s="3">
        <f t="shared" si="172"/>
        <v>405.38</v>
      </c>
      <c r="CG221" s="3">
        <f t="shared" si="172"/>
        <v>0</v>
      </c>
      <c r="CH221" s="3">
        <f t="shared" si="172"/>
        <v>405.38</v>
      </c>
      <c r="CI221" s="3">
        <f t="shared" si="172"/>
        <v>0</v>
      </c>
      <c r="CJ221" s="3">
        <f t="shared" si="172"/>
        <v>0</v>
      </c>
      <c r="CK221" s="3">
        <f t="shared" si="172"/>
        <v>0</v>
      </c>
      <c r="CL221" s="3">
        <f t="shared" si="172"/>
        <v>0</v>
      </c>
      <c r="CM221" s="3">
        <f t="shared" si="172"/>
        <v>0</v>
      </c>
      <c r="CN221" s="3">
        <f t="shared" si="172"/>
        <v>0</v>
      </c>
      <c r="CO221" s="3">
        <f t="shared" si="172"/>
        <v>0</v>
      </c>
      <c r="CP221" s="3">
        <f t="shared" si="172"/>
        <v>0</v>
      </c>
      <c r="CQ221" s="3">
        <f t="shared" si="172"/>
        <v>0</v>
      </c>
      <c r="CR221" s="3">
        <f t="shared" si="172"/>
        <v>0</v>
      </c>
      <c r="CS221" s="3">
        <f t="shared" si="172"/>
        <v>0</v>
      </c>
      <c r="CT221" s="3">
        <f t="shared" si="172"/>
        <v>0</v>
      </c>
      <c r="CU221" s="3">
        <f t="shared" si="172"/>
        <v>0</v>
      </c>
      <c r="CV221" s="3">
        <f t="shared" si="172"/>
        <v>0</v>
      </c>
      <c r="CW221" s="3">
        <f t="shared" si="172"/>
        <v>0</v>
      </c>
      <c r="CX221" s="3">
        <f t="shared" si="172"/>
        <v>0</v>
      </c>
      <c r="CY221" s="3">
        <f t="shared" si="172"/>
        <v>0</v>
      </c>
      <c r="CZ221" s="3">
        <f t="shared" si="172"/>
        <v>0</v>
      </c>
      <c r="DA221" s="3">
        <f t="shared" si="172"/>
        <v>0</v>
      </c>
      <c r="DB221" s="3">
        <f t="shared" si="172"/>
        <v>0</v>
      </c>
      <c r="DC221" s="3">
        <f t="shared" si="172"/>
        <v>0</v>
      </c>
      <c r="DD221" s="3">
        <f t="shared" si="172"/>
        <v>0</v>
      </c>
      <c r="DE221" s="3">
        <f t="shared" si="172"/>
        <v>0</v>
      </c>
      <c r="DF221" s="3">
        <f t="shared" si="172"/>
        <v>0</v>
      </c>
      <c r="DG221" s="4">
        <f t="shared" ref="DG221:EL221" si="173">DG258</f>
        <v>6778.75</v>
      </c>
      <c r="DH221" s="4">
        <f t="shared" si="173"/>
        <v>5249.35</v>
      </c>
      <c r="DI221" s="4">
        <f t="shared" si="173"/>
        <v>934.09</v>
      </c>
      <c r="DJ221" s="4">
        <f t="shared" si="173"/>
        <v>293.69</v>
      </c>
      <c r="DK221" s="4">
        <f t="shared" si="173"/>
        <v>595.30999999999995</v>
      </c>
      <c r="DL221" s="4">
        <f t="shared" si="173"/>
        <v>0</v>
      </c>
      <c r="DM221" s="4">
        <f t="shared" si="173"/>
        <v>1.5016164042</v>
      </c>
      <c r="DN221" s="4">
        <f t="shared" si="173"/>
        <v>0</v>
      </c>
      <c r="DO221" s="4">
        <f t="shared" si="173"/>
        <v>0</v>
      </c>
      <c r="DP221" s="4">
        <f t="shared" si="173"/>
        <v>629.86</v>
      </c>
      <c r="DQ221" s="4">
        <f t="shared" si="173"/>
        <v>290.70999999999998</v>
      </c>
      <c r="DR221" s="4">
        <f t="shared" si="173"/>
        <v>0</v>
      </c>
      <c r="DS221" s="4">
        <f t="shared" si="173"/>
        <v>0</v>
      </c>
      <c r="DT221" s="4">
        <f t="shared" si="173"/>
        <v>6778.75</v>
      </c>
      <c r="DU221" s="4">
        <f t="shared" si="173"/>
        <v>5249.35</v>
      </c>
      <c r="DV221" s="4">
        <f t="shared" si="173"/>
        <v>934.09</v>
      </c>
      <c r="DW221" s="4">
        <f t="shared" si="173"/>
        <v>293.69</v>
      </c>
      <c r="DX221" s="4">
        <f t="shared" si="173"/>
        <v>595.30999999999995</v>
      </c>
      <c r="DY221" s="4">
        <f t="shared" si="173"/>
        <v>0</v>
      </c>
      <c r="DZ221" s="4">
        <f t="shared" si="173"/>
        <v>1.5016164042</v>
      </c>
      <c r="EA221" s="4">
        <f t="shared" si="173"/>
        <v>0</v>
      </c>
      <c r="EB221" s="4">
        <f t="shared" si="173"/>
        <v>0</v>
      </c>
      <c r="EC221" s="4">
        <f t="shared" si="173"/>
        <v>629.86</v>
      </c>
      <c r="ED221" s="4">
        <f t="shared" si="173"/>
        <v>290.70999999999998</v>
      </c>
      <c r="EE221" s="4">
        <f t="shared" si="173"/>
        <v>0</v>
      </c>
      <c r="EF221" s="4">
        <f t="shared" si="173"/>
        <v>0</v>
      </c>
      <c r="EG221" s="4">
        <f t="shared" si="173"/>
        <v>0</v>
      </c>
      <c r="EH221" s="4">
        <f t="shared" si="173"/>
        <v>0</v>
      </c>
      <c r="EI221" s="4">
        <f t="shared" si="173"/>
        <v>0</v>
      </c>
      <c r="EJ221" s="4">
        <f t="shared" si="173"/>
        <v>8169.24</v>
      </c>
      <c r="EK221" s="4">
        <f t="shared" si="173"/>
        <v>8169.24</v>
      </c>
      <c r="EL221" s="4">
        <f t="shared" si="173"/>
        <v>0</v>
      </c>
      <c r="EM221" s="4">
        <f t="shared" ref="EM221:FR221" si="174">EM258</f>
        <v>0</v>
      </c>
      <c r="EN221" s="4">
        <f t="shared" si="174"/>
        <v>5249.35</v>
      </c>
      <c r="EO221" s="4">
        <f t="shared" si="174"/>
        <v>5249.35</v>
      </c>
      <c r="EP221" s="4">
        <f t="shared" si="174"/>
        <v>0</v>
      </c>
      <c r="EQ221" s="4">
        <f t="shared" si="174"/>
        <v>5249.35</v>
      </c>
      <c r="ER221" s="4">
        <f t="shared" si="174"/>
        <v>0</v>
      </c>
      <c r="ES221" s="4">
        <f t="shared" si="174"/>
        <v>0</v>
      </c>
      <c r="ET221" s="4">
        <f t="shared" si="174"/>
        <v>0</v>
      </c>
      <c r="EU221" s="4">
        <f t="shared" si="174"/>
        <v>0</v>
      </c>
      <c r="EV221" s="4">
        <f t="shared" si="174"/>
        <v>0</v>
      </c>
      <c r="EW221" s="4">
        <f t="shared" si="174"/>
        <v>0</v>
      </c>
      <c r="EX221" s="4">
        <f t="shared" si="174"/>
        <v>0</v>
      </c>
      <c r="EY221" s="4">
        <f t="shared" si="174"/>
        <v>0</v>
      </c>
      <c r="EZ221" s="4">
        <f t="shared" si="174"/>
        <v>0</v>
      </c>
      <c r="FA221" s="4">
        <f t="shared" si="174"/>
        <v>0</v>
      </c>
      <c r="FB221" s="4">
        <f t="shared" si="174"/>
        <v>0</v>
      </c>
      <c r="FC221" s="4">
        <f t="shared" si="174"/>
        <v>0</v>
      </c>
      <c r="FD221" s="4">
        <f t="shared" si="174"/>
        <v>0</v>
      </c>
      <c r="FE221" s="4">
        <f t="shared" si="174"/>
        <v>0</v>
      </c>
      <c r="FF221" s="4">
        <f t="shared" si="174"/>
        <v>0</v>
      </c>
      <c r="FG221" s="4">
        <f t="shared" si="174"/>
        <v>0</v>
      </c>
      <c r="FH221" s="4">
        <f t="shared" si="174"/>
        <v>0</v>
      </c>
      <c r="FI221" s="4">
        <f t="shared" si="174"/>
        <v>0</v>
      </c>
      <c r="FJ221" s="4">
        <f t="shared" si="174"/>
        <v>0</v>
      </c>
      <c r="FK221" s="4">
        <f t="shared" si="174"/>
        <v>0</v>
      </c>
      <c r="FL221" s="4">
        <f t="shared" si="174"/>
        <v>0</v>
      </c>
      <c r="FM221" s="4">
        <f t="shared" si="174"/>
        <v>0</v>
      </c>
      <c r="FN221" s="4">
        <f t="shared" si="174"/>
        <v>0</v>
      </c>
      <c r="FO221" s="4">
        <f t="shared" si="174"/>
        <v>0</v>
      </c>
      <c r="FP221" s="4">
        <f t="shared" si="174"/>
        <v>0</v>
      </c>
      <c r="FQ221" s="4">
        <f t="shared" si="174"/>
        <v>0</v>
      </c>
      <c r="FR221" s="4">
        <f t="shared" si="174"/>
        <v>0</v>
      </c>
      <c r="FS221" s="4">
        <f t="shared" ref="FS221:GX221" si="175">FS258</f>
        <v>8169.24</v>
      </c>
      <c r="FT221" s="4">
        <f t="shared" si="175"/>
        <v>8169.24</v>
      </c>
      <c r="FU221" s="4">
        <f t="shared" si="175"/>
        <v>0</v>
      </c>
      <c r="FV221" s="4">
        <f t="shared" si="175"/>
        <v>0</v>
      </c>
      <c r="FW221" s="4">
        <f t="shared" si="175"/>
        <v>5249.35</v>
      </c>
      <c r="FX221" s="4">
        <f t="shared" si="175"/>
        <v>5249.35</v>
      </c>
      <c r="FY221" s="4">
        <f t="shared" si="175"/>
        <v>0</v>
      </c>
      <c r="FZ221" s="4">
        <f t="shared" si="175"/>
        <v>5249.35</v>
      </c>
      <c r="GA221" s="4">
        <f t="shared" si="175"/>
        <v>0</v>
      </c>
      <c r="GB221" s="4">
        <f t="shared" si="175"/>
        <v>0</v>
      </c>
      <c r="GC221" s="4">
        <f t="shared" si="175"/>
        <v>0</v>
      </c>
      <c r="GD221" s="4">
        <f t="shared" si="175"/>
        <v>0</v>
      </c>
      <c r="GE221" s="4">
        <f t="shared" si="175"/>
        <v>0</v>
      </c>
      <c r="GF221" s="4">
        <f t="shared" si="175"/>
        <v>0</v>
      </c>
      <c r="GG221" s="4">
        <f t="shared" si="175"/>
        <v>0</v>
      </c>
      <c r="GH221" s="4">
        <f t="shared" si="175"/>
        <v>0</v>
      </c>
      <c r="GI221" s="4">
        <f t="shared" si="175"/>
        <v>0</v>
      </c>
      <c r="GJ221" s="4">
        <f t="shared" si="175"/>
        <v>0</v>
      </c>
      <c r="GK221" s="4">
        <f t="shared" si="175"/>
        <v>0</v>
      </c>
      <c r="GL221" s="4">
        <f t="shared" si="175"/>
        <v>0</v>
      </c>
      <c r="GM221" s="4">
        <f t="shared" si="175"/>
        <v>0</v>
      </c>
      <c r="GN221" s="4">
        <f t="shared" si="175"/>
        <v>0</v>
      </c>
      <c r="GO221" s="4">
        <f t="shared" si="175"/>
        <v>0</v>
      </c>
      <c r="GP221" s="4">
        <f t="shared" si="175"/>
        <v>0</v>
      </c>
      <c r="GQ221" s="4">
        <f t="shared" si="175"/>
        <v>0</v>
      </c>
      <c r="GR221" s="4">
        <f t="shared" si="175"/>
        <v>0</v>
      </c>
      <c r="GS221" s="4">
        <f t="shared" si="175"/>
        <v>0</v>
      </c>
      <c r="GT221" s="4">
        <f t="shared" si="175"/>
        <v>0</v>
      </c>
      <c r="GU221" s="4">
        <f t="shared" si="175"/>
        <v>0</v>
      </c>
      <c r="GV221" s="4">
        <f t="shared" si="175"/>
        <v>0</v>
      </c>
      <c r="GW221" s="4">
        <f t="shared" si="175"/>
        <v>0</v>
      </c>
      <c r="GX221" s="4">
        <f t="shared" si="175"/>
        <v>0</v>
      </c>
    </row>
    <row r="223" spans="1:255" x14ac:dyDescent="0.2">
      <c r="A223" s="2">
        <v>17</v>
      </c>
      <c r="B223" s="2">
        <v>1</v>
      </c>
      <c r="C223" s="2"/>
      <c r="D223" s="2">
        <f>ROW(EtalonRes!A297)</f>
        <v>297</v>
      </c>
      <c r="E223" s="2" t="s">
        <v>277</v>
      </c>
      <c r="F223" s="2" t="s">
        <v>278</v>
      </c>
      <c r="G223" s="2" t="s">
        <v>279</v>
      </c>
      <c r="H223" s="2" t="s">
        <v>280</v>
      </c>
      <c r="I223" s="2">
        <f>ROUND(((3.5*0.04)+(1.3*0.13))/100,9)</f>
        <v>3.0899999999999999E-3</v>
      </c>
      <c r="J223" s="2">
        <v>0</v>
      </c>
      <c r="K223" s="2">
        <f>ROUND(((3.5*0.04)+(1.3*0.13))/100,9)</f>
        <v>3.0899999999999999E-3</v>
      </c>
      <c r="L223" s="2"/>
      <c r="M223" s="2"/>
      <c r="N223" s="2"/>
      <c r="O223" s="2">
        <f t="shared" ref="O223:O256" si="176">ROUND(CP223,2)</f>
        <v>12.9</v>
      </c>
      <c r="P223" s="2">
        <f t="shared" ref="P223:P256" si="177">ROUND((ROUND((AC223*AW223*I223),2)*BC223),2)</f>
        <v>0</v>
      </c>
      <c r="Q223" s="2">
        <f t="shared" ref="Q223:Q230" si="178">(ROUND((ROUND((((ET223*1.1))*AV223*I223),2)*BB223),2)+ROUND((ROUND(((AE223-((EU223*1.1)))*AV223*I223),2)*BS223),2))</f>
        <v>6.89</v>
      </c>
      <c r="R223" s="2">
        <f t="shared" ref="R223:R256" si="179">ROUND((ROUND((AE223*AV223*I223),2)*BS223),2)</f>
        <v>1.79</v>
      </c>
      <c r="S223" s="2">
        <f t="shared" ref="S223:S256" si="180">ROUND((ROUND((AF223*AV223*I223),2)*BA223),2)</f>
        <v>6.01</v>
      </c>
      <c r="T223" s="2">
        <f t="shared" ref="T223:T256" si="181">ROUND(CU223*I223,2)</f>
        <v>0</v>
      </c>
      <c r="U223" s="2">
        <f t="shared" ref="U223:U256" si="182">CV223*I223</f>
        <v>0.55160671499999991</v>
      </c>
      <c r="V223" s="2">
        <f t="shared" ref="V223:V256" si="183">CW223*I223</f>
        <v>0</v>
      </c>
      <c r="W223" s="2">
        <f t="shared" ref="W223:W256" si="184">ROUND(CX223*I223,2)</f>
        <v>0</v>
      </c>
      <c r="X223" s="2">
        <f t="shared" ref="X223:X256" si="185">ROUND(CY223,2)</f>
        <v>4.8099999999999996</v>
      </c>
      <c r="Y223" s="2">
        <f t="shared" ref="Y223:Y256" si="186">ROUND(CZ223,2)</f>
        <v>3.31</v>
      </c>
      <c r="Z223" s="2"/>
      <c r="AA223" s="2">
        <v>56622523</v>
      </c>
      <c r="AB223" s="2">
        <f t="shared" ref="AB223:AB256" si="187">ROUND((AC223+AD223+AF223),6)</f>
        <v>3986.268</v>
      </c>
      <c r="AC223" s="2">
        <f t="shared" ref="AC223:AC256" si="188">ROUND((ES223),6)</f>
        <v>0</v>
      </c>
      <c r="AD223" s="2">
        <f t="shared" ref="AD223:AD230" si="189">ROUND(((((ET223*1.1))-((EU223*1.1)))+AE223),6)</f>
        <v>2129.5230000000001</v>
      </c>
      <c r="AE223" s="2">
        <f t="shared" ref="AE223:AF230" si="190">ROUND(((EU223*1.1)),6)</f>
        <v>553.28899999999999</v>
      </c>
      <c r="AF223" s="2">
        <f t="shared" si="190"/>
        <v>1856.7449999999999</v>
      </c>
      <c r="AG223" s="2">
        <f t="shared" ref="AG223:AG256" si="191">ROUND((AP223),6)</f>
        <v>0</v>
      </c>
      <c r="AH223" s="2">
        <f t="shared" ref="AH223:AI230" si="192">((EW223*1.1))</f>
        <v>170.5</v>
      </c>
      <c r="AI223" s="2">
        <f t="shared" si="192"/>
        <v>0</v>
      </c>
      <c r="AJ223" s="2">
        <f t="shared" ref="AJ223:AJ256" si="193">(AS223)</f>
        <v>0</v>
      </c>
      <c r="AK223" s="2">
        <v>3623.88</v>
      </c>
      <c r="AL223" s="2">
        <v>0</v>
      </c>
      <c r="AM223" s="2">
        <v>1935.93</v>
      </c>
      <c r="AN223" s="2">
        <v>502.99</v>
      </c>
      <c r="AO223" s="2">
        <v>1687.95</v>
      </c>
      <c r="AP223" s="2">
        <v>0</v>
      </c>
      <c r="AQ223" s="2">
        <v>155</v>
      </c>
      <c r="AR223" s="2">
        <v>0</v>
      </c>
      <c r="AS223" s="2">
        <v>0</v>
      </c>
      <c r="AT223" s="2">
        <v>80</v>
      </c>
      <c r="AU223" s="2">
        <v>55</v>
      </c>
      <c r="AV223" s="2">
        <v>1.0469999999999999</v>
      </c>
      <c r="AW223" s="2">
        <v>1</v>
      </c>
      <c r="AX223" s="2"/>
      <c r="AY223" s="2"/>
      <c r="AZ223" s="2">
        <v>1</v>
      </c>
      <c r="BA223" s="2">
        <v>1</v>
      </c>
      <c r="BB223" s="2">
        <v>1</v>
      </c>
      <c r="BC223" s="2">
        <v>1</v>
      </c>
      <c r="BD223" s="2" t="s">
        <v>3</v>
      </c>
      <c r="BE223" s="2" t="s">
        <v>3</v>
      </c>
      <c r="BF223" s="2" t="s">
        <v>3</v>
      </c>
      <c r="BG223" s="2" t="s">
        <v>3</v>
      </c>
      <c r="BH223" s="2">
        <v>0</v>
      </c>
      <c r="BI223" s="2">
        <v>1</v>
      </c>
      <c r="BJ223" s="2" t="s">
        <v>281</v>
      </c>
      <c r="BK223" s="2"/>
      <c r="BL223" s="2"/>
      <c r="BM223" s="2">
        <v>674</v>
      </c>
      <c r="BN223" s="2">
        <v>0</v>
      </c>
      <c r="BO223" s="2" t="s">
        <v>3</v>
      </c>
      <c r="BP223" s="2">
        <v>0</v>
      </c>
      <c r="BQ223" s="2">
        <v>60</v>
      </c>
      <c r="BR223" s="2">
        <v>0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 t="s">
        <v>3</v>
      </c>
      <c r="BZ223" s="2">
        <v>80</v>
      </c>
      <c r="CA223" s="2">
        <v>55</v>
      </c>
      <c r="CB223" s="2" t="s">
        <v>3</v>
      </c>
      <c r="CC223" s="2"/>
      <c r="CD223" s="2"/>
      <c r="CE223" s="2">
        <v>30</v>
      </c>
      <c r="CF223" s="2">
        <v>0</v>
      </c>
      <c r="CG223" s="2">
        <v>0</v>
      </c>
      <c r="CH223" s="2"/>
      <c r="CI223" s="2"/>
      <c r="CJ223" s="2"/>
      <c r="CK223" s="2"/>
      <c r="CL223" s="2"/>
      <c r="CM223" s="2">
        <v>0</v>
      </c>
      <c r="CN223" s="2" t="s">
        <v>689</v>
      </c>
      <c r="CO223" s="2">
        <v>0</v>
      </c>
      <c r="CP223" s="2">
        <f t="shared" ref="CP223:CP256" si="194">(P223+Q223+S223)</f>
        <v>12.899999999999999</v>
      </c>
      <c r="CQ223" s="2">
        <f t="shared" ref="CQ223:CQ256" si="195">ROUND((ROUND((AC223*AW223*1),2)*BC223),2)</f>
        <v>0</v>
      </c>
      <c r="CR223" s="2">
        <f t="shared" ref="CR223:CR230" si="196">(ROUND((ROUND((((ET223*1.1))*AV223*1),2)*BB223),2)+ROUND((ROUND(((AE223-((EU223*1.1)))*AV223*1),2)*BS223),2))</f>
        <v>2229.61</v>
      </c>
      <c r="CS223" s="2">
        <f t="shared" ref="CS223:CS256" si="197">ROUND((ROUND((AE223*AV223*1),2)*BS223),2)</f>
        <v>579.29</v>
      </c>
      <c r="CT223" s="2">
        <f t="shared" ref="CT223:CT256" si="198">ROUND((ROUND((AF223*AV223*1),2)*BA223),2)</f>
        <v>1944.01</v>
      </c>
      <c r="CU223" s="2">
        <f t="shared" ref="CU223:CU256" si="199">AG223</f>
        <v>0</v>
      </c>
      <c r="CV223" s="2">
        <f t="shared" ref="CV223:CV256" si="200">(AH223*AV223)</f>
        <v>178.51349999999999</v>
      </c>
      <c r="CW223" s="2">
        <f t="shared" ref="CW223:CW256" si="201">AI223</f>
        <v>0</v>
      </c>
      <c r="CX223" s="2">
        <f t="shared" ref="CX223:CX256" si="202">AJ223</f>
        <v>0</v>
      </c>
      <c r="CY223" s="2">
        <f>((S223*BZ223)/100)</f>
        <v>4.8079999999999998</v>
      </c>
      <c r="CZ223" s="2">
        <f>((S223*CA223)/100)</f>
        <v>3.3055000000000003</v>
      </c>
      <c r="DA223" s="2"/>
      <c r="DB223" s="2"/>
      <c r="DC223" s="2" t="s">
        <v>3</v>
      </c>
      <c r="DD223" s="2" t="s">
        <v>3</v>
      </c>
      <c r="DE223" s="2" t="s">
        <v>22</v>
      </c>
      <c r="DF223" s="2" t="s">
        <v>22</v>
      </c>
      <c r="DG223" s="2" t="s">
        <v>22</v>
      </c>
      <c r="DH223" s="2" t="s">
        <v>3</v>
      </c>
      <c r="DI223" s="2" t="s">
        <v>22</v>
      </c>
      <c r="DJ223" s="2" t="s">
        <v>22</v>
      </c>
      <c r="DK223" s="2" t="s">
        <v>3</v>
      </c>
      <c r="DL223" s="2" t="s">
        <v>3</v>
      </c>
      <c r="DM223" s="2" t="s">
        <v>3</v>
      </c>
      <c r="DN223" s="2">
        <v>0</v>
      </c>
      <c r="DO223" s="2">
        <v>0</v>
      </c>
      <c r="DP223" s="2">
        <v>1</v>
      </c>
      <c r="DQ223" s="2">
        <v>1</v>
      </c>
      <c r="DR223" s="2"/>
      <c r="DS223" s="2"/>
      <c r="DT223" s="2"/>
      <c r="DU223" s="2">
        <v>1007</v>
      </c>
      <c r="DV223" s="2" t="s">
        <v>280</v>
      </c>
      <c r="DW223" s="2" t="s">
        <v>280</v>
      </c>
      <c r="DX223" s="2">
        <v>100</v>
      </c>
      <c r="DY223" s="2"/>
      <c r="DZ223" s="2" t="s">
        <v>3</v>
      </c>
      <c r="EA223" s="2" t="s">
        <v>3</v>
      </c>
      <c r="EB223" s="2" t="s">
        <v>3</v>
      </c>
      <c r="EC223" s="2" t="s">
        <v>3</v>
      </c>
      <c r="ED223" s="2"/>
      <c r="EE223" s="2">
        <v>51696713</v>
      </c>
      <c r="EF223" s="2">
        <v>60</v>
      </c>
      <c r="EG223" s="2" t="s">
        <v>282</v>
      </c>
      <c r="EH223" s="2">
        <v>0</v>
      </c>
      <c r="EI223" s="2" t="s">
        <v>3</v>
      </c>
      <c r="EJ223" s="2">
        <v>1</v>
      </c>
      <c r="EK223" s="2">
        <v>674</v>
      </c>
      <c r="EL223" s="2" t="s">
        <v>283</v>
      </c>
      <c r="EM223" s="2" t="s">
        <v>284</v>
      </c>
      <c r="EN223" s="2"/>
      <c r="EO223" s="2" t="s">
        <v>26</v>
      </c>
      <c r="EP223" s="2"/>
      <c r="EQ223" s="2">
        <v>131072</v>
      </c>
      <c r="ER223" s="2">
        <v>3623.88</v>
      </c>
      <c r="ES223" s="2">
        <v>0</v>
      </c>
      <c r="ET223" s="2">
        <v>1935.93</v>
      </c>
      <c r="EU223" s="2">
        <v>502.99</v>
      </c>
      <c r="EV223" s="2">
        <v>1687.95</v>
      </c>
      <c r="EW223" s="2">
        <v>155</v>
      </c>
      <c r="EX223" s="2">
        <v>0</v>
      </c>
      <c r="EY223" s="2">
        <v>0</v>
      </c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>
        <v>0</v>
      </c>
      <c r="FR223" s="2">
        <v>0</v>
      </c>
      <c r="FS223" s="2">
        <v>0</v>
      </c>
      <c r="FT223" s="2"/>
      <c r="FU223" s="2"/>
      <c r="FV223" s="2"/>
      <c r="FW223" s="2"/>
      <c r="FX223" s="2">
        <v>80</v>
      </c>
      <c r="FY223" s="2">
        <v>55</v>
      </c>
      <c r="FZ223" s="2"/>
      <c r="GA223" s="2" t="s">
        <v>3</v>
      </c>
      <c r="GB223" s="2"/>
      <c r="GC223" s="2"/>
      <c r="GD223" s="2">
        <v>0</v>
      </c>
      <c r="GE223" s="2"/>
      <c r="GF223" s="2">
        <v>854491468</v>
      </c>
      <c r="GG223" s="2">
        <v>2</v>
      </c>
      <c r="GH223" s="2">
        <v>1</v>
      </c>
      <c r="GI223" s="2">
        <v>-2</v>
      </c>
      <c r="GJ223" s="2">
        <v>0</v>
      </c>
      <c r="GK223" s="2">
        <f>ROUND(R223*(R12)/100,2)</f>
        <v>3.13</v>
      </c>
      <c r="GL223" s="2">
        <f t="shared" ref="GL223:GL256" si="203">ROUND(IF(AND(BH223=3,BI223=3,FS223&lt;&gt;0),P223,0),2)</f>
        <v>0</v>
      </c>
      <c r="GM223" s="2">
        <f t="shared" ref="GM223:GM256" si="204">ROUND(O223+X223+Y223+GK223,2)+GX223</f>
        <v>24.15</v>
      </c>
      <c r="GN223" s="2">
        <f t="shared" ref="GN223:GN256" si="205">IF(OR(BI223=0,BI223=1),GM223-GX223,0)</f>
        <v>24.15</v>
      </c>
      <c r="GO223" s="2">
        <f t="shared" ref="GO223:GO256" si="206">IF(BI223=2,GM223-GX223,0)</f>
        <v>0</v>
      </c>
      <c r="GP223" s="2">
        <f t="shared" ref="GP223:GP256" si="207">IF(BI223=4,GM223-GX223,0)</f>
        <v>0</v>
      </c>
      <c r="GQ223" s="2"/>
      <c r="GR223" s="2">
        <v>0</v>
      </c>
      <c r="GS223" s="2">
        <v>0</v>
      </c>
      <c r="GT223" s="2">
        <v>0</v>
      </c>
      <c r="GU223" s="2" t="s">
        <v>3</v>
      </c>
      <c r="GV223" s="2">
        <f t="shared" ref="GV223:GV256" si="208">ROUND((GT223),6)</f>
        <v>0</v>
      </c>
      <c r="GW223" s="2">
        <v>1</v>
      </c>
      <c r="GX223" s="2">
        <f t="shared" ref="GX223:GX256" si="209">ROUND(HC223*I223,2)</f>
        <v>0</v>
      </c>
      <c r="GY223" s="2"/>
      <c r="GZ223" s="2"/>
      <c r="HA223" s="2">
        <v>0</v>
      </c>
      <c r="HB223" s="2">
        <v>0</v>
      </c>
      <c r="HC223" s="2">
        <f t="shared" ref="HC223:HC256" si="210">GV223*GW223</f>
        <v>0</v>
      </c>
      <c r="HD223" s="2"/>
      <c r="HE223" s="2" t="s">
        <v>3</v>
      </c>
      <c r="HF223" s="2" t="s">
        <v>3</v>
      </c>
      <c r="HG223" s="2"/>
      <c r="HH223" s="2"/>
      <c r="HI223" s="2"/>
      <c r="HJ223" s="2"/>
      <c r="HK223" s="2"/>
      <c r="HL223" s="2"/>
      <c r="HM223" s="2" t="s">
        <v>3</v>
      </c>
      <c r="HN223" s="2" t="s">
        <v>3</v>
      </c>
      <c r="HO223" s="2" t="s">
        <v>3</v>
      </c>
      <c r="HP223" s="2" t="s">
        <v>3</v>
      </c>
      <c r="HQ223" s="2" t="s">
        <v>3</v>
      </c>
      <c r="HR223" s="2"/>
      <c r="HS223" s="2">
        <v>0</v>
      </c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>
        <v>0</v>
      </c>
      <c r="IL223" s="2"/>
      <c r="IM223" s="2"/>
      <c r="IN223" s="2"/>
      <c r="IO223" s="2"/>
      <c r="IP223" s="2"/>
      <c r="IQ223" s="2"/>
      <c r="IR223" s="2"/>
      <c r="IS223" s="2"/>
      <c r="IT223" s="2"/>
      <c r="IU223" s="2"/>
    </row>
    <row r="224" spans="1:255" x14ac:dyDescent="0.2">
      <c r="A224">
        <v>17</v>
      </c>
      <c r="B224">
        <v>1</v>
      </c>
      <c r="D224">
        <f>ROW(EtalonRes!A302)</f>
        <v>302</v>
      </c>
      <c r="E224" t="s">
        <v>277</v>
      </c>
      <c r="F224" t="s">
        <v>278</v>
      </c>
      <c r="G224" t="s">
        <v>279</v>
      </c>
      <c r="H224" t="s">
        <v>280</v>
      </c>
      <c r="I224">
        <f>ROUND(((3.5*0.04)+(1.3*0.13))/100,9)</f>
        <v>3.0899999999999999E-3</v>
      </c>
      <c r="J224">
        <v>0</v>
      </c>
      <c r="K224">
        <f>ROUND(((3.5*0.04)+(1.3*0.13))/100,9)</f>
        <v>3.0899999999999999E-3</v>
      </c>
      <c r="O224">
        <f t="shared" si="176"/>
        <v>320.82</v>
      </c>
      <c r="P224">
        <f t="shared" si="177"/>
        <v>0</v>
      </c>
      <c r="Q224">
        <f t="shared" si="178"/>
        <v>113.41</v>
      </c>
      <c r="R224">
        <f t="shared" si="179"/>
        <v>61.77</v>
      </c>
      <c r="S224">
        <f t="shared" si="180"/>
        <v>207.41</v>
      </c>
      <c r="T224">
        <f t="shared" si="181"/>
        <v>0</v>
      </c>
      <c r="U224">
        <f t="shared" si="182"/>
        <v>0.55160671499999991</v>
      </c>
      <c r="V224">
        <f t="shared" si="183"/>
        <v>0</v>
      </c>
      <c r="W224">
        <f t="shared" si="184"/>
        <v>0</v>
      </c>
      <c r="X224">
        <f t="shared" si="185"/>
        <v>145.19</v>
      </c>
      <c r="Y224">
        <f t="shared" si="186"/>
        <v>85.04</v>
      </c>
      <c r="AA224">
        <v>56611490</v>
      </c>
      <c r="AB224">
        <f t="shared" si="187"/>
        <v>3986.268</v>
      </c>
      <c r="AC224">
        <f t="shared" si="188"/>
        <v>0</v>
      </c>
      <c r="AD224">
        <f t="shared" si="189"/>
        <v>2129.5230000000001</v>
      </c>
      <c r="AE224">
        <f t="shared" si="190"/>
        <v>553.28899999999999</v>
      </c>
      <c r="AF224">
        <f t="shared" si="190"/>
        <v>1856.7449999999999</v>
      </c>
      <c r="AG224">
        <f t="shared" si="191"/>
        <v>0</v>
      </c>
      <c r="AH224">
        <f t="shared" si="192"/>
        <v>170.5</v>
      </c>
      <c r="AI224">
        <f t="shared" si="192"/>
        <v>0</v>
      </c>
      <c r="AJ224">
        <f t="shared" si="193"/>
        <v>0</v>
      </c>
      <c r="AK224">
        <v>3623.88</v>
      </c>
      <c r="AL224">
        <v>0</v>
      </c>
      <c r="AM224">
        <v>1935.93</v>
      </c>
      <c r="AN224">
        <v>502.99</v>
      </c>
      <c r="AO224">
        <v>1687.95</v>
      </c>
      <c r="AP224">
        <v>0</v>
      </c>
      <c r="AQ224">
        <v>155</v>
      </c>
      <c r="AR224">
        <v>0</v>
      </c>
      <c r="AS224">
        <v>0</v>
      </c>
      <c r="AT224">
        <v>70</v>
      </c>
      <c r="AU224">
        <v>41</v>
      </c>
      <c r="AV224">
        <v>1.0469999999999999</v>
      </c>
      <c r="AW224">
        <v>1</v>
      </c>
      <c r="AZ224">
        <v>1</v>
      </c>
      <c r="BA224">
        <v>34.51</v>
      </c>
      <c r="BB224">
        <v>16.46</v>
      </c>
      <c r="BC224">
        <v>1</v>
      </c>
      <c r="BD224" t="s">
        <v>3</v>
      </c>
      <c r="BE224" t="s">
        <v>3</v>
      </c>
      <c r="BF224" t="s">
        <v>3</v>
      </c>
      <c r="BG224" t="s">
        <v>3</v>
      </c>
      <c r="BH224">
        <v>0</v>
      </c>
      <c r="BI224">
        <v>1</v>
      </c>
      <c r="BJ224" t="s">
        <v>281</v>
      </c>
      <c r="BM224">
        <v>674</v>
      </c>
      <c r="BN224">
        <v>0</v>
      </c>
      <c r="BO224" t="s">
        <v>278</v>
      </c>
      <c r="BP224">
        <v>1</v>
      </c>
      <c r="BQ224">
        <v>60</v>
      </c>
      <c r="BR224">
        <v>0</v>
      </c>
      <c r="BS224">
        <v>34.51</v>
      </c>
      <c r="BT224">
        <v>1</v>
      </c>
      <c r="BU224">
        <v>1</v>
      </c>
      <c r="BV224">
        <v>1</v>
      </c>
      <c r="BW224">
        <v>1</v>
      </c>
      <c r="BX224">
        <v>1</v>
      </c>
      <c r="BY224" t="s">
        <v>3</v>
      </c>
      <c r="BZ224">
        <v>70</v>
      </c>
      <c r="CA224">
        <v>41</v>
      </c>
      <c r="CB224" t="s">
        <v>3</v>
      </c>
      <c r="CE224">
        <v>30</v>
      </c>
      <c r="CF224">
        <v>0</v>
      </c>
      <c r="CG224">
        <v>0</v>
      </c>
      <c r="CM224">
        <v>0</v>
      </c>
      <c r="CN224" t="s">
        <v>689</v>
      </c>
      <c r="CO224">
        <v>0</v>
      </c>
      <c r="CP224">
        <f t="shared" si="194"/>
        <v>320.82</v>
      </c>
      <c r="CQ224">
        <f t="shared" si="195"/>
        <v>0</v>
      </c>
      <c r="CR224">
        <f t="shared" si="196"/>
        <v>36699.379999999997</v>
      </c>
      <c r="CS224">
        <f t="shared" si="197"/>
        <v>19991.3</v>
      </c>
      <c r="CT224">
        <f t="shared" si="198"/>
        <v>67087.789999999994</v>
      </c>
      <c r="CU224">
        <f t="shared" si="199"/>
        <v>0</v>
      </c>
      <c r="CV224">
        <f t="shared" si="200"/>
        <v>178.51349999999999</v>
      </c>
      <c r="CW224">
        <f t="shared" si="201"/>
        <v>0</v>
      </c>
      <c r="CX224">
        <f t="shared" si="202"/>
        <v>0</v>
      </c>
      <c r="CY224">
        <f>S224*(BZ224/100)</f>
        <v>145.18699999999998</v>
      </c>
      <c r="CZ224">
        <f>S224*(CA224/100)</f>
        <v>85.0381</v>
      </c>
      <c r="DC224" t="s">
        <v>3</v>
      </c>
      <c r="DD224" t="s">
        <v>3</v>
      </c>
      <c r="DE224" t="s">
        <v>22</v>
      </c>
      <c r="DF224" t="s">
        <v>22</v>
      </c>
      <c r="DG224" t="s">
        <v>22</v>
      </c>
      <c r="DH224" t="s">
        <v>3</v>
      </c>
      <c r="DI224" t="s">
        <v>22</v>
      </c>
      <c r="DJ224" t="s">
        <v>22</v>
      </c>
      <c r="DK224" t="s">
        <v>3</v>
      </c>
      <c r="DL224" t="s">
        <v>3</v>
      </c>
      <c r="DM224" t="s">
        <v>3</v>
      </c>
      <c r="DN224">
        <v>80</v>
      </c>
      <c r="DO224">
        <v>55</v>
      </c>
      <c r="DP224">
        <v>1.0469999999999999</v>
      </c>
      <c r="DQ224">
        <v>1</v>
      </c>
      <c r="DU224">
        <v>1007</v>
      </c>
      <c r="DV224" t="s">
        <v>280</v>
      </c>
      <c r="DW224" t="s">
        <v>280</v>
      </c>
      <c r="DX224">
        <v>100</v>
      </c>
      <c r="DZ224" t="s">
        <v>3</v>
      </c>
      <c r="EA224" t="s">
        <v>3</v>
      </c>
      <c r="EB224" t="s">
        <v>3</v>
      </c>
      <c r="EC224" t="s">
        <v>3</v>
      </c>
      <c r="EE224">
        <v>51696713</v>
      </c>
      <c r="EF224">
        <v>60</v>
      </c>
      <c r="EG224" t="s">
        <v>282</v>
      </c>
      <c r="EH224">
        <v>0</v>
      </c>
      <c r="EI224" t="s">
        <v>3</v>
      </c>
      <c r="EJ224">
        <v>1</v>
      </c>
      <c r="EK224">
        <v>674</v>
      </c>
      <c r="EL224" t="s">
        <v>283</v>
      </c>
      <c r="EM224" t="s">
        <v>284</v>
      </c>
      <c r="EO224" t="s">
        <v>26</v>
      </c>
      <c r="EQ224">
        <v>131072</v>
      </c>
      <c r="ER224">
        <v>3623.88</v>
      </c>
      <c r="ES224">
        <v>0</v>
      </c>
      <c r="ET224">
        <v>1935.93</v>
      </c>
      <c r="EU224">
        <v>502.99</v>
      </c>
      <c r="EV224">
        <v>1687.95</v>
      </c>
      <c r="EW224">
        <v>155</v>
      </c>
      <c r="EX224">
        <v>0</v>
      </c>
      <c r="EY224">
        <v>0</v>
      </c>
      <c r="FQ224">
        <v>0</v>
      </c>
      <c r="FR224">
        <v>0</v>
      </c>
      <c r="FS224">
        <v>0</v>
      </c>
      <c r="FX224">
        <v>80</v>
      </c>
      <c r="FY224">
        <v>55</v>
      </c>
      <c r="GA224" t="s">
        <v>3</v>
      </c>
      <c r="GD224">
        <v>0</v>
      </c>
      <c r="GF224">
        <v>854491468</v>
      </c>
      <c r="GG224">
        <v>2</v>
      </c>
      <c r="GH224">
        <v>1</v>
      </c>
      <c r="GI224">
        <v>2</v>
      </c>
      <c r="GJ224">
        <v>0</v>
      </c>
      <c r="GK224">
        <f>ROUND(R224*(S12)/100,2)</f>
        <v>98.83</v>
      </c>
      <c r="GL224">
        <f t="shared" si="203"/>
        <v>0</v>
      </c>
      <c r="GM224">
        <f t="shared" si="204"/>
        <v>649.88</v>
      </c>
      <c r="GN224">
        <f t="shared" si="205"/>
        <v>649.88</v>
      </c>
      <c r="GO224">
        <f t="shared" si="206"/>
        <v>0</v>
      </c>
      <c r="GP224">
        <f t="shared" si="207"/>
        <v>0</v>
      </c>
      <c r="GR224">
        <v>0</v>
      </c>
      <c r="GS224">
        <v>3</v>
      </c>
      <c r="GT224">
        <v>0</v>
      </c>
      <c r="GU224" t="s">
        <v>3</v>
      </c>
      <c r="GV224">
        <f t="shared" si="208"/>
        <v>0</v>
      </c>
      <c r="GW224">
        <v>1</v>
      </c>
      <c r="GX224">
        <f t="shared" si="209"/>
        <v>0</v>
      </c>
      <c r="HA224">
        <v>0</v>
      </c>
      <c r="HB224">
        <v>0</v>
      </c>
      <c r="HC224">
        <f t="shared" si="210"/>
        <v>0</v>
      </c>
      <c r="HE224" t="s">
        <v>3</v>
      </c>
      <c r="HF224" t="s">
        <v>3</v>
      </c>
      <c r="HM224" t="s">
        <v>3</v>
      </c>
      <c r="HN224" t="s">
        <v>3</v>
      </c>
      <c r="HO224" t="s">
        <v>3</v>
      </c>
      <c r="HP224" t="s">
        <v>3</v>
      </c>
      <c r="HQ224" t="s">
        <v>3</v>
      </c>
      <c r="HS224">
        <v>0</v>
      </c>
      <c r="IK224">
        <v>0</v>
      </c>
    </row>
    <row r="225" spans="1:255" x14ac:dyDescent="0.2">
      <c r="A225" s="2">
        <v>17</v>
      </c>
      <c r="B225" s="2">
        <v>1</v>
      </c>
      <c r="C225" s="2"/>
      <c r="D225" s="2">
        <f>ROW(EtalonRes!A306)</f>
        <v>306</v>
      </c>
      <c r="E225" s="2" t="s">
        <v>285</v>
      </c>
      <c r="F225" s="2" t="s">
        <v>286</v>
      </c>
      <c r="G225" s="2" t="s">
        <v>287</v>
      </c>
      <c r="H225" s="2" t="s">
        <v>280</v>
      </c>
      <c r="I225" s="2">
        <f>ROUND(((1.3*0.17))/100,9)</f>
        <v>2.2100000000000002E-3</v>
      </c>
      <c r="J225" s="2">
        <v>0</v>
      </c>
      <c r="K225" s="2">
        <f>ROUND(((1.3*0.17))/100,9)</f>
        <v>2.2100000000000002E-3</v>
      </c>
      <c r="L225" s="2"/>
      <c r="M225" s="2"/>
      <c r="N225" s="2"/>
      <c r="O225" s="2">
        <f t="shared" si="176"/>
        <v>7.58</v>
      </c>
      <c r="P225" s="2">
        <f t="shared" si="177"/>
        <v>0</v>
      </c>
      <c r="Q225" s="2">
        <f t="shared" si="178"/>
        <v>5.99</v>
      </c>
      <c r="R225" s="2">
        <f t="shared" si="179"/>
        <v>0.45</v>
      </c>
      <c r="S225" s="2">
        <f t="shared" si="180"/>
        <v>1.59</v>
      </c>
      <c r="T225" s="2">
        <f t="shared" si="181"/>
        <v>0</v>
      </c>
      <c r="U225" s="2">
        <f t="shared" si="182"/>
        <v>0.1259902215</v>
      </c>
      <c r="V225" s="2">
        <f t="shared" si="183"/>
        <v>0</v>
      </c>
      <c r="W225" s="2">
        <f t="shared" si="184"/>
        <v>0</v>
      </c>
      <c r="X225" s="2">
        <f t="shared" si="185"/>
        <v>1.27</v>
      </c>
      <c r="Y225" s="2">
        <f t="shared" si="186"/>
        <v>0.87</v>
      </c>
      <c r="Z225" s="2"/>
      <c r="AA225" s="2">
        <v>56622523</v>
      </c>
      <c r="AB225" s="2">
        <f t="shared" si="187"/>
        <v>3277.703</v>
      </c>
      <c r="AC225" s="2">
        <f t="shared" si="188"/>
        <v>0</v>
      </c>
      <c r="AD225" s="2">
        <f t="shared" si="189"/>
        <v>2590.5439999999999</v>
      </c>
      <c r="AE225" s="2">
        <f t="shared" si="190"/>
        <v>193.63300000000001</v>
      </c>
      <c r="AF225" s="2">
        <f t="shared" si="190"/>
        <v>687.15899999999999</v>
      </c>
      <c r="AG225" s="2">
        <f t="shared" si="191"/>
        <v>0</v>
      </c>
      <c r="AH225" s="2">
        <f t="shared" si="192"/>
        <v>54.45</v>
      </c>
      <c r="AI225" s="2">
        <f t="shared" si="192"/>
        <v>0</v>
      </c>
      <c r="AJ225" s="2">
        <f t="shared" si="193"/>
        <v>0</v>
      </c>
      <c r="AK225" s="2">
        <v>2979.73</v>
      </c>
      <c r="AL225" s="2">
        <v>0</v>
      </c>
      <c r="AM225" s="2">
        <v>2355.04</v>
      </c>
      <c r="AN225" s="2">
        <v>176.03</v>
      </c>
      <c r="AO225" s="2">
        <v>624.69000000000005</v>
      </c>
      <c r="AP225" s="2">
        <v>0</v>
      </c>
      <c r="AQ225" s="2">
        <v>49.5</v>
      </c>
      <c r="AR225" s="2">
        <v>0</v>
      </c>
      <c r="AS225" s="2">
        <v>0</v>
      </c>
      <c r="AT225" s="2">
        <v>80</v>
      </c>
      <c r="AU225" s="2">
        <v>55</v>
      </c>
      <c r="AV225" s="2">
        <v>1.0469999999999999</v>
      </c>
      <c r="AW225" s="2">
        <v>1</v>
      </c>
      <c r="AX225" s="2"/>
      <c r="AY225" s="2"/>
      <c r="AZ225" s="2">
        <v>1</v>
      </c>
      <c r="BA225" s="2">
        <v>1</v>
      </c>
      <c r="BB225" s="2">
        <v>1</v>
      </c>
      <c r="BC225" s="2">
        <v>1</v>
      </c>
      <c r="BD225" s="2" t="s">
        <v>3</v>
      </c>
      <c r="BE225" s="2" t="s">
        <v>3</v>
      </c>
      <c r="BF225" s="2" t="s">
        <v>3</v>
      </c>
      <c r="BG225" s="2" t="s">
        <v>3</v>
      </c>
      <c r="BH225" s="2">
        <v>0</v>
      </c>
      <c r="BI225" s="2">
        <v>1</v>
      </c>
      <c r="BJ225" s="2" t="s">
        <v>288</v>
      </c>
      <c r="BK225" s="2"/>
      <c r="BL225" s="2"/>
      <c r="BM225" s="2">
        <v>674</v>
      </c>
      <c r="BN225" s="2">
        <v>0</v>
      </c>
      <c r="BO225" s="2" t="s">
        <v>3</v>
      </c>
      <c r="BP225" s="2">
        <v>0</v>
      </c>
      <c r="BQ225" s="2">
        <v>60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 t="s">
        <v>3</v>
      </c>
      <c r="BZ225" s="2">
        <v>80</v>
      </c>
      <c r="CA225" s="2">
        <v>55</v>
      </c>
      <c r="CB225" s="2" t="s">
        <v>3</v>
      </c>
      <c r="CC225" s="2"/>
      <c r="CD225" s="2"/>
      <c r="CE225" s="2">
        <v>30</v>
      </c>
      <c r="CF225" s="2">
        <v>0</v>
      </c>
      <c r="CG225" s="2">
        <v>0</v>
      </c>
      <c r="CH225" s="2"/>
      <c r="CI225" s="2"/>
      <c r="CJ225" s="2"/>
      <c r="CK225" s="2"/>
      <c r="CL225" s="2"/>
      <c r="CM225" s="2">
        <v>0</v>
      </c>
      <c r="CN225" s="2" t="s">
        <v>689</v>
      </c>
      <c r="CO225" s="2">
        <v>0</v>
      </c>
      <c r="CP225" s="2">
        <f t="shared" si="194"/>
        <v>7.58</v>
      </c>
      <c r="CQ225" s="2">
        <f t="shared" si="195"/>
        <v>0</v>
      </c>
      <c r="CR225" s="2">
        <f t="shared" si="196"/>
        <v>2712.3</v>
      </c>
      <c r="CS225" s="2">
        <f t="shared" si="197"/>
        <v>202.73</v>
      </c>
      <c r="CT225" s="2">
        <f t="shared" si="198"/>
        <v>719.46</v>
      </c>
      <c r="CU225" s="2">
        <f t="shared" si="199"/>
        <v>0</v>
      </c>
      <c r="CV225" s="2">
        <f t="shared" si="200"/>
        <v>57.009149999999998</v>
      </c>
      <c r="CW225" s="2">
        <f t="shared" si="201"/>
        <v>0</v>
      </c>
      <c r="CX225" s="2">
        <f t="shared" si="202"/>
        <v>0</v>
      </c>
      <c r="CY225" s="2">
        <f>((S225*BZ225)/100)</f>
        <v>1.272</v>
      </c>
      <c r="CZ225" s="2">
        <f>((S225*CA225)/100)</f>
        <v>0.87450000000000006</v>
      </c>
      <c r="DA225" s="2"/>
      <c r="DB225" s="2"/>
      <c r="DC225" s="2" t="s">
        <v>3</v>
      </c>
      <c r="DD225" s="2" t="s">
        <v>3</v>
      </c>
      <c r="DE225" s="2" t="s">
        <v>22</v>
      </c>
      <c r="DF225" s="2" t="s">
        <v>22</v>
      </c>
      <c r="DG225" s="2" t="s">
        <v>22</v>
      </c>
      <c r="DH225" s="2" t="s">
        <v>3</v>
      </c>
      <c r="DI225" s="2" t="s">
        <v>22</v>
      </c>
      <c r="DJ225" s="2" t="s">
        <v>22</v>
      </c>
      <c r="DK225" s="2" t="s">
        <v>3</v>
      </c>
      <c r="DL225" s="2" t="s">
        <v>3</v>
      </c>
      <c r="DM225" s="2" t="s">
        <v>3</v>
      </c>
      <c r="DN225" s="2">
        <v>0</v>
      </c>
      <c r="DO225" s="2">
        <v>0</v>
      </c>
      <c r="DP225" s="2">
        <v>1</v>
      </c>
      <c r="DQ225" s="2">
        <v>1</v>
      </c>
      <c r="DR225" s="2"/>
      <c r="DS225" s="2"/>
      <c r="DT225" s="2"/>
      <c r="DU225" s="2">
        <v>1007</v>
      </c>
      <c r="DV225" s="2" t="s">
        <v>280</v>
      </c>
      <c r="DW225" s="2" t="s">
        <v>280</v>
      </c>
      <c r="DX225" s="2">
        <v>100</v>
      </c>
      <c r="DY225" s="2"/>
      <c r="DZ225" s="2" t="s">
        <v>3</v>
      </c>
      <c r="EA225" s="2" t="s">
        <v>3</v>
      </c>
      <c r="EB225" s="2" t="s">
        <v>3</v>
      </c>
      <c r="EC225" s="2" t="s">
        <v>3</v>
      </c>
      <c r="ED225" s="2"/>
      <c r="EE225" s="2">
        <v>51696713</v>
      </c>
      <c r="EF225" s="2">
        <v>60</v>
      </c>
      <c r="EG225" s="2" t="s">
        <v>282</v>
      </c>
      <c r="EH225" s="2">
        <v>0</v>
      </c>
      <c r="EI225" s="2" t="s">
        <v>3</v>
      </c>
      <c r="EJ225" s="2">
        <v>1</v>
      </c>
      <c r="EK225" s="2">
        <v>674</v>
      </c>
      <c r="EL225" s="2" t="s">
        <v>283</v>
      </c>
      <c r="EM225" s="2" t="s">
        <v>284</v>
      </c>
      <c r="EN225" s="2"/>
      <c r="EO225" s="2" t="s">
        <v>26</v>
      </c>
      <c r="EP225" s="2"/>
      <c r="EQ225" s="2">
        <v>131072</v>
      </c>
      <c r="ER225" s="2">
        <v>2979.73</v>
      </c>
      <c r="ES225" s="2">
        <v>0</v>
      </c>
      <c r="ET225" s="2">
        <v>2355.04</v>
      </c>
      <c r="EU225" s="2">
        <v>176.03</v>
      </c>
      <c r="EV225" s="2">
        <v>624.69000000000005</v>
      </c>
      <c r="EW225" s="2">
        <v>49.5</v>
      </c>
      <c r="EX225" s="2">
        <v>0</v>
      </c>
      <c r="EY225" s="2">
        <v>0</v>
      </c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>
        <v>0</v>
      </c>
      <c r="FR225" s="2">
        <v>0</v>
      </c>
      <c r="FS225" s="2">
        <v>0</v>
      </c>
      <c r="FT225" s="2"/>
      <c r="FU225" s="2"/>
      <c r="FV225" s="2"/>
      <c r="FW225" s="2"/>
      <c r="FX225" s="2">
        <v>80</v>
      </c>
      <c r="FY225" s="2">
        <v>55</v>
      </c>
      <c r="FZ225" s="2"/>
      <c r="GA225" s="2" t="s">
        <v>3</v>
      </c>
      <c r="GB225" s="2"/>
      <c r="GC225" s="2"/>
      <c r="GD225" s="2">
        <v>0</v>
      </c>
      <c r="GE225" s="2"/>
      <c r="GF225" s="2">
        <v>-103070583</v>
      </c>
      <c r="GG225" s="2">
        <v>2</v>
      </c>
      <c r="GH225" s="2">
        <v>1</v>
      </c>
      <c r="GI225" s="2">
        <v>-2</v>
      </c>
      <c r="GJ225" s="2">
        <v>0</v>
      </c>
      <c r="GK225" s="2">
        <f>ROUND(R225*(R12)/100,2)</f>
        <v>0.79</v>
      </c>
      <c r="GL225" s="2">
        <f t="shared" si="203"/>
        <v>0</v>
      </c>
      <c r="GM225" s="2">
        <f t="shared" si="204"/>
        <v>10.51</v>
      </c>
      <c r="GN225" s="2">
        <f t="shared" si="205"/>
        <v>10.51</v>
      </c>
      <c r="GO225" s="2">
        <f t="shared" si="206"/>
        <v>0</v>
      </c>
      <c r="GP225" s="2">
        <f t="shared" si="207"/>
        <v>0</v>
      </c>
      <c r="GQ225" s="2"/>
      <c r="GR225" s="2">
        <v>0</v>
      </c>
      <c r="GS225" s="2">
        <v>0</v>
      </c>
      <c r="GT225" s="2">
        <v>0</v>
      </c>
      <c r="GU225" s="2" t="s">
        <v>3</v>
      </c>
      <c r="GV225" s="2">
        <f t="shared" si="208"/>
        <v>0</v>
      </c>
      <c r="GW225" s="2">
        <v>1</v>
      </c>
      <c r="GX225" s="2">
        <f t="shared" si="209"/>
        <v>0</v>
      </c>
      <c r="GY225" s="2"/>
      <c r="GZ225" s="2"/>
      <c r="HA225" s="2">
        <v>0</v>
      </c>
      <c r="HB225" s="2">
        <v>0</v>
      </c>
      <c r="HC225" s="2">
        <f t="shared" si="210"/>
        <v>0</v>
      </c>
      <c r="HD225" s="2"/>
      <c r="HE225" s="2" t="s">
        <v>3</v>
      </c>
      <c r="HF225" s="2" t="s">
        <v>3</v>
      </c>
      <c r="HG225" s="2"/>
      <c r="HH225" s="2"/>
      <c r="HI225" s="2"/>
      <c r="HJ225" s="2"/>
      <c r="HK225" s="2"/>
      <c r="HL225" s="2"/>
      <c r="HM225" s="2" t="s">
        <v>3</v>
      </c>
      <c r="HN225" s="2" t="s">
        <v>3</v>
      </c>
      <c r="HO225" s="2" t="s">
        <v>3</v>
      </c>
      <c r="HP225" s="2" t="s">
        <v>3</v>
      </c>
      <c r="HQ225" s="2" t="s">
        <v>3</v>
      </c>
      <c r="HR225" s="2"/>
      <c r="HS225" s="2">
        <v>0</v>
      </c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>
        <v>0</v>
      </c>
      <c r="IL225" s="2"/>
      <c r="IM225" s="2"/>
      <c r="IN225" s="2"/>
      <c r="IO225" s="2"/>
      <c r="IP225" s="2"/>
      <c r="IQ225" s="2"/>
      <c r="IR225" s="2"/>
      <c r="IS225" s="2"/>
      <c r="IT225" s="2"/>
      <c r="IU225" s="2"/>
    </row>
    <row r="226" spans="1:255" x14ac:dyDescent="0.2">
      <c r="A226">
        <v>17</v>
      </c>
      <c r="B226">
        <v>1</v>
      </c>
      <c r="D226">
        <f>ROW(EtalonRes!A310)</f>
        <v>310</v>
      </c>
      <c r="E226" t="s">
        <v>285</v>
      </c>
      <c r="F226" t="s">
        <v>286</v>
      </c>
      <c r="G226" t="s">
        <v>287</v>
      </c>
      <c r="H226" t="s">
        <v>280</v>
      </c>
      <c r="I226">
        <f>ROUND(((1.3*0.17))/100,9)</f>
        <v>2.2100000000000002E-3</v>
      </c>
      <c r="J226">
        <v>0</v>
      </c>
      <c r="K226">
        <f>ROUND(((1.3*0.17))/100,9)</f>
        <v>2.2100000000000002E-3</v>
      </c>
      <c r="O226">
        <f t="shared" si="176"/>
        <v>122.86</v>
      </c>
      <c r="P226">
        <f t="shared" si="177"/>
        <v>0</v>
      </c>
      <c r="Q226">
        <f t="shared" si="178"/>
        <v>67.989999999999995</v>
      </c>
      <c r="R226">
        <f t="shared" si="179"/>
        <v>15.53</v>
      </c>
      <c r="S226">
        <f t="shared" si="180"/>
        <v>54.87</v>
      </c>
      <c r="T226">
        <f t="shared" si="181"/>
        <v>0</v>
      </c>
      <c r="U226">
        <f t="shared" si="182"/>
        <v>0.1259902215</v>
      </c>
      <c r="V226">
        <f t="shared" si="183"/>
        <v>0</v>
      </c>
      <c r="W226">
        <f t="shared" si="184"/>
        <v>0</v>
      </c>
      <c r="X226">
        <f t="shared" si="185"/>
        <v>38.409999999999997</v>
      </c>
      <c r="Y226">
        <f t="shared" si="186"/>
        <v>22.5</v>
      </c>
      <c r="AA226">
        <v>56611490</v>
      </c>
      <c r="AB226">
        <f t="shared" si="187"/>
        <v>3277.703</v>
      </c>
      <c r="AC226">
        <f t="shared" si="188"/>
        <v>0</v>
      </c>
      <c r="AD226">
        <f t="shared" si="189"/>
        <v>2590.5439999999999</v>
      </c>
      <c r="AE226">
        <f t="shared" si="190"/>
        <v>193.63300000000001</v>
      </c>
      <c r="AF226">
        <f t="shared" si="190"/>
        <v>687.15899999999999</v>
      </c>
      <c r="AG226">
        <f t="shared" si="191"/>
        <v>0</v>
      </c>
      <c r="AH226">
        <f t="shared" si="192"/>
        <v>54.45</v>
      </c>
      <c r="AI226">
        <f t="shared" si="192"/>
        <v>0</v>
      </c>
      <c r="AJ226">
        <f t="shared" si="193"/>
        <v>0</v>
      </c>
      <c r="AK226">
        <v>2979.73</v>
      </c>
      <c r="AL226">
        <v>0</v>
      </c>
      <c r="AM226">
        <v>2355.04</v>
      </c>
      <c r="AN226">
        <v>176.03</v>
      </c>
      <c r="AO226">
        <v>624.69000000000005</v>
      </c>
      <c r="AP226">
        <v>0</v>
      </c>
      <c r="AQ226">
        <v>49.5</v>
      </c>
      <c r="AR226">
        <v>0</v>
      </c>
      <c r="AS226">
        <v>0</v>
      </c>
      <c r="AT226">
        <v>70</v>
      </c>
      <c r="AU226">
        <v>41</v>
      </c>
      <c r="AV226">
        <v>1.0469999999999999</v>
      </c>
      <c r="AW226">
        <v>1</v>
      </c>
      <c r="AZ226">
        <v>1</v>
      </c>
      <c r="BA226">
        <v>34.51</v>
      </c>
      <c r="BB226">
        <v>11.35</v>
      </c>
      <c r="BC226">
        <v>1</v>
      </c>
      <c r="BD226" t="s">
        <v>3</v>
      </c>
      <c r="BE226" t="s">
        <v>3</v>
      </c>
      <c r="BF226" t="s">
        <v>3</v>
      </c>
      <c r="BG226" t="s">
        <v>3</v>
      </c>
      <c r="BH226">
        <v>0</v>
      </c>
      <c r="BI226">
        <v>1</v>
      </c>
      <c r="BJ226" t="s">
        <v>288</v>
      </c>
      <c r="BM226">
        <v>674</v>
      </c>
      <c r="BN226">
        <v>0</v>
      </c>
      <c r="BO226" t="s">
        <v>286</v>
      </c>
      <c r="BP226">
        <v>1</v>
      </c>
      <c r="BQ226">
        <v>60</v>
      </c>
      <c r="BR226">
        <v>0</v>
      </c>
      <c r="BS226">
        <v>34.51</v>
      </c>
      <c r="BT226">
        <v>1</v>
      </c>
      <c r="BU226">
        <v>1</v>
      </c>
      <c r="BV226">
        <v>1</v>
      </c>
      <c r="BW226">
        <v>1</v>
      </c>
      <c r="BX226">
        <v>1</v>
      </c>
      <c r="BY226" t="s">
        <v>3</v>
      </c>
      <c r="BZ226">
        <v>70</v>
      </c>
      <c r="CA226">
        <v>41</v>
      </c>
      <c r="CB226" t="s">
        <v>3</v>
      </c>
      <c r="CE226">
        <v>30</v>
      </c>
      <c r="CF226">
        <v>0</v>
      </c>
      <c r="CG226">
        <v>0</v>
      </c>
      <c r="CM226">
        <v>0</v>
      </c>
      <c r="CN226" t="s">
        <v>689</v>
      </c>
      <c r="CO226">
        <v>0</v>
      </c>
      <c r="CP226">
        <f t="shared" si="194"/>
        <v>122.85999999999999</v>
      </c>
      <c r="CQ226">
        <f t="shared" si="195"/>
        <v>0</v>
      </c>
      <c r="CR226">
        <f t="shared" si="196"/>
        <v>30784.61</v>
      </c>
      <c r="CS226">
        <f t="shared" si="197"/>
        <v>6996.21</v>
      </c>
      <c r="CT226">
        <f t="shared" si="198"/>
        <v>24828.560000000001</v>
      </c>
      <c r="CU226">
        <f t="shared" si="199"/>
        <v>0</v>
      </c>
      <c r="CV226">
        <f t="shared" si="200"/>
        <v>57.009149999999998</v>
      </c>
      <c r="CW226">
        <f t="shared" si="201"/>
        <v>0</v>
      </c>
      <c r="CX226">
        <f t="shared" si="202"/>
        <v>0</v>
      </c>
      <c r="CY226">
        <f>S226*(BZ226/100)</f>
        <v>38.408999999999999</v>
      </c>
      <c r="CZ226">
        <f>S226*(CA226/100)</f>
        <v>22.496699999999997</v>
      </c>
      <c r="DC226" t="s">
        <v>3</v>
      </c>
      <c r="DD226" t="s">
        <v>3</v>
      </c>
      <c r="DE226" t="s">
        <v>22</v>
      </c>
      <c r="DF226" t="s">
        <v>22</v>
      </c>
      <c r="DG226" t="s">
        <v>22</v>
      </c>
      <c r="DH226" t="s">
        <v>3</v>
      </c>
      <c r="DI226" t="s">
        <v>22</v>
      </c>
      <c r="DJ226" t="s">
        <v>22</v>
      </c>
      <c r="DK226" t="s">
        <v>3</v>
      </c>
      <c r="DL226" t="s">
        <v>3</v>
      </c>
      <c r="DM226" t="s">
        <v>3</v>
      </c>
      <c r="DN226">
        <v>80</v>
      </c>
      <c r="DO226">
        <v>55</v>
      </c>
      <c r="DP226">
        <v>1.0469999999999999</v>
      </c>
      <c r="DQ226">
        <v>1</v>
      </c>
      <c r="DU226">
        <v>1007</v>
      </c>
      <c r="DV226" t="s">
        <v>280</v>
      </c>
      <c r="DW226" t="s">
        <v>280</v>
      </c>
      <c r="DX226">
        <v>100</v>
      </c>
      <c r="DZ226" t="s">
        <v>3</v>
      </c>
      <c r="EA226" t="s">
        <v>3</v>
      </c>
      <c r="EB226" t="s">
        <v>3</v>
      </c>
      <c r="EC226" t="s">
        <v>3</v>
      </c>
      <c r="EE226">
        <v>51696713</v>
      </c>
      <c r="EF226">
        <v>60</v>
      </c>
      <c r="EG226" t="s">
        <v>282</v>
      </c>
      <c r="EH226">
        <v>0</v>
      </c>
      <c r="EI226" t="s">
        <v>3</v>
      </c>
      <c r="EJ226">
        <v>1</v>
      </c>
      <c r="EK226">
        <v>674</v>
      </c>
      <c r="EL226" t="s">
        <v>283</v>
      </c>
      <c r="EM226" t="s">
        <v>284</v>
      </c>
      <c r="EO226" t="s">
        <v>26</v>
      </c>
      <c r="EQ226">
        <v>131072</v>
      </c>
      <c r="ER226">
        <v>2979.73</v>
      </c>
      <c r="ES226">
        <v>0</v>
      </c>
      <c r="ET226">
        <v>2355.04</v>
      </c>
      <c r="EU226">
        <v>176.03</v>
      </c>
      <c r="EV226">
        <v>624.69000000000005</v>
      </c>
      <c r="EW226">
        <v>49.5</v>
      </c>
      <c r="EX226">
        <v>0</v>
      </c>
      <c r="EY226">
        <v>0</v>
      </c>
      <c r="FQ226">
        <v>0</v>
      </c>
      <c r="FR226">
        <v>0</v>
      </c>
      <c r="FS226">
        <v>0</v>
      </c>
      <c r="FX226">
        <v>80</v>
      </c>
      <c r="FY226">
        <v>55</v>
      </c>
      <c r="GA226" t="s">
        <v>3</v>
      </c>
      <c r="GD226">
        <v>0</v>
      </c>
      <c r="GF226">
        <v>-103070583</v>
      </c>
      <c r="GG226">
        <v>2</v>
      </c>
      <c r="GH226">
        <v>1</v>
      </c>
      <c r="GI226">
        <v>2</v>
      </c>
      <c r="GJ226">
        <v>0</v>
      </c>
      <c r="GK226">
        <f>ROUND(R226*(S12)/100,2)</f>
        <v>24.85</v>
      </c>
      <c r="GL226">
        <f t="shared" si="203"/>
        <v>0</v>
      </c>
      <c r="GM226">
        <f t="shared" si="204"/>
        <v>208.62</v>
      </c>
      <c r="GN226">
        <f t="shared" si="205"/>
        <v>208.62</v>
      </c>
      <c r="GO226">
        <f t="shared" si="206"/>
        <v>0</v>
      </c>
      <c r="GP226">
        <f t="shared" si="207"/>
        <v>0</v>
      </c>
      <c r="GR226">
        <v>0</v>
      </c>
      <c r="GS226">
        <v>3</v>
      </c>
      <c r="GT226">
        <v>0</v>
      </c>
      <c r="GU226" t="s">
        <v>3</v>
      </c>
      <c r="GV226">
        <f t="shared" si="208"/>
        <v>0</v>
      </c>
      <c r="GW226">
        <v>1</v>
      </c>
      <c r="GX226">
        <f t="shared" si="209"/>
        <v>0</v>
      </c>
      <c r="HA226">
        <v>0</v>
      </c>
      <c r="HB226">
        <v>0</v>
      </c>
      <c r="HC226">
        <f t="shared" si="210"/>
        <v>0</v>
      </c>
      <c r="HE226" t="s">
        <v>3</v>
      </c>
      <c r="HF226" t="s">
        <v>3</v>
      </c>
      <c r="HM226" t="s">
        <v>3</v>
      </c>
      <c r="HN226" t="s">
        <v>3</v>
      </c>
      <c r="HO226" t="s">
        <v>3</v>
      </c>
      <c r="HP226" t="s">
        <v>3</v>
      </c>
      <c r="HQ226" t="s">
        <v>3</v>
      </c>
      <c r="HS226">
        <v>0</v>
      </c>
      <c r="IK226">
        <v>0</v>
      </c>
    </row>
    <row r="227" spans="1:255" x14ac:dyDescent="0.2">
      <c r="A227" s="2">
        <v>17</v>
      </c>
      <c r="B227" s="2">
        <v>1</v>
      </c>
      <c r="C227" s="2"/>
      <c r="D227" s="2">
        <f>ROW(EtalonRes!A311)</f>
        <v>311</v>
      </c>
      <c r="E227" s="2" t="s">
        <v>289</v>
      </c>
      <c r="F227" s="2" t="s">
        <v>290</v>
      </c>
      <c r="G227" s="2" t="s">
        <v>291</v>
      </c>
      <c r="H227" s="2" t="s">
        <v>292</v>
      </c>
      <c r="I227" s="2">
        <f>ROUND(((I223*2.4)+(I225*2.2))*100,9)</f>
        <v>1.2278</v>
      </c>
      <c r="J227" s="2">
        <v>0</v>
      </c>
      <c r="K227" s="2">
        <f>ROUND(((I223*2.4)+(I225*2.2))*100,9)</f>
        <v>1.2278</v>
      </c>
      <c r="L227" s="2"/>
      <c r="M227" s="2"/>
      <c r="N227" s="2"/>
      <c r="O227" s="2">
        <f t="shared" si="176"/>
        <v>12.53</v>
      </c>
      <c r="P227" s="2">
        <f t="shared" si="177"/>
        <v>0</v>
      </c>
      <c r="Q227" s="2">
        <f t="shared" si="178"/>
        <v>12.53</v>
      </c>
      <c r="R227" s="2">
        <f t="shared" si="179"/>
        <v>2.09</v>
      </c>
      <c r="S227" s="2">
        <f t="shared" si="180"/>
        <v>0</v>
      </c>
      <c r="T227" s="2">
        <f t="shared" si="181"/>
        <v>0</v>
      </c>
      <c r="U227" s="2">
        <f t="shared" si="182"/>
        <v>0</v>
      </c>
      <c r="V227" s="2">
        <f t="shared" si="183"/>
        <v>0</v>
      </c>
      <c r="W227" s="2">
        <f t="shared" si="184"/>
        <v>0</v>
      </c>
      <c r="X227" s="2">
        <f t="shared" si="185"/>
        <v>0</v>
      </c>
      <c r="Y227" s="2">
        <f t="shared" si="186"/>
        <v>0</v>
      </c>
      <c r="Z227" s="2"/>
      <c r="AA227" s="2">
        <v>56622523</v>
      </c>
      <c r="AB227" s="2">
        <f t="shared" si="187"/>
        <v>9.7460000000000004</v>
      </c>
      <c r="AC227" s="2">
        <f t="shared" si="188"/>
        <v>0</v>
      </c>
      <c r="AD227" s="2">
        <f t="shared" si="189"/>
        <v>9.7460000000000004</v>
      </c>
      <c r="AE227" s="2">
        <f t="shared" si="190"/>
        <v>1.6279999999999999</v>
      </c>
      <c r="AF227" s="2">
        <f t="shared" si="190"/>
        <v>0</v>
      </c>
      <c r="AG227" s="2">
        <f t="shared" si="191"/>
        <v>0</v>
      </c>
      <c r="AH227" s="2">
        <f t="shared" si="192"/>
        <v>0</v>
      </c>
      <c r="AI227" s="2">
        <f t="shared" si="192"/>
        <v>0</v>
      </c>
      <c r="AJ227" s="2">
        <f t="shared" si="193"/>
        <v>0</v>
      </c>
      <c r="AK227" s="2">
        <v>8.86</v>
      </c>
      <c r="AL227" s="2">
        <v>0</v>
      </c>
      <c r="AM227" s="2">
        <v>8.86</v>
      </c>
      <c r="AN227" s="2">
        <v>1.48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91</v>
      </c>
      <c r="AU227" s="2">
        <v>70</v>
      </c>
      <c r="AV227" s="2">
        <v>1.0469999999999999</v>
      </c>
      <c r="AW227" s="2">
        <v>1.002</v>
      </c>
      <c r="AX227" s="2"/>
      <c r="AY227" s="2"/>
      <c r="AZ227" s="2">
        <v>1</v>
      </c>
      <c r="BA227" s="2">
        <v>1</v>
      </c>
      <c r="BB227" s="2">
        <v>1</v>
      </c>
      <c r="BC227" s="2">
        <v>1</v>
      </c>
      <c r="BD227" s="2" t="s">
        <v>3</v>
      </c>
      <c r="BE227" s="2" t="s">
        <v>3</v>
      </c>
      <c r="BF227" s="2" t="s">
        <v>3</v>
      </c>
      <c r="BG227" s="2" t="s">
        <v>3</v>
      </c>
      <c r="BH227" s="2">
        <v>0</v>
      </c>
      <c r="BI227" s="2">
        <v>1</v>
      </c>
      <c r="BJ227" s="2" t="s">
        <v>293</v>
      </c>
      <c r="BK227" s="2"/>
      <c r="BL227" s="2"/>
      <c r="BM227" s="2">
        <v>658</v>
      </c>
      <c r="BN227" s="2">
        <v>0</v>
      </c>
      <c r="BO227" s="2" t="s">
        <v>3</v>
      </c>
      <c r="BP227" s="2">
        <v>0</v>
      </c>
      <c r="BQ227" s="2">
        <v>60</v>
      </c>
      <c r="BR227" s="2">
        <v>0</v>
      </c>
      <c r="BS227" s="2">
        <v>1</v>
      </c>
      <c r="BT227" s="2">
        <v>1</v>
      </c>
      <c r="BU227" s="2">
        <v>1</v>
      </c>
      <c r="BV227" s="2">
        <v>1</v>
      </c>
      <c r="BW227" s="2">
        <v>1</v>
      </c>
      <c r="BX227" s="2">
        <v>1</v>
      </c>
      <c r="BY227" s="2" t="s">
        <v>3</v>
      </c>
      <c r="BZ227" s="2">
        <v>91</v>
      </c>
      <c r="CA227" s="2">
        <v>70</v>
      </c>
      <c r="CB227" s="2" t="s">
        <v>3</v>
      </c>
      <c r="CC227" s="2"/>
      <c r="CD227" s="2"/>
      <c r="CE227" s="2">
        <v>30</v>
      </c>
      <c r="CF227" s="2">
        <v>0</v>
      </c>
      <c r="CG227" s="2">
        <v>0</v>
      </c>
      <c r="CH227" s="2"/>
      <c r="CI227" s="2"/>
      <c r="CJ227" s="2"/>
      <c r="CK227" s="2"/>
      <c r="CL227" s="2"/>
      <c r="CM227" s="2">
        <v>0</v>
      </c>
      <c r="CN227" s="2" t="s">
        <v>689</v>
      </c>
      <c r="CO227" s="2">
        <v>0</v>
      </c>
      <c r="CP227" s="2">
        <f t="shared" si="194"/>
        <v>12.53</v>
      </c>
      <c r="CQ227" s="2">
        <f t="shared" si="195"/>
        <v>0</v>
      </c>
      <c r="CR227" s="2">
        <f t="shared" si="196"/>
        <v>10.199999999999999</v>
      </c>
      <c r="CS227" s="2">
        <f t="shared" si="197"/>
        <v>1.7</v>
      </c>
      <c r="CT227" s="2">
        <f t="shared" si="198"/>
        <v>0</v>
      </c>
      <c r="CU227" s="2">
        <f t="shared" si="199"/>
        <v>0</v>
      </c>
      <c r="CV227" s="2">
        <f t="shared" si="200"/>
        <v>0</v>
      </c>
      <c r="CW227" s="2">
        <f t="shared" si="201"/>
        <v>0</v>
      </c>
      <c r="CX227" s="2">
        <f t="shared" si="202"/>
        <v>0</v>
      </c>
      <c r="CY227" s="2">
        <f>((S227*BZ227)/100)</f>
        <v>0</v>
      </c>
      <c r="CZ227" s="2">
        <f>((S227*CA227)/100)</f>
        <v>0</v>
      </c>
      <c r="DA227" s="2"/>
      <c r="DB227" s="2"/>
      <c r="DC227" s="2" t="s">
        <v>3</v>
      </c>
      <c r="DD227" s="2" t="s">
        <v>3</v>
      </c>
      <c r="DE227" s="2" t="s">
        <v>22</v>
      </c>
      <c r="DF227" s="2" t="s">
        <v>22</v>
      </c>
      <c r="DG227" s="2" t="s">
        <v>22</v>
      </c>
      <c r="DH227" s="2" t="s">
        <v>3</v>
      </c>
      <c r="DI227" s="2" t="s">
        <v>22</v>
      </c>
      <c r="DJ227" s="2" t="s">
        <v>22</v>
      </c>
      <c r="DK227" s="2" t="s">
        <v>3</v>
      </c>
      <c r="DL227" s="2" t="s">
        <v>3</v>
      </c>
      <c r="DM227" s="2" t="s">
        <v>3</v>
      </c>
      <c r="DN227" s="2">
        <v>0</v>
      </c>
      <c r="DO227" s="2">
        <v>0</v>
      </c>
      <c r="DP227" s="2">
        <v>1</v>
      </c>
      <c r="DQ227" s="2">
        <v>1</v>
      </c>
      <c r="DR227" s="2"/>
      <c r="DS227" s="2"/>
      <c r="DT227" s="2"/>
      <c r="DU227" s="2">
        <v>1013</v>
      </c>
      <c r="DV227" s="2" t="s">
        <v>292</v>
      </c>
      <c r="DW227" s="2" t="s">
        <v>292</v>
      </c>
      <c r="DX227" s="2">
        <v>1</v>
      </c>
      <c r="DY227" s="2"/>
      <c r="DZ227" s="2" t="s">
        <v>3</v>
      </c>
      <c r="EA227" s="2" t="s">
        <v>3</v>
      </c>
      <c r="EB227" s="2" t="s">
        <v>3</v>
      </c>
      <c r="EC227" s="2" t="s">
        <v>3</v>
      </c>
      <c r="ED227" s="2"/>
      <c r="EE227" s="2">
        <v>51696697</v>
      </c>
      <c r="EF227" s="2">
        <v>60</v>
      </c>
      <c r="EG227" s="2" t="s">
        <v>282</v>
      </c>
      <c r="EH227" s="2">
        <v>0</v>
      </c>
      <c r="EI227" s="2" t="s">
        <v>3</v>
      </c>
      <c r="EJ227" s="2">
        <v>1</v>
      </c>
      <c r="EK227" s="2">
        <v>658</v>
      </c>
      <c r="EL227" s="2" t="s">
        <v>294</v>
      </c>
      <c r="EM227" s="2" t="s">
        <v>295</v>
      </c>
      <c r="EN227" s="2"/>
      <c r="EO227" s="2" t="s">
        <v>26</v>
      </c>
      <c r="EP227" s="2"/>
      <c r="EQ227" s="2">
        <v>131072</v>
      </c>
      <c r="ER227" s="2">
        <v>8.86</v>
      </c>
      <c r="ES227" s="2">
        <v>0</v>
      </c>
      <c r="ET227" s="2">
        <v>8.86</v>
      </c>
      <c r="EU227" s="2">
        <v>1.48</v>
      </c>
      <c r="EV227" s="2">
        <v>0</v>
      </c>
      <c r="EW227" s="2">
        <v>0</v>
      </c>
      <c r="EX227" s="2">
        <v>0</v>
      </c>
      <c r="EY227" s="2">
        <v>0</v>
      </c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>
        <v>0</v>
      </c>
      <c r="FR227" s="2">
        <v>0</v>
      </c>
      <c r="FS227" s="2">
        <v>0</v>
      </c>
      <c r="FT227" s="2"/>
      <c r="FU227" s="2"/>
      <c r="FV227" s="2"/>
      <c r="FW227" s="2"/>
      <c r="FX227" s="2">
        <v>91</v>
      </c>
      <c r="FY227" s="2">
        <v>70</v>
      </c>
      <c r="FZ227" s="2"/>
      <c r="GA227" s="2" t="s">
        <v>3</v>
      </c>
      <c r="GB227" s="2"/>
      <c r="GC227" s="2"/>
      <c r="GD227" s="2">
        <v>0</v>
      </c>
      <c r="GE227" s="2"/>
      <c r="GF227" s="2">
        <v>-714011973</v>
      </c>
      <c r="GG227" s="2">
        <v>2</v>
      </c>
      <c r="GH227" s="2">
        <v>1</v>
      </c>
      <c r="GI227" s="2">
        <v>-2</v>
      </c>
      <c r="GJ227" s="2">
        <v>0</v>
      </c>
      <c r="GK227" s="2">
        <f>ROUND(R227*(R12)/100,2)</f>
        <v>3.66</v>
      </c>
      <c r="GL227" s="2">
        <f t="shared" si="203"/>
        <v>0</v>
      </c>
      <c r="GM227" s="2">
        <f t="shared" si="204"/>
        <v>16.190000000000001</v>
      </c>
      <c r="GN227" s="2">
        <f t="shared" si="205"/>
        <v>16.190000000000001</v>
      </c>
      <c r="GO227" s="2">
        <f t="shared" si="206"/>
        <v>0</v>
      </c>
      <c r="GP227" s="2">
        <f t="shared" si="207"/>
        <v>0</v>
      </c>
      <c r="GQ227" s="2"/>
      <c r="GR227" s="2">
        <v>0</v>
      </c>
      <c r="GS227" s="2">
        <v>0</v>
      </c>
      <c r="GT227" s="2">
        <v>0</v>
      </c>
      <c r="GU227" s="2" t="s">
        <v>3</v>
      </c>
      <c r="GV227" s="2">
        <f t="shared" si="208"/>
        <v>0</v>
      </c>
      <c r="GW227" s="2">
        <v>1</v>
      </c>
      <c r="GX227" s="2">
        <f t="shared" si="209"/>
        <v>0</v>
      </c>
      <c r="GY227" s="2"/>
      <c r="GZ227" s="2"/>
      <c r="HA227" s="2">
        <v>0</v>
      </c>
      <c r="HB227" s="2">
        <v>0</v>
      </c>
      <c r="HC227" s="2">
        <f t="shared" si="210"/>
        <v>0</v>
      </c>
      <c r="HD227" s="2"/>
      <c r="HE227" s="2" t="s">
        <v>3</v>
      </c>
      <c r="HF227" s="2" t="s">
        <v>3</v>
      </c>
      <c r="HG227" s="2"/>
      <c r="HH227" s="2"/>
      <c r="HI227" s="2"/>
      <c r="HJ227" s="2"/>
      <c r="HK227" s="2"/>
      <c r="HL227" s="2"/>
      <c r="HM227" s="2" t="s">
        <v>3</v>
      </c>
      <c r="HN227" s="2" t="s">
        <v>3</v>
      </c>
      <c r="HO227" s="2" t="s">
        <v>3</v>
      </c>
      <c r="HP227" s="2" t="s">
        <v>3</v>
      </c>
      <c r="HQ227" s="2" t="s">
        <v>3</v>
      </c>
      <c r="HR227" s="2"/>
      <c r="HS227" s="2">
        <v>0</v>
      </c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>
        <v>0</v>
      </c>
      <c r="IL227" s="2"/>
      <c r="IM227" s="2"/>
      <c r="IN227" s="2"/>
      <c r="IO227" s="2"/>
      <c r="IP227" s="2"/>
      <c r="IQ227" s="2"/>
      <c r="IR227" s="2"/>
      <c r="IS227" s="2"/>
      <c r="IT227" s="2"/>
      <c r="IU227" s="2"/>
    </row>
    <row r="228" spans="1:255" x14ac:dyDescent="0.2">
      <c r="A228">
        <v>17</v>
      </c>
      <c r="B228">
        <v>1</v>
      </c>
      <c r="D228">
        <f>ROW(EtalonRes!A312)</f>
        <v>312</v>
      </c>
      <c r="E228" t="s">
        <v>289</v>
      </c>
      <c r="F228" t="s">
        <v>290</v>
      </c>
      <c r="G228" t="s">
        <v>291</v>
      </c>
      <c r="H228" t="s">
        <v>292</v>
      </c>
      <c r="I228">
        <f>ROUND(((I224*2.4)+(I226*2.2))*100,9)</f>
        <v>1.2278</v>
      </c>
      <c r="J228">
        <v>0</v>
      </c>
      <c r="K228">
        <f>ROUND(((I224*2.4)+(I226*2.2))*100,9)</f>
        <v>1.2278</v>
      </c>
      <c r="O228">
        <f t="shared" si="176"/>
        <v>169.53</v>
      </c>
      <c r="P228">
        <f t="shared" si="177"/>
        <v>0</v>
      </c>
      <c r="Q228">
        <f t="shared" si="178"/>
        <v>169.53</v>
      </c>
      <c r="R228">
        <f t="shared" si="179"/>
        <v>72.13</v>
      </c>
      <c r="S228">
        <f t="shared" si="180"/>
        <v>0</v>
      </c>
      <c r="T228">
        <f t="shared" si="181"/>
        <v>0</v>
      </c>
      <c r="U228">
        <f t="shared" si="182"/>
        <v>0</v>
      </c>
      <c r="V228">
        <f t="shared" si="183"/>
        <v>0</v>
      </c>
      <c r="W228">
        <f t="shared" si="184"/>
        <v>0</v>
      </c>
      <c r="X228">
        <f t="shared" si="185"/>
        <v>0</v>
      </c>
      <c r="Y228">
        <f t="shared" si="186"/>
        <v>0</v>
      </c>
      <c r="AA228">
        <v>56611490</v>
      </c>
      <c r="AB228">
        <f t="shared" si="187"/>
        <v>9.7460000000000004</v>
      </c>
      <c r="AC228">
        <f t="shared" si="188"/>
        <v>0</v>
      </c>
      <c r="AD228">
        <f t="shared" si="189"/>
        <v>9.7460000000000004</v>
      </c>
      <c r="AE228">
        <f t="shared" si="190"/>
        <v>1.6279999999999999</v>
      </c>
      <c r="AF228">
        <f t="shared" si="190"/>
        <v>0</v>
      </c>
      <c r="AG228">
        <f t="shared" si="191"/>
        <v>0</v>
      </c>
      <c r="AH228">
        <f t="shared" si="192"/>
        <v>0</v>
      </c>
      <c r="AI228">
        <f t="shared" si="192"/>
        <v>0</v>
      </c>
      <c r="AJ228">
        <f t="shared" si="193"/>
        <v>0</v>
      </c>
      <c r="AK228">
        <v>8.86</v>
      </c>
      <c r="AL228">
        <v>0</v>
      </c>
      <c r="AM228">
        <v>8.86</v>
      </c>
      <c r="AN228">
        <v>1.48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75</v>
      </c>
      <c r="AU228">
        <v>41</v>
      </c>
      <c r="AV228">
        <v>1.0469999999999999</v>
      </c>
      <c r="AW228">
        <v>1.002</v>
      </c>
      <c r="AZ228">
        <v>1</v>
      </c>
      <c r="BA228">
        <v>34.51</v>
      </c>
      <c r="BB228">
        <v>13.53</v>
      </c>
      <c r="BC228">
        <v>1</v>
      </c>
      <c r="BD228" t="s">
        <v>3</v>
      </c>
      <c r="BE228" t="s">
        <v>3</v>
      </c>
      <c r="BF228" t="s">
        <v>3</v>
      </c>
      <c r="BG228" t="s">
        <v>3</v>
      </c>
      <c r="BH228">
        <v>0</v>
      </c>
      <c r="BI228">
        <v>1</v>
      </c>
      <c r="BJ228" t="s">
        <v>293</v>
      </c>
      <c r="BM228">
        <v>658</v>
      </c>
      <c r="BN228">
        <v>0</v>
      </c>
      <c r="BO228" t="s">
        <v>290</v>
      </c>
      <c r="BP228">
        <v>1</v>
      </c>
      <c r="BQ228">
        <v>60</v>
      </c>
      <c r="BR228">
        <v>0</v>
      </c>
      <c r="BS228">
        <v>34.51</v>
      </c>
      <c r="BT228">
        <v>1</v>
      </c>
      <c r="BU228">
        <v>1</v>
      </c>
      <c r="BV228">
        <v>1</v>
      </c>
      <c r="BW228">
        <v>1</v>
      </c>
      <c r="BX228">
        <v>1</v>
      </c>
      <c r="BY228" t="s">
        <v>3</v>
      </c>
      <c r="BZ228">
        <v>75</v>
      </c>
      <c r="CA228">
        <v>41</v>
      </c>
      <c r="CB228" t="s">
        <v>3</v>
      </c>
      <c r="CE228">
        <v>30</v>
      </c>
      <c r="CF228">
        <v>0</v>
      </c>
      <c r="CG228">
        <v>0</v>
      </c>
      <c r="CM228">
        <v>0</v>
      </c>
      <c r="CN228" t="s">
        <v>689</v>
      </c>
      <c r="CO228">
        <v>0</v>
      </c>
      <c r="CP228">
        <f t="shared" si="194"/>
        <v>169.53</v>
      </c>
      <c r="CQ228">
        <f t="shared" si="195"/>
        <v>0</v>
      </c>
      <c r="CR228">
        <f t="shared" si="196"/>
        <v>138.01</v>
      </c>
      <c r="CS228">
        <f t="shared" si="197"/>
        <v>58.67</v>
      </c>
      <c r="CT228">
        <f t="shared" si="198"/>
        <v>0</v>
      </c>
      <c r="CU228">
        <f t="shared" si="199"/>
        <v>0</v>
      </c>
      <c r="CV228">
        <f t="shared" si="200"/>
        <v>0</v>
      </c>
      <c r="CW228">
        <f t="shared" si="201"/>
        <v>0</v>
      </c>
      <c r="CX228">
        <f t="shared" si="202"/>
        <v>0</v>
      </c>
      <c r="CY228">
        <f>S228*(BZ228/100)</f>
        <v>0</v>
      </c>
      <c r="CZ228">
        <f>S228*(CA228/100)</f>
        <v>0</v>
      </c>
      <c r="DC228" t="s">
        <v>3</v>
      </c>
      <c r="DD228" t="s">
        <v>3</v>
      </c>
      <c r="DE228" t="s">
        <v>22</v>
      </c>
      <c r="DF228" t="s">
        <v>22</v>
      </c>
      <c r="DG228" t="s">
        <v>22</v>
      </c>
      <c r="DH228" t="s">
        <v>3</v>
      </c>
      <c r="DI228" t="s">
        <v>22</v>
      </c>
      <c r="DJ228" t="s">
        <v>22</v>
      </c>
      <c r="DK228" t="s">
        <v>3</v>
      </c>
      <c r="DL228" t="s">
        <v>3</v>
      </c>
      <c r="DM228" t="s">
        <v>3</v>
      </c>
      <c r="DN228">
        <v>91</v>
      </c>
      <c r="DO228">
        <v>70</v>
      </c>
      <c r="DP228">
        <v>1.0469999999999999</v>
      </c>
      <c r="DQ228">
        <v>1.002</v>
      </c>
      <c r="DU228">
        <v>1013</v>
      </c>
      <c r="DV228" t="s">
        <v>292</v>
      </c>
      <c r="DW228" t="s">
        <v>292</v>
      </c>
      <c r="DX228">
        <v>1</v>
      </c>
      <c r="DZ228" t="s">
        <v>3</v>
      </c>
      <c r="EA228" t="s">
        <v>3</v>
      </c>
      <c r="EB228" t="s">
        <v>3</v>
      </c>
      <c r="EC228" t="s">
        <v>3</v>
      </c>
      <c r="EE228">
        <v>51696697</v>
      </c>
      <c r="EF228">
        <v>60</v>
      </c>
      <c r="EG228" t="s">
        <v>282</v>
      </c>
      <c r="EH228">
        <v>0</v>
      </c>
      <c r="EI228" t="s">
        <v>3</v>
      </c>
      <c r="EJ228">
        <v>1</v>
      </c>
      <c r="EK228">
        <v>658</v>
      </c>
      <c r="EL228" t="s">
        <v>294</v>
      </c>
      <c r="EM228" t="s">
        <v>295</v>
      </c>
      <c r="EO228" t="s">
        <v>26</v>
      </c>
      <c r="EQ228">
        <v>131072</v>
      </c>
      <c r="ER228">
        <v>8.86</v>
      </c>
      <c r="ES228">
        <v>0</v>
      </c>
      <c r="ET228">
        <v>8.86</v>
      </c>
      <c r="EU228">
        <v>1.48</v>
      </c>
      <c r="EV228">
        <v>0</v>
      </c>
      <c r="EW228">
        <v>0</v>
      </c>
      <c r="EX228">
        <v>0</v>
      </c>
      <c r="EY228">
        <v>0</v>
      </c>
      <c r="FQ228">
        <v>0</v>
      </c>
      <c r="FR228">
        <v>0</v>
      </c>
      <c r="FS228">
        <v>0</v>
      </c>
      <c r="FX228">
        <v>91</v>
      </c>
      <c r="FY228">
        <v>70</v>
      </c>
      <c r="GA228" t="s">
        <v>3</v>
      </c>
      <c r="GD228">
        <v>0</v>
      </c>
      <c r="GF228">
        <v>-714011973</v>
      </c>
      <c r="GG228">
        <v>2</v>
      </c>
      <c r="GH228">
        <v>1</v>
      </c>
      <c r="GI228">
        <v>2</v>
      </c>
      <c r="GJ228">
        <v>0</v>
      </c>
      <c r="GK228">
        <f>ROUND(R228*(S12)/100,2)</f>
        <v>115.41</v>
      </c>
      <c r="GL228">
        <f t="shared" si="203"/>
        <v>0</v>
      </c>
      <c r="GM228">
        <f t="shared" si="204"/>
        <v>284.94</v>
      </c>
      <c r="GN228">
        <f t="shared" si="205"/>
        <v>284.94</v>
      </c>
      <c r="GO228">
        <f t="shared" si="206"/>
        <v>0</v>
      </c>
      <c r="GP228">
        <f t="shared" si="207"/>
        <v>0</v>
      </c>
      <c r="GR228">
        <v>0</v>
      </c>
      <c r="GS228">
        <v>3</v>
      </c>
      <c r="GT228">
        <v>0</v>
      </c>
      <c r="GU228" t="s">
        <v>3</v>
      </c>
      <c r="GV228">
        <f t="shared" si="208"/>
        <v>0</v>
      </c>
      <c r="GW228">
        <v>1</v>
      </c>
      <c r="GX228">
        <f t="shared" si="209"/>
        <v>0</v>
      </c>
      <c r="HA228">
        <v>0</v>
      </c>
      <c r="HB228">
        <v>0</v>
      </c>
      <c r="HC228">
        <f t="shared" si="210"/>
        <v>0</v>
      </c>
      <c r="HE228" t="s">
        <v>3</v>
      </c>
      <c r="HF228" t="s">
        <v>3</v>
      </c>
      <c r="HM228" t="s">
        <v>3</v>
      </c>
      <c r="HN228" t="s">
        <v>3</v>
      </c>
      <c r="HO228" t="s">
        <v>3</v>
      </c>
      <c r="HP228" t="s">
        <v>3</v>
      </c>
      <c r="HQ228" t="s">
        <v>3</v>
      </c>
      <c r="HS228">
        <v>0</v>
      </c>
      <c r="IK228">
        <v>0</v>
      </c>
    </row>
    <row r="229" spans="1:255" x14ac:dyDescent="0.2">
      <c r="A229" s="2">
        <v>17</v>
      </c>
      <c r="B229" s="2">
        <v>1</v>
      </c>
      <c r="C229" s="2">
        <f>ROW(SmtRes!A175)</f>
        <v>175</v>
      </c>
      <c r="D229" s="2">
        <f>ROW(EtalonRes!A320)</f>
        <v>320</v>
      </c>
      <c r="E229" s="2" t="s">
        <v>296</v>
      </c>
      <c r="F229" s="2" t="s">
        <v>297</v>
      </c>
      <c r="G229" s="2" t="s">
        <v>298</v>
      </c>
      <c r="H229" s="2" t="s">
        <v>299</v>
      </c>
      <c r="I229" s="2">
        <f>ROUND(1.3*0.35/100,9)</f>
        <v>4.5500000000000002E-3</v>
      </c>
      <c r="J229" s="2">
        <v>0</v>
      </c>
      <c r="K229" s="2">
        <f>ROUND(1.3*0.35/100,9)</f>
        <v>4.5500000000000002E-3</v>
      </c>
      <c r="L229" s="2"/>
      <c r="M229" s="2"/>
      <c r="N229" s="2"/>
      <c r="O229" s="2">
        <f t="shared" si="176"/>
        <v>7.2</v>
      </c>
      <c r="P229" s="2">
        <f t="shared" si="177"/>
        <v>0.16</v>
      </c>
      <c r="Q229" s="2">
        <f t="shared" si="178"/>
        <v>6.25</v>
      </c>
      <c r="R229" s="2">
        <f t="shared" si="179"/>
        <v>0.5</v>
      </c>
      <c r="S229" s="2">
        <f t="shared" si="180"/>
        <v>0.79</v>
      </c>
      <c r="T229" s="2">
        <f t="shared" si="181"/>
        <v>0</v>
      </c>
      <c r="U229" s="2">
        <f t="shared" si="182"/>
        <v>7.5459384000000004E-2</v>
      </c>
      <c r="V229" s="2">
        <f t="shared" si="183"/>
        <v>0</v>
      </c>
      <c r="W229" s="2">
        <f t="shared" si="184"/>
        <v>0</v>
      </c>
      <c r="X229" s="2">
        <f t="shared" si="185"/>
        <v>1.27</v>
      </c>
      <c r="Y229" s="2">
        <f t="shared" si="186"/>
        <v>0.85</v>
      </c>
      <c r="Z229" s="2"/>
      <c r="AA229" s="2">
        <v>56622523</v>
      </c>
      <c r="AB229" s="2">
        <f t="shared" si="187"/>
        <v>1513.2660000000001</v>
      </c>
      <c r="AC229" s="2">
        <f t="shared" si="188"/>
        <v>35.35</v>
      </c>
      <c r="AD229" s="2">
        <f t="shared" si="189"/>
        <v>1311.277</v>
      </c>
      <c r="AE229" s="2">
        <f t="shared" si="190"/>
        <v>104.41200000000001</v>
      </c>
      <c r="AF229" s="2">
        <f t="shared" si="190"/>
        <v>166.63900000000001</v>
      </c>
      <c r="AG229" s="2">
        <f t="shared" si="191"/>
        <v>0</v>
      </c>
      <c r="AH229" s="2">
        <f t="shared" si="192"/>
        <v>15.840000000000002</v>
      </c>
      <c r="AI229" s="2">
        <f t="shared" si="192"/>
        <v>0</v>
      </c>
      <c r="AJ229" s="2">
        <f t="shared" si="193"/>
        <v>0</v>
      </c>
      <c r="AK229" s="2">
        <v>1378.91</v>
      </c>
      <c r="AL229" s="2">
        <v>35.35</v>
      </c>
      <c r="AM229" s="2">
        <v>1192.07</v>
      </c>
      <c r="AN229" s="2">
        <v>94.92</v>
      </c>
      <c r="AO229" s="2">
        <v>151.49</v>
      </c>
      <c r="AP229" s="2">
        <v>0</v>
      </c>
      <c r="AQ229" s="2">
        <v>14.4</v>
      </c>
      <c r="AR229" s="2">
        <v>0</v>
      </c>
      <c r="AS229" s="2">
        <v>0</v>
      </c>
      <c r="AT229" s="2">
        <v>161</v>
      </c>
      <c r="AU229" s="2">
        <v>107</v>
      </c>
      <c r="AV229" s="2">
        <v>1.0469999999999999</v>
      </c>
      <c r="AW229" s="2">
        <v>1.002</v>
      </c>
      <c r="AX229" s="2"/>
      <c r="AY229" s="2"/>
      <c r="AZ229" s="2">
        <v>1</v>
      </c>
      <c r="BA229" s="2">
        <v>1</v>
      </c>
      <c r="BB229" s="2">
        <v>1</v>
      </c>
      <c r="BC229" s="2">
        <v>1</v>
      </c>
      <c r="BD229" s="2" t="s">
        <v>3</v>
      </c>
      <c r="BE229" s="2" t="s">
        <v>3</v>
      </c>
      <c r="BF229" s="2" t="s">
        <v>3</v>
      </c>
      <c r="BG229" s="2" t="s">
        <v>3</v>
      </c>
      <c r="BH229" s="2">
        <v>0</v>
      </c>
      <c r="BI229" s="2">
        <v>1</v>
      </c>
      <c r="BJ229" s="2" t="s">
        <v>300</v>
      </c>
      <c r="BK229" s="2"/>
      <c r="BL229" s="2"/>
      <c r="BM229" s="2">
        <v>146</v>
      </c>
      <c r="BN229" s="2">
        <v>0</v>
      </c>
      <c r="BO229" s="2" t="s">
        <v>3</v>
      </c>
      <c r="BP229" s="2">
        <v>0</v>
      </c>
      <c r="BQ229" s="2">
        <v>30</v>
      </c>
      <c r="BR229" s="2">
        <v>0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 t="s">
        <v>3</v>
      </c>
      <c r="BZ229" s="2">
        <v>161</v>
      </c>
      <c r="CA229" s="2">
        <v>107</v>
      </c>
      <c r="CB229" s="2" t="s">
        <v>3</v>
      </c>
      <c r="CC229" s="2"/>
      <c r="CD229" s="2"/>
      <c r="CE229" s="2">
        <v>30</v>
      </c>
      <c r="CF229" s="2">
        <v>0</v>
      </c>
      <c r="CG229" s="2">
        <v>0</v>
      </c>
      <c r="CH229" s="2"/>
      <c r="CI229" s="2"/>
      <c r="CJ229" s="2"/>
      <c r="CK229" s="2"/>
      <c r="CL229" s="2"/>
      <c r="CM229" s="2">
        <v>0</v>
      </c>
      <c r="CN229" s="2" t="s">
        <v>689</v>
      </c>
      <c r="CO229" s="2">
        <v>0</v>
      </c>
      <c r="CP229" s="2">
        <f t="shared" si="194"/>
        <v>7.2</v>
      </c>
      <c r="CQ229" s="2">
        <f t="shared" si="195"/>
        <v>35.42</v>
      </c>
      <c r="CR229" s="2">
        <f t="shared" si="196"/>
        <v>1372.91</v>
      </c>
      <c r="CS229" s="2">
        <f t="shared" si="197"/>
        <v>109.32</v>
      </c>
      <c r="CT229" s="2">
        <f t="shared" si="198"/>
        <v>174.47</v>
      </c>
      <c r="CU229" s="2">
        <f t="shared" si="199"/>
        <v>0</v>
      </c>
      <c r="CV229" s="2">
        <f t="shared" si="200"/>
        <v>16.584479999999999</v>
      </c>
      <c r="CW229" s="2">
        <f t="shared" si="201"/>
        <v>0</v>
      </c>
      <c r="CX229" s="2">
        <f t="shared" si="202"/>
        <v>0</v>
      </c>
      <c r="CY229" s="2">
        <f>((S229*BZ229)/100)</f>
        <v>1.2719</v>
      </c>
      <c r="CZ229" s="2">
        <f>((S229*CA229)/100)</f>
        <v>0.84530000000000005</v>
      </c>
      <c r="DA229" s="2"/>
      <c r="DB229" s="2"/>
      <c r="DC229" s="2" t="s">
        <v>3</v>
      </c>
      <c r="DD229" s="2" t="s">
        <v>3</v>
      </c>
      <c r="DE229" s="2" t="s">
        <v>22</v>
      </c>
      <c r="DF229" s="2" t="s">
        <v>22</v>
      </c>
      <c r="DG229" s="2" t="s">
        <v>22</v>
      </c>
      <c r="DH229" s="2" t="s">
        <v>3</v>
      </c>
      <c r="DI229" s="2" t="s">
        <v>22</v>
      </c>
      <c r="DJ229" s="2" t="s">
        <v>22</v>
      </c>
      <c r="DK229" s="2" t="s">
        <v>3</v>
      </c>
      <c r="DL229" s="2" t="s">
        <v>3</v>
      </c>
      <c r="DM229" s="2" t="s">
        <v>3</v>
      </c>
      <c r="DN229" s="2">
        <v>0</v>
      </c>
      <c r="DO229" s="2">
        <v>0</v>
      </c>
      <c r="DP229" s="2">
        <v>1</v>
      </c>
      <c r="DQ229" s="2">
        <v>1</v>
      </c>
      <c r="DR229" s="2"/>
      <c r="DS229" s="2"/>
      <c r="DT229" s="2"/>
      <c r="DU229" s="2">
        <v>1013</v>
      </c>
      <c r="DV229" s="2" t="s">
        <v>299</v>
      </c>
      <c r="DW229" s="2" t="s">
        <v>299</v>
      </c>
      <c r="DX229" s="2">
        <v>1</v>
      </c>
      <c r="DY229" s="2"/>
      <c r="DZ229" s="2" t="s">
        <v>3</v>
      </c>
      <c r="EA229" s="2" t="s">
        <v>3</v>
      </c>
      <c r="EB229" s="2" t="s">
        <v>3</v>
      </c>
      <c r="EC229" s="2" t="s">
        <v>3</v>
      </c>
      <c r="ED229" s="2"/>
      <c r="EE229" s="2">
        <v>51696185</v>
      </c>
      <c r="EF229" s="2">
        <v>30</v>
      </c>
      <c r="EG229" s="2" t="s">
        <v>23</v>
      </c>
      <c r="EH229" s="2">
        <v>0</v>
      </c>
      <c r="EI229" s="2" t="s">
        <v>3</v>
      </c>
      <c r="EJ229" s="2">
        <v>1</v>
      </c>
      <c r="EK229" s="2">
        <v>146</v>
      </c>
      <c r="EL229" s="2" t="s">
        <v>301</v>
      </c>
      <c r="EM229" s="2" t="s">
        <v>302</v>
      </c>
      <c r="EN229" s="2"/>
      <c r="EO229" s="2" t="s">
        <v>26</v>
      </c>
      <c r="EP229" s="2"/>
      <c r="EQ229" s="2">
        <v>131072</v>
      </c>
      <c r="ER229" s="2">
        <v>1378.91</v>
      </c>
      <c r="ES229" s="2">
        <v>35.35</v>
      </c>
      <c r="ET229" s="2">
        <v>1192.07</v>
      </c>
      <c r="EU229" s="2">
        <v>94.92</v>
      </c>
      <c r="EV229" s="2">
        <v>151.49</v>
      </c>
      <c r="EW229" s="2">
        <v>14.4</v>
      </c>
      <c r="EX229" s="2">
        <v>0</v>
      </c>
      <c r="EY229" s="2">
        <v>0</v>
      </c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>
        <v>0</v>
      </c>
      <c r="FR229" s="2">
        <v>0</v>
      </c>
      <c r="FS229" s="2">
        <v>0</v>
      </c>
      <c r="FT229" s="2"/>
      <c r="FU229" s="2"/>
      <c r="FV229" s="2"/>
      <c r="FW229" s="2"/>
      <c r="FX229" s="2">
        <v>161</v>
      </c>
      <c r="FY229" s="2">
        <v>107</v>
      </c>
      <c r="FZ229" s="2"/>
      <c r="GA229" s="2" t="s">
        <v>3</v>
      </c>
      <c r="GB229" s="2"/>
      <c r="GC229" s="2"/>
      <c r="GD229" s="2">
        <v>0</v>
      </c>
      <c r="GE229" s="2"/>
      <c r="GF229" s="2">
        <v>1372229329</v>
      </c>
      <c r="GG229" s="2">
        <v>2</v>
      </c>
      <c r="GH229" s="2">
        <v>1</v>
      </c>
      <c r="GI229" s="2">
        <v>-2</v>
      </c>
      <c r="GJ229" s="2">
        <v>0</v>
      </c>
      <c r="GK229" s="2">
        <f>ROUND(R229*(R12)/100,2)</f>
        <v>0.88</v>
      </c>
      <c r="GL229" s="2">
        <f t="shared" si="203"/>
        <v>0</v>
      </c>
      <c r="GM229" s="2">
        <f t="shared" si="204"/>
        <v>10.199999999999999</v>
      </c>
      <c r="GN229" s="2">
        <f t="shared" si="205"/>
        <v>10.199999999999999</v>
      </c>
      <c r="GO229" s="2">
        <f t="shared" si="206"/>
        <v>0</v>
      </c>
      <c r="GP229" s="2">
        <f t="shared" si="207"/>
        <v>0</v>
      </c>
      <c r="GQ229" s="2"/>
      <c r="GR229" s="2">
        <v>0</v>
      </c>
      <c r="GS229" s="2">
        <v>0</v>
      </c>
      <c r="GT229" s="2">
        <v>0</v>
      </c>
      <c r="GU229" s="2" t="s">
        <v>3</v>
      </c>
      <c r="GV229" s="2">
        <f t="shared" si="208"/>
        <v>0</v>
      </c>
      <c r="GW229" s="2">
        <v>1</v>
      </c>
      <c r="GX229" s="2">
        <f t="shared" si="209"/>
        <v>0</v>
      </c>
      <c r="GY229" s="2"/>
      <c r="GZ229" s="2"/>
      <c r="HA229" s="2">
        <v>0</v>
      </c>
      <c r="HB229" s="2">
        <v>0</v>
      </c>
      <c r="HC229" s="2">
        <f t="shared" si="210"/>
        <v>0</v>
      </c>
      <c r="HD229" s="2"/>
      <c r="HE229" s="2" t="s">
        <v>3</v>
      </c>
      <c r="HF229" s="2" t="s">
        <v>3</v>
      </c>
      <c r="HG229" s="2"/>
      <c r="HH229" s="2"/>
      <c r="HI229" s="2"/>
      <c r="HJ229" s="2"/>
      <c r="HK229" s="2"/>
      <c r="HL229" s="2"/>
      <c r="HM229" s="2" t="s">
        <v>3</v>
      </c>
      <c r="HN229" s="2" t="s">
        <v>3</v>
      </c>
      <c r="HO229" s="2" t="s">
        <v>3</v>
      </c>
      <c r="HP229" s="2" t="s">
        <v>3</v>
      </c>
      <c r="HQ229" s="2" t="s">
        <v>3</v>
      </c>
      <c r="HR229" s="2"/>
      <c r="HS229" s="2">
        <v>0</v>
      </c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>
        <v>0</v>
      </c>
      <c r="IL229" s="2"/>
      <c r="IM229" s="2"/>
      <c r="IN229" s="2"/>
      <c r="IO229" s="2"/>
      <c r="IP229" s="2"/>
      <c r="IQ229" s="2"/>
      <c r="IR229" s="2"/>
      <c r="IS229" s="2"/>
      <c r="IT229" s="2"/>
      <c r="IU229" s="2"/>
    </row>
    <row r="230" spans="1:255" x14ac:dyDescent="0.2">
      <c r="A230">
        <v>17</v>
      </c>
      <c r="B230">
        <v>1</v>
      </c>
      <c r="C230">
        <f>ROW(SmtRes!A176)</f>
        <v>176</v>
      </c>
      <c r="D230">
        <f>ROW(EtalonRes!A328)</f>
        <v>328</v>
      </c>
      <c r="E230" t="s">
        <v>296</v>
      </c>
      <c r="F230" t="s">
        <v>297</v>
      </c>
      <c r="G230" t="s">
        <v>298</v>
      </c>
      <c r="H230" t="s">
        <v>299</v>
      </c>
      <c r="I230">
        <f>ROUND(1.3*0.35/100,9)</f>
        <v>4.5500000000000002E-3</v>
      </c>
      <c r="J230">
        <v>0</v>
      </c>
      <c r="K230">
        <f>ROUND(1.3*0.35/100,9)</f>
        <v>4.5500000000000002E-3</v>
      </c>
      <c r="O230">
        <f t="shared" si="176"/>
        <v>101.52</v>
      </c>
      <c r="P230">
        <f t="shared" si="177"/>
        <v>1.1299999999999999</v>
      </c>
      <c r="Q230">
        <f t="shared" si="178"/>
        <v>73.13</v>
      </c>
      <c r="R230">
        <f t="shared" si="179"/>
        <v>17.260000000000002</v>
      </c>
      <c r="S230">
        <f t="shared" si="180"/>
        <v>27.26</v>
      </c>
      <c r="T230">
        <f t="shared" si="181"/>
        <v>0</v>
      </c>
      <c r="U230">
        <f t="shared" si="182"/>
        <v>7.5459384000000004E-2</v>
      </c>
      <c r="V230">
        <f t="shared" si="183"/>
        <v>0</v>
      </c>
      <c r="W230">
        <f t="shared" si="184"/>
        <v>0</v>
      </c>
      <c r="X230">
        <f t="shared" si="185"/>
        <v>36.53</v>
      </c>
      <c r="Y230">
        <f t="shared" si="186"/>
        <v>14.99</v>
      </c>
      <c r="AA230">
        <v>56611490</v>
      </c>
      <c r="AB230">
        <f t="shared" si="187"/>
        <v>1513.2660000000001</v>
      </c>
      <c r="AC230">
        <f t="shared" si="188"/>
        <v>35.35</v>
      </c>
      <c r="AD230">
        <f t="shared" si="189"/>
        <v>1311.277</v>
      </c>
      <c r="AE230">
        <f t="shared" si="190"/>
        <v>104.41200000000001</v>
      </c>
      <c r="AF230">
        <f t="shared" si="190"/>
        <v>166.63900000000001</v>
      </c>
      <c r="AG230">
        <f t="shared" si="191"/>
        <v>0</v>
      </c>
      <c r="AH230">
        <f t="shared" si="192"/>
        <v>15.840000000000002</v>
      </c>
      <c r="AI230">
        <f t="shared" si="192"/>
        <v>0</v>
      </c>
      <c r="AJ230">
        <f t="shared" si="193"/>
        <v>0</v>
      </c>
      <c r="AK230">
        <v>1378.91</v>
      </c>
      <c r="AL230">
        <v>35.35</v>
      </c>
      <c r="AM230">
        <v>1192.07</v>
      </c>
      <c r="AN230">
        <v>94.92</v>
      </c>
      <c r="AO230">
        <v>151.49</v>
      </c>
      <c r="AP230">
        <v>0</v>
      </c>
      <c r="AQ230">
        <v>14.4</v>
      </c>
      <c r="AR230">
        <v>0</v>
      </c>
      <c r="AS230">
        <v>0</v>
      </c>
      <c r="AT230">
        <v>134</v>
      </c>
      <c r="AU230">
        <v>55</v>
      </c>
      <c r="AV230">
        <v>1.0469999999999999</v>
      </c>
      <c r="AW230">
        <v>1.002</v>
      </c>
      <c r="AZ230">
        <v>1</v>
      </c>
      <c r="BA230">
        <v>34.51</v>
      </c>
      <c r="BB230">
        <v>11.7</v>
      </c>
      <c r="BC230">
        <v>7.05</v>
      </c>
      <c r="BD230" t="s">
        <v>3</v>
      </c>
      <c r="BE230" t="s">
        <v>3</v>
      </c>
      <c r="BF230" t="s">
        <v>3</v>
      </c>
      <c r="BG230" t="s">
        <v>3</v>
      </c>
      <c r="BH230">
        <v>0</v>
      </c>
      <c r="BI230">
        <v>1</v>
      </c>
      <c r="BJ230" t="s">
        <v>300</v>
      </c>
      <c r="BM230">
        <v>146</v>
      </c>
      <c r="BN230">
        <v>0</v>
      </c>
      <c r="BO230" t="s">
        <v>297</v>
      </c>
      <c r="BP230">
        <v>1</v>
      </c>
      <c r="BQ230">
        <v>30</v>
      </c>
      <c r="BR230">
        <v>0</v>
      </c>
      <c r="BS230">
        <v>34.51</v>
      </c>
      <c r="BT230">
        <v>1</v>
      </c>
      <c r="BU230">
        <v>1</v>
      </c>
      <c r="BV230">
        <v>1</v>
      </c>
      <c r="BW230">
        <v>1</v>
      </c>
      <c r="BX230">
        <v>1</v>
      </c>
      <c r="BY230" t="s">
        <v>3</v>
      </c>
      <c r="BZ230">
        <v>134</v>
      </c>
      <c r="CA230">
        <v>55</v>
      </c>
      <c r="CB230" t="s">
        <v>3</v>
      </c>
      <c r="CE230">
        <v>30</v>
      </c>
      <c r="CF230">
        <v>0</v>
      </c>
      <c r="CG230">
        <v>0</v>
      </c>
      <c r="CM230">
        <v>0</v>
      </c>
      <c r="CN230" t="s">
        <v>689</v>
      </c>
      <c r="CO230">
        <v>0</v>
      </c>
      <c r="CP230">
        <f t="shared" si="194"/>
        <v>101.52</v>
      </c>
      <c r="CQ230">
        <f t="shared" si="195"/>
        <v>249.71</v>
      </c>
      <c r="CR230">
        <f t="shared" si="196"/>
        <v>16063.05</v>
      </c>
      <c r="CS230">
        <f t="shared" si="197"/>
        <v>3772.63</v>
      </c>
      <c r="CT230">
        <f t="shared" si="198"/>
        <v>6020.96</v>
      </c>
      <c r="CU230">
        <f t="shared" si="199"/>
        <v>0</v>
      </c>
      <c r="CV230">
        <f t="shared" si="200"/>
        <v>16.584479999999999</v>
      </c>
      <c r="CW230">
        <f t="shared" si="201"/>
        <v>0</v>
      </c>
      <c r="CX230">
        <f t="shared" si="202"/>
        <v>0</v>
      </c>
      <c r="CY230">
        <f>S230*(BZ230/100)</f>
        <v>36.528400000000005</v>
      </c>
      <c r="CZ230">
        <f>S230*(CA230/100)</f>
        <v>14.993000000000002</v>
      </c>
      <c r="DC230" t="s">
        <v>3</v>
      </c>
      <c r="DD230" t="s">
        <v>3</v>
      </c>
      <c r="DE230" t="s">
        <v>22</v>
      </c>
      <c r="DF230" t="s">
        <v>22</v>
      </c>
      <c r="DG230" t="s">
        <v>22</v>
      </c>
      <c r="DH230" t="s">
        <v>3</v>
      </c>
      <c r="DI230" t="s">
        <v>22</v>
      </c>
      <c r="DJ230" t="s">
        <v>22</v>
      </c>
      <c r="DK230" t="s">
        <v>3</v>
      </c>
      <c r="DL230" t="s">
        <v>3</v>
      </c>
      <c r="DM230" t="s">
        <v>3</v>
      </c>
      <c r="DN230">
        <v>161</v>
      </c>
      <c r="DO230">
        <v>107</v>
      </c>
      <c r="DP230">
        <v>1.0469999999999999</v>
      </c>
      <c r="DQ230">
        <v>1.002</v>
      </c>
      <c r="DU230">
        <v>1013</v>
      </c>
      <c r="DV230" t="s">
        <v>299</v>
      </c>
      <c r="DW230" t="s">
        <v>299</v>
      </c>
      <c r="DX230">
        <v>1</v>
      </c>
      <c r="DZ230" t="s">
        <v>3</v>
      </c>
      <c r="EA230" t="s">
        <v>3</v>
      </c>
      <c r="EB230" t="s">
        <v>3</v>
      </c>
      <c r="EC230" t="s">
        <v>3</v>
      </c>
      <c r="EE230">
        <v>51696185</v>
      </c>
      <c r="EF230">
        <v>30</v>
      </c>
      <c r="EG230" t="s">
        <v>23</v>
      </c>
      <c r="EH230">
        <v>0</v>
      </c>
      <c r="EI230" t="s">
        <v>3</v>
      </c>
      <c r="EJ230">
        <v>1</v>
      </c>
      <c r="EK230">
        <v>146</v>
      </c>
      <c r="EL230" t="s">
        <v>301</v>
      </c>
      <c r="EM230" t="s">
        <v>302</v>
      </c>
      <c r="EO230" t="s">
        <v>26</v>
      </c>
      <c r="EQ230">
        <v>131072</v>
      </c>
      <c r="ER230">
        <v>1378.91</v>
      </c>
      <c r="ES230">
        <v>35.35</v>
      </c>
      <c r="ET230">
        <v>1192.07</v>
      </c>
      <c r="EU230">
        <v>94.92</v>
      </c>
      <c r="EV230">
        <v>151.49</v>
      </c>
      <c r="EW230">
        <v>14.4</v>
      </c>
      <c r="EX230">
        <v>0</v>
      </c>
      <c r="EY230">
        <v>0</v>
      </c>
      <c r="FQ230">
        <v>0</v>
      </c>
      <c r="FR230">
        <v>0</v>
      </c>
      <c r="FS230">
        <v>0</v>
      </c>
      <c r="FX230">
        <v>161</v>
      </c>
      <c r="FY230">
        <v>107</v>
      </c>
      <c r="GA230" t="s">
        <v>3</v>
      </c>
      <c r="GD230">
        <v>0</v>
      </c>
      <c r="GF230">
        <v>1372229329</v>
      </c>
      <c r="GG230">
        <v>2</v>
      </c>
      <c r="GH230">
        <v>1</v>
      </c>
      <c r="GI230">
        <v>2</v>
      </c>
      <c r="GJ230">
        <v>0</v>
      </c>
      <c r="GK230">
        <f>ROUND(R230*(S12)/100,2)</f>
        <v>27.62</v>
      </c>
      <c r="GL230">
        <f t="shared" si="203"/>
        <v>0</v>
      </c>
      <c r="GM230">
        <f t="shared" si="204"/>
        <v>180.66</v>
      </c>
      <c r="GN230">
        <f t="shared" si="205"/>
        <v>180.66</v>
      </c>
      <c r="GO230">
        <f t="shared" si="206"/>
        <v>0</v>
      </c>
      <c r="GP230">
        <f t="shared" si="207"/>
        <v>0</v>
      </c>
      <c r="GR230">
        <v>0</v>
      </c>
      <c r="GS230">
        <v>3</v>
      </c>
      <c r="GT230">
        <v>0</v>
      </c>
      <c r="GU230" t="s">
        <v>3</v>
      </c>
      <c r="GV230">
        <f t="shared" si="208"/>
        <v>0</v>
      </c>
      <c r="GW230">
        <v>1</v>
      </c>
      <c r="GX230">
        <f t="shared" si="209"/>
        <v>0</v>
      </c>
      <c r="HA230">
        <v>0</v>
      </c>
      <c r="HB230">
        <v>0</v>
      </c>
      <c r="HC230">
        <f t="shared" si="210"/>
        <v>0</v>
      </c>
      <c r="HE230" t="s">
        <v>3</v>
      </c>
      <c r="HF230" t="s">
        <v>3</v>
      </c>
      <c r="HM230" t="s">
        <v>3</v>
      </c>
      <c r="HN230" t="s">
        <v>3</v>
      </c>
      <c r="HO230" t="s">
        <v>3</v>
      </c>
      <c r="HP230" t="s">
        <v>3</v>
      </c>
      <c r="HQ230" t="s">
        <v>3</v>
      </c>
      <c r="HS230">
        <v>0</v>
      </c>
      <c r="IK230">
        <v>0</v>
      </c>
    </row>
    <row r="231" spans="1:255" x14ac:dyDescent="0.2">
      <c r="A231" s="2">
        <v>18</v>
      </c>
      <c r="B231" s="2">
        <v>1</v>
      </c>
      <c r="C231" s="2">
        <v>175</v>
      </c>
      <c r="D231" s="2"/>
      <c r="E231" s="2" t="s">
        <v>303</v>
      </c>
      <c r="F231" s="2" t="s">
        <v>86</v>
      </c>
      <c r="G231" s="2" t="s">
        <v>304</v>
      </c>
      <c r="H231" s="2" t="s">
        <v>88</v>
      </c>
      <c r="I231" s="2">
        <f>I229*J231</f>
        <v>0.50050000000000006</v>
      </c>
      <c r="J231" s="2">
        <v>110</v>
      </c>
      <c r="K231" s="2">
        <v>110</v>
      </c>
      <c r="L231" s="2"/>
      <c r="M231" s="2"/>
      <c r="N231" s="2"/>
      <c r="O231" s="2">
        <f t="shared" si="176"/>
        <v>52.65</v>
      </c>
      <c r="P231" s="2">
        <f t="shared" si="177"/>
        <v>52.65</v>
      </c>
      <c r="Q231" s="2">
        <f>(ROUND((ROUND(((ET231)*AV231*I231),2)*BB231),2)+ROUND((ROUND(((AE231-(EU231))*AV231*I231),2)*BS231),2))</f>
        <v>0</v>
      </c>
      <c r="R231" s="2">
        <f t="shared" si="179"/>
        <v>0</v>
      </c>
      <c r="S231" s="2">
        <f t="shared" si="180"/>
        <v>0</v>
      </c>
      <c r="T231" s="2">
        <f t="shared" si="181"/>
        <v>0</v>
      </c>
      <c r="U231" s="2">
        <f t="shared" si="182"/>
        <v>0</v>
      </c>
      <c r="V231" s="2">
        <f t="shared" si="183"/>
        <v>0</v>
      </c>
      <c r="W231" s="2">
        <f t="shared" si="184"/>
        <v>0</v>
      </c>
      <c r="X231" s="2">
        <f t="shared" si="185"/>
        <v>0</v>
      </c>
      <c r="Y231" s="2">
        <f t="shared" si="186"/>
        <v>0</v>
      </c>
      <c r="Z231" s="2"/>
      <c r="AA231" s="2">
        <v>56622523</v>
      </c>
      <c r="AB231" s="2">
        <f t="shared" si="187"/>
        <v>104.99</v>
      </c>
      <c r="AC231" s="2">
        <f t="shared" si="188"/>
        <v>104.99</v>
      </c>
      <c r="AD231" s="2">
        <f>ROUND((((ET231)-(EU231))+AE231),6)</f>
        <v>0</v>
      </c>
      <c r="AE231" s="2">
        <f>ROUND((EU231),6)</f>
        <v>0</v>
      </c>
      <c r="AF231" s="2">
        <f>ROUND((EV231),6)</f>
        <v>0</v>
      </c>
      <c r="AG231" s="2">
        <f t="shared" si="191"/>
        <v>0</v>
      </c>
      <c r="AH231" s="2">
        <f>(EW231)</f>
        <v>0</v>
      </c>
      <c r="AI231" s="2">
        <f>(EX231)</f>
        <v>0</v>
      </c>
      <c r="AJ231" s="2">
        <f t="shared" si="193"/>
        <v>0</v>
      </c>
      <c r="AK231" s="2">
        <v>104.99</v>
      </c>
      <c r="AL231" s="2">
        <v>104.99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161</v>
      </c>
      <c r="AU231" s="2">
        <v>107</v>
      </c>
      <c r="AV231" s="2">
        <v>1.0469999999999999</v>
      </c>
      <c r="AW231" s="2">
        <v>1.002</v>
      </c>
      <c r="AX231" s="2"/>
      <c r="AY231" s="2"/>
      <c r="AZ231" s="2">
        <v>1</v>
      </c>
      <c r="BA231" s="2">
        <v>1</v>
      </c>
      <c r="BB231" s="2">
        <v>1</v>
      </c>
      <c r="BC231" s="2">
        <v>1</v>
      </c>
      <c r="BD231" s="2" t="s">
        <v>3</v>
      </c>
      <c r="BE231" s="2" t="s">
        <v>3</v>
      </c>
      <c r="BF231" s="2" t="s">
        <v>3</v>
      </c>
      <c r="BG231" s="2" t="s">
        <v>3</v>
      </c>
      <c r="BH231" s="2">
        <v>3</v>
      </c>
      <c r="BI231" s="2">
        <v>1</v>
      </c>
      <c r="BJ231" s="2" t="s">
        <v>89</v>
      </c>
      <c r="BK231" s="2"/>
      <c r="BL231" s="2"/>
      <c r="BM231" s="2">
        <v>146</v>
      </c>
      <c r="BN231" s="2">
        <v>0</v>
      </c>
      <c r="BO231" s="2" t="s">
        <v>3</v>
      </c>
      <c r="BP231" s="2">
        <v>0</v>
      </c>
      <c r="BQ231" s="2">
        <v>30</v>
      </c>
      <c r="BR231" s="2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 t="s">
        <v>3</v>
      </c>
      <c r="BZ231" s="2">
        <v>161</v>
      </c>
      <c r="CA231" s="2">
        <v>107</v>
      </c>
      <c r="CB231" s="2" t="s">
        <v>3</v>
      </c>
      <c r="CC231" s="2"/>
      <c r="CD231" s="2"/>
      <c r="CE231" s="2">
        <v>30</v>
      </c>
      <c r="CF231" s="2">
        <v>0</v>
      </c>
      <c r="CG231" s="2">
        <v>0</v>
      </c>
      <c r="CH231" s="2"/>
      <c r="CI231" s="2"/>
      <c r="CJ231" s="2"/>
      <c r="CK231" s="2"/>
      <c r="CL231" s="2"/>
      <c r="CM231" s="2">
        <v>0</v>
      </c>
      <c r="CN231" s="2" t="s">
        <v>3</v>
      </c>
      <c r="CO231" s="2">
        <v>0</v>
      </c>
      <c r="CP231" s="2">
        <f t="shared" si="194"/>
        <v>52.65</v>
      </c>
      <c r="CQ231" s="2">
        <f t="shared" si="195"/>
        <v>105.2</v>
      </c>
      <c r="CR231" s="2">
        <f>(ROUND((ROUND(((ET231)*AV231*1),2)*BB231),2)+ROUND((ROUND(((AE231-(EU231))*AV231*1),2)*BS231),2))</f>
        <v>0</v>
      </c>
      <c r="CS231" s="2">
        <f t="shared" si="197"/>
        <v>0</v>
      </c>
      <c r="CT231" s="2">
        <f t="shared" si="198"/>
        <v>0</v>
      </c>
      <c r="CU231" s="2">
        <f t="shared" si="199"/>
        <v>0</v>
      </c>
      <c r="CV231" s="2">
        <f t="shared" si="200"/>
        <v>0</v>
      </c>
      <c r="CW231" s="2">
        <f t="shared" si="201"/>
        <v>0</v>
      </c>
      <c r="CX231" s="2">
        <f t="shared" si="202"/>
        <v>0</v>
      </c>
      <c r="CY231" s="2">
        <f>((S231*BZ231)/100)</f>
        <v>0</v>
      </c>
      <c r="CZ231" s="2">
        <f>((S231*CA231)/100)</f>
        <v>0</v>
      </c>
      <c r="DA231" s="2"/>
      <c r="DB231" s="2"/>
      <c r="DC231" s="2" t="s">
        <v>3</v>
      </c>
      <c r="DD231" s="2" t="s">
        <v>3</v>
      </c>
      <c r="DE231" s="2" t="s">
        <v>3</v>
      </c>
      <c r="DF231" s="2" t="s">
        <v>3</v>
      </c>
      <c r="DG231" s="2" t="s">
        <v>3</v>
      </c>
      <c r="DH231" s="2" t="s">
        <v>3</v>
      </c>
      <c r="DI231" s="2" t="s">
        <v>3</v>
      </c>
      <c r="DJ231" s="2" t="s">
        <v>3</v>
      </c>
      <c r="DK231" s="2" t="s">
        <v>3</v>
      </c>
      <c r="DL231" s="2" t="s">
        <v>3</v>
      </c>
      <c r="DM231" s="2" t="s">
        <v>3</v>
      </c>
      <c r="DN231" s="2">
        <v>0</v>
      </c>
      <c r="DO231" s="2">
        <v>0</v>
      </c>
      <c r="DP231" s="2">
        <v>1</v>
      </c>
      <c r="DQ231" s="2">
        <v>1</v>
      </c>
      <c r="DR231" s="2"/>
      <c r="DS231" s="2"/>
      <c r="DT231" s="2"/>
      <c r="DU231" s="2">
        <v>1007</v>
      </c>
      <c r="DV231" s="2" t="s">
        <v>88</v>
      </c>
      <c r="DW231" s="2" t="s">
        <v>88</v>
      </c>
      <c r="DX231" s="2">
        <v>1</v>
      </c>
      <c r="DY231" s="2"/>
      <c r="DZ231" s="2" t="s">
        <v>3</v>
      </c>
      <c r="EA231" s="2" t="s">
        <v>3</v>
      </c>
      <c r="EB231" s="2" t="s">
        <v>3</v>
      </c>
      <c r="EC231" s="2" t="s">
        <v>3</v>
      </c>
      <c r="ED231" s="2"/>
      <c r="EE231" s="2">
        <v>51696185</v>
      </c>
      <c r="EF231" s="2">
        <v>30</v>
      </c>
      <c r="EG231" s="2" t="s">
        <v>23</v>
      </c>
      <c r="EH231" s="2">
        <v>0</v>
      </c>
      <c r="EI231" s="2" t="s">
        <v>3</v>
      </c>
      <c r="EJ231" s="2">
        <v>1</v>
      </c>
      <c r="EK231" s="2">
        <v>146</v>
      </c>
      <c r="EL231" s="2" t="s">
        <v>301</v>
      </c>
      <c r="EM231" s="2" t="s">
        <v>302</v>
      </c>
      <c r="EN231" s="2"/>
      <c r="EO231" s="2" t="s">
        <v>3</v>
      </c>
      <c r="EP231" s="2"/>
      <c r="EQ231" s="2">
        <v>0</v>
      </c>
      <c r="ER231" s="2">
        <v>104.99</v>
      </c>
      <c r="ES231" s="2">
        <v>104.99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>
        <v>0</v>
      </c>
      <c r="FR231" s="2">
        <v>0</v>
      </c>
      <c r="FS231" s="2">
        <v>0</v>
      </c>
      <c r="FT231" s="2"/>
      <c r="FU231" s="2"/>
      <c r="FV231" s="2"/>
      <c r="FW231" s="2"/>
      <c r="FX231" s="2">
        <v>161</v>
      </c>
      <c r="FY231" s="2">
        <v>107</v>
      </c>
      <c r="FZ231" s="2"/>
      <c r="GA231" s="2" t="s">
        <v>3</v>
      </c>
      <c r="GB231" s="2"/>
      <c r="GC231" s="2"/>
      <c r="GD231" s="2">
        <v>0</v>
      </c>
      <c r="GE231" s="2"/>
      <c r="GF231" s="2">
        <v>921520</v>
      </c>
      <c r="GG231" s="2">
        <v>2</v>
      </c>
      <c r="GH231" s="2">
        <v>1</v>
      </c>
      <c r="GI231" s="2">
        <v>-2</v>
      </c>
      <c r="GJ231" s="2">
        <v>0</v>
      </c>
      <c r="GK231" s="2">
        <f>ROUND(R231*(R12)/100,2)</f>
        <v>0</v>
      </c>
      <c r="GL231" s="2">
        <f t="shared" si="203"/>
        <v>0</v>
      </c>
      <c r="GM231" s="2">
        <f t="shared" si="204"/>
        <v>52.65</v>
      </c>
      <c r="GN231" s="2">
        <f t="shared" si="205"/>
        <v>52.65</v>
      </c>
      <c r="GO231" s="2">
        <f t="shared" si="206"/>
        <v>0</v>
      </c>
      <c r="GP231" s="2">
        <f t="shared" si="207"/>
        <v>0</v>
      </c>
      <c r="GQ231" s="2"/>
      <c r="GR231" s="2">
        <v>0</v>
      </c>
      <c r="GS231" s="2">
        <v>0</v>
      </c>
      <c r="GT231" s="2">
        <v>0</v>
      </c>
      <c r="GU231" s="2" t="s">
        <v>3</v>
      </c>
      <c r="GV231" s="2">
        <f t="shared" si="208"/>
        <v>0</v>
      </c>
      <c r="GW231" s="2">
        <v>1</v>
      </c>
      <c r="GX231" s="2">
        <f t="shared" si="209"/>
        <v>0</v>
      </c>
      <c r="GY231" s="2"/>
      <c r="GZ231" s="2"/>
      <c r="HA231" s="2">
        <v>0</v>
      </c>
      <c r="HB231" s="2">
        <v>0</v>
      </c>
      <c r="HC231" s="2">
        <f t="shared" si="210"/>
        <v>0</v>
      </c>
      <c r="HD231" s="2"/>
      <c r="HE231" s="2" t="s">
        <v>3</v>
      </c>
      <c r="HF231" s="2" t="s">
        <v>3</v>
      </c>
      <c r="HG231" s="2"/>
      <c r="HH231" s="2"/>
      <c r="HI231" s="2"/>
      <c r="HJ231" s="2"/>
      <c r="HK231" s="2"/>
      <c r="HL231" s="2"/>
      <c r="HM231" s="2" t="s">
        <v>3</v>
      </c>
      <c r="HN231" s="2" t="s">
        <v>3</v>
      </c>
      <c r="HO231" s="2" t="s">
        <v>3</v>
      </c>
      <c r="HP231" s="2" t="s">
        <v>3</v>
      </c>
      <c r="HQ231" s="2" t="s">
        <v>3</v>
      </c>
      <c r="HR231" s="2"/>
      <c r="HS231" s="2">
        <v>0</v>
      </c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>
        <v>0</v>
      </c>
      <c r="IL231" s="2"/>
      <c r="IM231" s="2"/>
      <c r="IN231" s="2"/>
      <c r="IO231" s="2"/>
      <c r="IP231" s="2"/>
      <c r="IQ231" s="2"/>
      <c r="IR231" s="2"/>
      <c r="IS231" s="2"/>
      <c r="IT231" s="2"/>
      <c r="IU231" s="2"/>
    </row>
    <row r="232" spans="1:255" x14ac:dyDescent="0.2">
      <c r="A232">
        <v>18</v>
      </c>
      <c r="B232">
        <v>1</v>
      </c>
      <c r="C232">
        <v>176</v>
      </c>
      <c r="E232" t="s">
        <v>303</v>
      </c>
      <c r="F232" t="s">
        <v>86</v>
      </c>
      <c r="G232" t="s">
        <v>304</v>
      </c>
      <c r="H232" t="s">
        <v>88</v>
      </c>
      <c r="I232">
        <f>I230*J232</f>
        <v>0.50050000000000006</v>
      </c>
      <c r="J232">
        <v>110</v>
      </c>
      <c r="K232">
        <v>110</v>
      </c>
      <c r="O232">
        <f t="shared" si="176"/>
        <v>404.88</v>
      </c>
      <c r="P232">
        <f t="shared" si="177"/>
        <v>404.88</v>
      </c>
      <c r="Q232">
        <f>(ROUND((ROUND(((ET232)*AV232*I232),2)*BB232),2)+ROUND((ROUND(((AE232-(EU232))*AV232*I232),2)*BS232),2))</f>
        <v>0</v>
      </c>
      <c r="R232">
        <f t="shared" si="179"/>
        <v>0</v>
      </c>
      <c r="S232">
        <f t="shared" si="180"/>
        <v>0</v>
      </c>
      <c r="T232">
        <f t="shared" si="181"/>
        <v>0</v>
      </c>
      <c r="U232">
        <f t="shared" si="182"/>
        <v>0</v>
      </c>
      <c r="V232">
        <f t="shared" si="183"/>
        <v>0</v>
      </c>
      <c r="W232">
        <f t="shared" si="184"/>
        <v>0</v>
      </c>
      <c r="X232">
        <f t="shared" si="185"/>
        <v>0</v>
      </c>
      <c r="Y232">
        <f t="shared" si="186"/>
        <v>0</v>
      </c>
      <c r="AA232">
        <v>56611490</v>
      </c>
      <c r="AB232">
        <f t="shared" si="187"/>
        <v>104.99</v>
      </c>
      <c r="AC232">
        <f t="shared" si="188"/>
        <v>104.99</v>
      </c>
      <c r="AD232">
        <f>ROUND((((ET232)-(EU232))+AE232),6)</f>
        <v>0</v>
      </c>
      <c r="AE232">
        <f>ROUND((EU232),6)</f>
        <v>0</v>
      </c>
      <c r="AF232">
        <f>ROUND((EV232),6)</f>
        <v>0</v>
      </c>
      <c r="AG232">
        <f t="shared" si="191"/>
        <v>0</v>
      </c>
      <c r="AH232">
        <f>(EW232)</f>
        <v>0</v>
      </c>
      <c r="AI232">
        <f>(EX232)</f>
        <v>0</v>
      </c>
      <c r="AJ232">
        <f t="shared" si="193"/>
        <v>0</v>
      </c>
      <c r="AK232">
        <v>104.99</v>
      </c>
      <c r="AL232">
        <v>104.99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1.002</v>
      </c>
      <c r="AZ232">
        <v>1</v>
      </c>
      <c r="BA232">
        <v>1</v>
      </c>
      <c r="BB232">
        <v>1</v>
      </c>
      <c r="BC232">
        <v>7.69</v>
      </c>
      <c r="BD232" t="s">
        <v>3</v>
      </c>
      <c r="BE232" t="s">
        <v>3</v>
      </c>
      <c r="BF232" t="s">
        <v>3</v>
      </c>
      <c r="BG232" t="s">
        <v>3</v>
      </c>
      <c r="BH232">
        <v>3</v>
      </c>
      <c r="BI232">
        <v>1</v>
      </c>
      <c r="BJ232" t="s">
        <v>89</v>
      </c>
      <c r="BM232">
        <v>146</v>
      </c>
      <c r="BN232">
        <v>0</v>
      </c>
      <c r="BO232" t="s">
        <v>86</v>
      </c>
      <c r="BP232">
        <v>1</v>
      </c>
      <c r="BQ232">
        <v>30</v>
      </c>
      <c r="BR232">
        <v>0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 t="s">
        <v>3</v>
      </c>
      <c r="BZ232">
        <v>0</v>
      </c>
      <c r="CA232">
        <v>0</v>
      </c>
      <c r="CB232" t="s">
        <v>3</v>
      </c>
      <c r="CE232">
        <v>30</v>
      </c>
      <c r="CF232">
        <v>0</v>
      </c>
      <c r="CG232">
        <v>0</v>
      </c>
      <c r="CM232">
        <v>0</v>
      </c>
      <c r="CN232" t="s">
        <v>3</v>
      </c>
      <c r="CO232">
        <v>0</v>
      </c>
      <c r="CP232">
        <f t="shared" si="194"/>
        <v>404.88</v>
      </c>
      <c r="CQ232">
        <f t="shared" si="195"/>
        <v>808.99</v>
      </c>
      <c r="CR232">
        <f>(ROUND((ROUND(((ET232)*AV232*1),2)*BB232),2)+ROUND((ROUND(((AE232-(EU232))*AV232*1),2)*BS232),2))</f>
        <v>0</v>
      </c>
      <c r="CS232">
        <f t="shared" si="197"/>
        <v>0</v>
      </c>
      <c r="CT232">
        <f t="shared" si="198"/>
        <v>0</v>
      </c>
      <c r="CU232">
        <f t="shared" si="199"/>
        <v>0</v>
      </c>
      <c r="CV232">
        <f t="shared" si="200"/>
        <v>0</v>
      </c>
      <c r="CW232">
        <f t="shared" si="201"/>
        <v>0</v>
      </c>
      <c r="CX232">
        <f t="shared" si="202"/>
        <v>0</v>
      </c>
      <c r="CY232">
        <f>S232*(BZ232/100)</f>
        <v>0</v>
      </c>
      <c r="CZ232">
        <f>S232*(CA232/100)</f>
        <v>0</v>
      </c>
      <c r="DC232" t="s">
        <v>3</v>
      </c>
      <c r="DD232" t="s">
        <v>3</v>
      </c>
      <c r="DE232" t="s">
        <v>3</v>
      </c>
      <c r="DF232" t="s">
        <v>3</v>
      </c>
      <c r="DG232" t="s">
        <v>3</v>
      </c>
      <c r="DH232" t="s">
        <v>3</v>
      </c>
      <c r="DI232" t="s">
        <v>3</v>
      </c>
      <c r="DJ232" t="s">
        <v>3</v>
      </c>
      <c r="DK232" t="s">
        <v>3</v>
      </c>
      <c r="DL232" t="s">
        <v>3</v>
      </c>
      <c r="DM232" t="s">
        <v>3</v>
      </c>
      <c r="DN232">
        <v>161</v>
      </c>
      <c r="DO232">
        <v>107</v>
      </c>
      <c r="DP232">
        <v>1.0469999999999999</v>
      </c>
      <c r="DQ232">
        <v>1.002</v>
      </c>
      <c r="DU232">
        <v>1007</v>
      </c>
      <c r="DV232" t="s">
        <v>88</v>
      </c>
      <c r="DW232" t="s">
        <v>88</v>
      </c>
      <c r="DX232">
        <v>1</v>
      </c>
      <c r="DZ232" t="s">
        <v>3</v>
      </c>
      <c r="EA232" t="s">
        <v>3</v>
      </c>
      <c r="EB232" t="s">
        <v>3</v>
      </c>
      <c r="EC232" t="s">
        <v>3</v>
      </c>
      <c r="EE232">
        <v>51696185</v>
      </c>
      <c r="EF232">
        <v>30</v>
      </c>
      <c r="EG232" t="s">
        <v>23</v>
      </c>
      <c r="EH232">
        <v>0</v>
      </c>
      <c r="EI232" t="s">
        <v>3</v>
      </c>
      <c r="EJ232">
        <v>1</v>
      </c>
      <c r="EK232">
        <v>146</v>
      </c>
      <c r="EL232" t="s">
        <v>301</v>
      </c>
      <c r="EM232" t="s">
        <v>302</v>
      </c>
      <c r="EO232" t="s">
        <v>3</v>
      </c>
      <c r="EQ232">
        <v>0</v>
      </c>
      <c r="ER232">
        <v>104.99</v>
      </c>
      <c r="ES232">
        <v>104.99</v>
      </c>
      <c r="ET232">
        <v>0</v>
      </c>
      <c r="EU232">
        <v>0</v>
      </c>
      <c r="EV232">
        <v>0</v>
      </c>
      <c r="EW232">
        <v>0</v>
      </c>
      <c r="EX232">
        <v>0</v>
      </c>
      <c r="FQ232">
        <v>0</v>
      </c>
      <c r="FR232">
        <v>0</v>
      </c>
      <c r="FS232">
        <v>0</v>
      </c>
      <c r="FX232">
        <v>161</v>
      </c>
      <c r="FY232">
        <v>107</v>
      </c>
      <c r="GA232" t="s">
        <v>3</v>
      </c>
      <c r="GD232">
        <v>0</v>
      </c>
      <c r="GF232">
        <v>921520</v>
      </c>
      <c r="GG232">
        <v>2</v>
      </c>
      <c r="GH232">
        <v>1</v>
      </c>
      <c r="GI232">
        <v>2</v>
      </c>
      <c r="GJ232">
        <v>0</v>
      </c>
      <c r="GK232">
        <f>ROUND(R232*(S12)/100,2)</f>
        <v>0</v>
      </c>
      <c r="GL232">
        <f t="shared" si="203"/>
        <v>0</v>
      </c>
      <c r="GM232">
        <f t="shared" si="204"/>
        <v>404.88</v>
      </c>
      <c r="GN232">
        <f t="shared" si="205"/>
        <v>404.88</v>
      </c>
      <c r="GO232">
        <f t="shared" si="206"/>
        <v>0</v>
      </c>
      <c r="GP232">
        <f t="shared" si="207"/>
        <v>0</v>
      </c>
      <c r="GR232">
        <v>0</v>
      </c>
      <c r="GS232">
        <v>3</v>
      </c>
      <c r="GT232">
        <v>0</v>
      </c>
      <c r="GU232" t="s">
        <v>3</v>
      </c>
      <c r="GV232">
        <f t="shared" si="208"/>
        <v>0</v>
      </c>
      <c r="GW232">
        <v>1</v>
      </c>
      <c r="GX232">
        <f t="shared" si="209"/>
        <v>0</v>
      </c>
      <c r="HA232">
        <v>0</v>
      </c>
      <c r="HB232">
        <v>0</v>
      </c>
      <c r="HC232">
        <f t="shared" si="210"/>
        <v>0</v>
      </c>
      <c r="HE232" t="s">
        <v>3</v>
      </c>
      <c r="HF232" t="s">
        <v>3</v>
      </c>
      <c r="HM232" t="s">
        <v>3</v>
      </c>
      <c r="HN232" t="s">
        <v>3</v>
      </c>
      <c r="HO232" t="s">
        <v>3</v>
      </c>
      <c r="HP232" t="s">
        <v>3</v>
      </c>
      <c r="HQ232" t="s">
        <v>3</v>
      </c>
      <c r="HS232">
        <v>0</v>
      </c>
      <c r="IK232">
        <v>0</v>
      </c>
    </row>
    <row r="233" spans="1:255" x14ac:dyDescent="0.2">
      <c r="A233" s="2">
        <v>17</v>
      </c>
      <c r="B233" s="2">
        <v>1</v>
      </c>
      <c r="C233" s="2">
        <f>ROW(SmtRes!A177)</f>
        <v>177</v>
      </c>
      <c r="D233" s="2">
        <f>ROW(EtalonRes!A340)</f>
        <v>340</v>
      </c>
      <c r="E233" s="2" t="s">
        <v>305</v>
      </c>
      <c r="F233" s="2" t="s">
        <v>306</v>
      </c>
      <c r="G233" s="2" t="s">
        <v>307</v>
      </c>
      <c r="H233" s="2" t="s">
        <v>308</v>
      </c>
      <c r="I233" s="2">
        <f>ROUND(1.3/1000,9)</f>
        <v>1.2999999999999999E-3</v>
      </c>
      <c r="J233" s="2">
        <v>0</v>
      </c>
      <c r="K233" s="2">
        <f>ROUND(1.3/1000,9)</f>
        <v>1.2999999999999999E-3</v>
      </c>
      <c r="L233" s="2"/>
      <c r="M233" s="2"/>
      <c r="N233" s="2"/>
      <c r="O233" s="2">
        <f t="shared" si="176"/>
        <v>16.37</v>
      </c>
      <c r="P233" s="2">
        <f t="shared" si="177"/>
        <v>8.7799999999999994</v>
      </c>
      <c r="Q233" s="2">
        <f>(ROUND((ROUND((((ET233*1.1))*AV233*I233),2)*BB233),2)+ROUND((ROUND(((AE233-((EU233*1.1)))*AV233*I233),2)*BS233),2))</f>
        <v>3</v>
      </c>
      <c r="R233" s="2">
        <f t="shared" si="179"/>
        <v>0.24</v>
      </c>
      <c r="S233" s="2">
        <f t="shared" si="180"/>
        <v>4.59</v>
      </c>
      <c r="T233" s="2">
        <f t="shared" si="181"/>
        <v>0</v>
      </c>
      <c r="U233" s="2">
        <f t="shared" si="182"/>
        <v>0.39975507000000005</v>
      </c>
      <c r="V233" s="2">
        <f t="shared" si="183"/>
        <v>0</v>
      </c>
      <c r="W233" s="2">
        <f t="shared" si="184"/>
        <v>0</v>
      </c>
      <c r="X233" s="2">
        <f t="shared" si="185"/>
        <v>7.39</v>
      </c>
      <c r="Y233" s="2">
        <f t="shared" si="186"/>
        <v>4.91</v>
      </c>
      <c r="Z233" s="2"/>
      <c r="AA233" s="2">
        <v>56622523</v>
      </c>
      <c r="AB233" s="2">
        <f t="shared" si="187"/>
        <v>12318.191999999999</v>
      </c>
      <c r="AC233" s="2">
        <f t="shared" si="188"/>
        <v>6742.82</v>
      </c>
      <c r="AD233" s="2">
        <f>ROUND(((((ET233*1.1))-((EU233*1.1)))+AE233),6)</f>
        <v>2206.6329999999998</v>
      </c>
      <c r="AE233" s="2">
        <f>ROUND(((EU233*1.1)),6)</f>
        <v>179.828</v>
      </c>
      <c r="AF233" s="2">
        <f>ROUND(((EV233*1.1)),6)</f>
        <v>3368.739</v>
      </c>
      <c r="AG233" s="2">
        <f t="shared" si="191"/>
        <v>0</v>
      </c>
      <c r="AH233" s="2">
        <f>((EW233*1.1))</f>
        <v>293.70000000000005</v>
      </c>
      <c r="AI233" s="2">
        <f>((EX233*1.1))</f>
        <v>0</v>
      </c>
      <c r="AJ233" s="2">
        <f t="shared" si="193"/>
        <v>0</v>
      </c>
      <c r="AK233" s="2">
        <v>11811.34</v>
      </c>
      <c r="AL233" s="2">
        <v>6742.82</v>
      </c>
      <c r="AM233" s="2">
        <v>2006.03</v>
      </c>
      <c r="AN233" s="2">
        <v>163.47999999999999</v>
      </c>
      <c r="AO233" s="2">
        <v>3062.49</v>
      </c>
      <c r="AP233" s="2">
        <v>0</v>
      </c>
      <c r="AQ233" s="2">
        <v>267</v>
      </c>
      <c r="AR233" s="2">
        <v>0</v>
      </c>
      <c r="AS233" s="2">
        <v>0</v>
      </c>
      <c r="AT233" s="2">
        <v>161</v>
      </c>
      <c r="AU233" s="2">
        <v>107</v>
      </c>
      <c r="AV233" s="2">
        <v>1.0469999999999999</v>
      </c>
      <c r="AW233" s="2">
        <v>1.002</v>
      </c>
      <c r="AX233" s="2"/>
      <c r="AY233" s="2"/>
      <c r="AZ233" s="2">
        <v>1</v>
      </c>
      <c r="BA233" s="2">
        <v>1</v>
      </c>
      <c r="BB233" s="2">
        <v>1</v>
      </c>
      <c r="BC233" s="2">
        <v>1</v>
      </c>
      <c r="BD233" s="2" t="s">
        <v>3</v>
      </c>
      <c r="BE233" s="2" t="s">
        <v>3</v>
      </c>
      <c r="BF233" s="2" t="s">
        <v>3</v>
      </c>
      <c r="BG233" s="2" t="s">
        <v>3</v>
      </c>
      <c r="BH233" s="2">
        <v>0</v>
      </c>
      <c r="BI233" s="2">
        <v>1</v>
      </c>
      <c r="BJ233" s="2" t="s">
        <v>309</v>
      </c>
      <c r="BK233" s="2"/>
      <c r="BL233" s="2"/>
      <c r="BM233" s="2">
        <v>152</v>
      </c>
      <c r="BN233" s="2">
        <v>0</v>
      </c>
      <c r="BO233" s="2" t="s">
        <v>3</v>
      </c>
      <c r="BP233" s="2">
        <v>0</v>
      </c>
      <c r="BQ233" s="2">
        <v>30</v>
      </c>
      <c r="BR233" s="2">
        <v>0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 t="s">
        <v>3</v>
      </c>
      <c r="BZ233" s="2">
        <v>161</v>
      </c>
      <c r="CA233" s="2">
        <v>107</v>
      </c>
      <c r="CB233" s="2" t="s">
        <v>3</v>
      </c>
      <c r="CC233" s="2"/>
      <c r="CD233" s="2"/>
      <c r="CE233" s="2">
        <v>30</v>
      </c>
      <c r="CF233" s="2">
        <v>0</v>
      </c>
      <c r="CG233" s="2">
        <v>0</v>
      </c>
      <c r="CH233" s="2"/>
      <c r="CI233" s="2"/>
      <c r="CJ233" s="2"/>
      <c r="CK233" s="2"/>
      <c r="CL233" s="2"/>
      <c r="CM233" s="2">
        <v>0</v>
      </c>
      <c r="CN233" s="2" t="s">
        <v>689</v>
      </c>
      <c r="CO233" s="2">
        <v>0</v>
      </c>
      <c r="CP233" s="2">
        <f t="shared" si="194"/>
        <v>16.369999999999997</v>
      </c>
      <c r="CQ233" s="2">
        <f t="shared" si="195"/>
        <v>6756.31</v>
      </c>
      <c r="CR233" s="2">
        <f>(ROUND((ROUND((((ET233*1.1))*AV233*1),2)*BB233),2)+ROUND((ROUND(((AE233-((EU233*1.1)))*AV233*1),2)*BS233),2))</f>
        <v>2310.34</v>
      </c>
      <c r="CS233" s="2">
        <f t="shared" si="197"/>
        <v>188.28</v>
      </c>
      <c r="CT233" s="2">
        <f t="shared" si="198"/>
        <v>3527.07</v>
      </c>
      <c r="CU233" s="2">
        <f t="shared" si="199"/>
        <v>0</v>
      </c>
      <c r="CV233" s="2">
        <f t="shared" si="200"/>
        <v>307.50390000000004</v>
      </c>
      <c r="CW233" s="2">
        <f t="shared" si="201"/>
        <v>0</v>
      </c>
      <c r="CX233" s="2">
        <f t="shared" si="202"/>
        <v>0</v>
      </c>
      <c r="CY233" s="2">
        <f>((S233*BZ233)/100)</f>
        <v>7.3898999999999999</v>
      </c>
      <c r="CZ233" s="2">
        <f>((S233*CA233)/100)</f>
        <v>4.9112999999999998</v>
      </c>
      <c r="DA233" s="2"/>
      <c r="DB233" s="2"/>
      <c r="DC233" s="2" t="s">
        <v>3</v>
      </c>
      <c r="DD233" s="2" t="s">
        <v>3</v>
      </c>
      <c r="DE233" s="2" t="s">
        <v>22</v>
      </c>
      <c r="DF233" s="2" t="s">
        <v>22</v>
      </c>
      <c r="DG233" s="2" t="s">
        <v>22</v>
      </c>
      <c r="DH233" s="2" t="s">
        <v>3</v>
      </c>
      <c r="DI233" s="2" t="s">
        <v>22</v>
      </c>
      <c r="DJ233" s="2" t="s">
        <v>22</v>
      </c>
      <c r="DK233" s="2" t="s">
        <v>3</v>
      </c>
      <c r="DL233" s="2" t="s">
        <v>3</v>
      </c>
      <c r="DM233" s="2" t="s">
        <v>3</v>
      </c>
      <c r="DN233" s="2">
        <v>0</v>
      </c>
      <c r="DO233" s="2">
        <v>0</v>
      </c>
      <c r="DP233" s="2">
        <v>1</v>
      </c>
      <c r="DQ233" s="2">
        <v>1</v>
      </c>
      <c r="DR233" s="2"/>
      <c r="DS233" s="2"/>
      <c r="DT233" s="2"/>
      <c r="DU233" s="2">
        <v>1013</v>
      </c>
      <c r="DV233" s="2" t="s">
        <v>308</v>
      </c>
      <c r="DW233" s="2" t="s">
        <v>308</v>
      </c>
      <c r="DX233" s="2">
        <v>1</v>
      </c>
      <c r="DY233" s="2"/>
      <c r="DZ233" s="2" t="s">
        <v>3</v>
      </c>
      <c r="EA233" s="2" t="s">
        <v>3</v>
      </c>
      <c r="EB233" s="2" t="s">
        <v>3</v>
      </c>
      <c r="EC233" s="2" t="s">
        <v>3</v>
      </c>
      <c r="ED233" s="2"/>
      <c r="EE233" s="2">
        <v>51696191</v>
      </c>
      <c r="EF233" s="2">
        <v>30</v>
      </c>
      <c r="EG233" s="2" t="s">
        <v>23</v>
      </c>
      <c r="EH233" s="2">
        <v>0</v>
      </c>
      <c r="EI233" s="2" t="s">
        <v>3</v>
      </c>
      <c r="EJ233" s="2">
        <v>1</v>
      </c>
      <c r="EK233" s="2">
        <v>152</v>
      </c>
      <c r="EL233" s="2" t="s">
        <v>310</v>
      </c>
      <c r="EM233" s="2" t="s">
        <v>311</v>
      </c>
      <c r="EN233" s="2"/>
      <c r="EO233" s="2" t="s">
        <v>26</v>
      </c>
      <c r="EP233" s="2"/>
      <c r="EQ233" s="2">
        <v>131072</v>
      </c>
      <c r="ER233" s="2">
        <v>11811.34</v>
      </c>
      <c r="ES233" s="2">
        <v>6742.82</v>
      </c>
      <c r="ET233" s="2">
        <v>2006.03</v>
      </c>
      <c r="EU233" s="2">
        <v>163.47999999999999</v>
      </c>
      <c r="EV233" s="2">
        <v>3062.49</v>
      </c>
      <c r="EW233" s="2">
        <v>267</v>
      </c>
      <c r="EX233" s="2">
        <v>0</v>
      </c>
      <c r="EY233" s="2">
        <v>0</v>
      </c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>
        <v>0</v>
      </c>
      <c r="FR233" s="2">
        <v>0</v>
      </c>
      <c r="FS233" s="2">
        <v>0</v>
      </c>
      <c r="FT233" s="2"/>
      <c r="FU233" s="2"/>
      <c r="FV233" s="2"/>
      <c r="FW233" s="2"/>
      <c r="FX233" s="2">
        <v>161</v>
      </c>
      <c r="FY233" s="2">
        <v>107</v>
      </c>
      <c r="FZ233" s="2"/>
      <c r="GA233" s="2" t="s">
        <v>3</v>
      </c>
      <c r="GB233" s="2"/>
      <c r="GC233" s="2"/>
      <c r="GD233" s="2">
        <v>0</v>
      </c>
      <c r="GE233" s="2"/>
      <c r="GF233" s="2">
        <v>-245766510</v>
      </c>
      <c r="GG233" s="2">
        <v>2</v>
      </c>
      <c r="GH233" s="2">
        <v>1</v>
      </c>
      <c r="GI233" s="2">
        <v>-2</v>
      </c>
      <c r="GJ233" s="2">
        <v>0</v>
      </c>
      <c r="GK233" s="2">
        <f>ROUND(R233*(R12)/100,2)</f>
        <v>0.42</v>
      </c>
      <c r="GL233" s="2">
        <f t="shared" si="203"/>
        <v>0</v>
      </c>
      <c r="GM233" s="2">
        <f t="shared" si="204"/>
        <v>29.09</v>
      </c>
      <c r="GN233" s="2">
        <f t="shared" si="205"/>
        <v>29.09</v>
      </c>
      <c r="GO233" s="2">
        <f t="shared" si="206"/>
        <v>0</v>
      </c>
      <c r="GP233" s="2">
        <f t="shared" si="207"/>
        <v>0</v>
      </c>
      <c r="GQ233" s="2"/>
      <c r="GR233" s="2">
        <v>0</v>
      </c>
      <c r="GS233" s="2">
        <v>0</v>
      </c>
      <c r="GT233" s="2">
        <v>0</v>
      </c>
      <c r="GU233" s="2" t="s">
        <v>3</v>
      </c>
      <c r="GV233" s="2">
        <f t="shared" si="208"/>
        <v>0</v>
      </c>
      <c r="GW233" s="2">
        <v>1</v>
      </c>
      <c r="GX233" s="2">
        <f t="shared" si="209"/>
        <v>0</v>
      </c>
      <c r="GY233" s="2"/>
      <c r="GZ233" s="2"/>
      <c r="HA233" s="2">
        <v>0</v>
      </c>
      <c r="HB233" s="2">
        <v>0</v>
      </c>
      <c r="HC233" s="2">
        <f t="shared" si="210"/>
        <v>0</v>
      </c>
      <c r="HD233" s="2"/>
      <c r="HE233" s="2" t="s">
        <v>3</v>
      </c>
      <c r="HF233" s="2" t="s">
        <v>3</v>
      </c>
      <c r="HG233" s="2"/>
      <c r="HH233" s="2"/>
      <c r="HI233" s="2"/>
      <c r="HJ233" s="2"/>
      <c r="HK233" s="2"/>
      <c r="HL233" s="2"/>
      <c r="HM233" s="2" t="s">
        <v>3</v>
      </c>
      <c r="HN233" s="2" t="s">
        <v>3</v>
      </c>
      <c r="HO233" s="2" t="s">
        <v>3</v>
      </c>
      <c r="HP233" s="2" t="s">
        <v>3</v>
      </c>
      <c r="HQ233" s="2" t="s">
        <v>3</v>
      </c>
      <c r="HR233" s="2"/>
      <c r="HS233" s="2">
        <v>0</v>
      </c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>
        <v>0</v>
      </c>
      <c r="IL233" s="2"/>
      <c r="IM233" s="2"/>
      <c r="IN233" s="2"/>
      <c r="IO233" s="2"/>
      <c r="IP233" s="2"/>
      <c r="IQ233" s="2"/>
      <c r="IR233" s="2"/>
      <c r="IS233" s="2"/>
      <c r="IT233" s="2"/>
      <c r="IU233" s="2"/>
    </row>
    <row r="234" spans="1:255" x14ac:dyDescent="0.2">
      <c r="A234">
        <v>17</v>
      </c>
      <c r="B234">
        <v>1</v>
      </c>
      <c r="C234">
        <f>ROW(SmtRes!A178)</f>
        <v>178</v>
      </c>
      <c r="D234">
        <f>ROW(EtalonRes!A352)</f>
        <v>352</v>
      </c>
      <c r="E234" t="s">
        <v>305</v>
      </c>
      <c r="F234" t="s">
        <v>306</v>
      </c>
      <c r="G234" t="s">
        <v>307</v>
      </c>
      <c r="H234" t="s">
        <v>308</v>
      </c>
      <c r="I234">
        <f>ROUND(1.3/1000,9)</f>
        <v>1.2999999999999999E-3</v>
      </c>
      <c r="J234">
        <v>0</v>
      </c>
      <c r="K234">
        <f>ROUND(1.3/1000,9)</f>
        <v>1.2999999999999999E-3</v>
      </c>
      <c r="O234">
        <f t="shared" si="176"/>
        <v>255.5</v>
      </c>
      <c r="P234">
        <f t="shared" si="177"/>
        <v>62.6</v>
      </c>
      <c r="Q234">
        <f>(ROUND((ROUND((((ET234*1.1))*AV234*I234),2)*BB234),2)+ROUND((ROUND(((AE234-((EU234*1.1)))*AV234*I234),2)*BS234),2))</f>
        <v>34.5</v>
      </c>
      <c r="R234">
        <f t="shared" si="179"/>
        <v>8.2799999999999994</v>
      </c>
      <c r="S234">
        <f t="shared" si="180"/>
        <v>158.4</v>
      </c>
      <c r="T234">
        <f t="shared" si="181"/>
        <v>0</v>
      </c>
      <c r="U234">
        <f t="shared" si="182"/>
        <v>0.39975507000000005</v>
      </c>
      <c r="V234">
        <f t="shared" si="183"/>
        <v>0</v>
      </c>
      <c r="W234">
        <f t="shared" si="184"/>
        <v>0</v>
      </c>
      <c r="X234">
        <f t="shared" si="185"/>
        <v>212.26</v>
      </c>
      <c r="Y234">
        <f t="shared" si="186"/>
        <v>87.12</v>
      </c>
      <c r="AA234">
        <v>56611490</v>
      </c>
      <c r="AB234">
        <f t="shared" si="187"/>
        <v>12318.191999999999</v>
      </c>
      <c r="AC234">
        <f t="shared" si="188"/>
        <v>6742.82</v>
      </c>
      <c r="AD234">
        <f>ROUND(((((ET234*1.1))-((EU234*1.1)))+AE234),6)</f>
        <v>2206.6329999999998</v>
      </c>
      <c r="AE234">
        <f>ROUND(((EU234*1.1)),6)</f>
        <v>179.828</v>
      </c>
      <c r="AF234">
        <f>ROUND(((EV234*1.1)),6)</f>
        <v>3368.739</v>
      </c>
      <c r="AG234">
        <f t="shared" si="191"/>
        <v>0</v>
      </c>
      <c r="AH234">
        <f>((EW234*1.1))</f>
        <v>293.70000000000005</v>
      </c>
      <c r="AI234">
        <f>((EX234*1.1))</f>
        <v>0</v>
      </c>
      <c r="AJ234">
        <f t="shared" si="193"/>
        <v>0</v>
      </c>
      <c r="AK234">
        <v>11811.34</v>
      </c>
      <c r="AL234">
        <v>6742.82</v>
      </c>
      <c r="AM234">
        <v>2006.03</v>
      </c>
      <c r="AN234">
        <v>163.47999999999999</v>
      </c>
      <c r="AO234">
        <v>3062.49</v>
      </c>
      <c r="AP234">
        <v>0</v>
      </c>
      <c r="AQ234">
        <v>267</v>
      </c>
      <c r="AR234">
        <v>0</v>
      </c>
      <c r="AS234">
        <v>0</v>
      </c>
      <c r="AT234">
        <v>134</v>
      </c>
      <c r="AU234">
        <v>55</v>
      </c>
      <c r="AV234">
        <v>1.0469999999999999</v>
      </c>
      <c r="AW234">
        <v>1.002</v>
      </c>
      <c r="AZ234">
        <v>1</v>
      </c>
      <c r="BA234">
        <v>34.51</v>
      </c>
      <c r="BB234">
        <v>11.5</v>
      </c>
      <c r="BC234">
        <v>7.13</v>
      </c>
      <c r="BD234" t="s">
        <v>3</v>
      </c>
      <c r="BE234" t="s">
        <v>3</v>
      </c>
      <c r="BF234" t="s">
        <v>3</v>
      </c>
      <c r="BG234" t="s">
        <v>3</v>
      </c>
      <c r="BH234">
        <v>0</v>
      </c>
      <c r="BI234">
        <v>1</v>
      </c>
      <c r="BJ234" t="s">
        <v>309</v>
      </c>
      <c r="BM234">
        <v>152</v>
      </c>
      <c r="BN234">
        <v>0</v>
      </c>
      <c r="BO234" t="s">
        <v>306</v>
      </c>
      <c r="BP234">
        <v>1</v>
      </c>
      <c r="BQ234">
        <v>30</v>
      </c>
      <c r="BR234">
        <v>0</v>
      </c>
      <c r="BS234">
        <v>34.51</v>
      </c>
      <c r="BT234">
        <v>1</v>
      </c>
      <c r="BU234">
        <v>1</v>
      </c>
      <c r="BV234">
        <v>1</v>
      </c>
      <c r="BW234">
        <v>1</v>
      </c>
      <c r="BX234">
        <v>1</v>
      </c>
      <c r="BY234" t="s">
        <v>3</v>
      </c>
      <c r="BZ234">
        <v>134</v>
      </c>
      <c r="CA234">
        <v>55</v>
      </c>
      <c r="CB234" t="s">
        <v>3</v>
      </c>
      <c r="CE234">
        <v>30</v>
      </c>
      <c r="CF234">
        <v>0</v>
      </c>
      <c r="CG234">
        <v>0</v>
      </c>
      <c r="CM234">
        <v>0</v>
      </c>
      <c r="CN234" t="s">
        <v>689</v>
      </c>
      <c r="CO234">
        <v>0</v>
      </c>
      <c r="CP234">
        <f t="shared" si="194"/>
        <v>255.5</v>
      </c>
      <c r="CQ234">
        <f t="shared" si="195"/>
        <v>48172.49</v>
      </c>
      <c r="CR234">
        <f>(ROUND((ROUND((((ET234*1.1))*AV234*1),2)*BB234),2)+ROUND((ROUND(((AE234-((EU234*1.1)))*AV234*1),2)*BS234),2))</f>
        <v>26568.91</v>
      </c>
      <c r="CS234">
        <f t="shared" si="197"/>
        <v>6497.54</v>
      </c>
      <c r="CT234">
        <f t="shared" si="198"/>
        <v>121719.19</v>
      </c>
      <c r="CU234">
        <f t="shared" si="199"/>
        <v>0</v>
      </c>
      <c r="CV234">
        <f t="shared" si="200"/>
        <v>307.50390000000004</v>
      </c>
      <c r="CW234">
        <f t="shared" si="201"/>
        <v>0</v>
      </c>
      <c r="CX234">
        <f t="shared" si="202"/>
        <v>0</v>
      </c>
      <c r="CY234">
        <f>S234*(BZ234/100)</f>
        <v>212.25600000000003</v>
      </c>
      <c r="CZ234">
        <f>S234*(CA234/100)</f>
        <v>87.12</v>
      </c>
      <c r="DC234" t="s">
        <v>3</v>
      </c>
      <c r="DD234" t="s">
        <v>3</v>
      </c>
      <c r="DE234" t="s">
        <v>22</v>
      </c>
      <c r="DF234" t="s">
        <v>22</v>
      </c>
      <c r="DG234" t="s">
        <v>22</v>
      </c>
      <c r="DH234" t="s">
        <v>3</v>
      </c>
      <c r="DI234" t="s">
        <v>22</v>
      </c>
      <c r="DJ234" t="s">
        <v>22</v>
      </c>
      <c r="DK234" t="s">
        <v>3</v>
      </c>
      <c r="DL234" t="s">
        <v>3</v>
      </c>
      <c r="DM234" t="s">
        <v>3</v>
      </c>
      <c r="DN234">
        <v>161</v>
      </c>
      <c r="DO234">
        <v>107</v>
      </c>
      <c r="DP234">
        <v>1.0469999999999999</v>
      </c>
      <c r="DQ234">
        <v>1.002</v>
      </c>
      <c r="DU234">
        <v>1013</v>
      </c>
      <c r="DV234" t="s">
        <v>308</v>
      </c>
      <c r="DW234" t="s">
        <v>308</v>
      </c>
      <c r="DX234">
        <v>1</v>
      </c>
      <c r="DZ234" t="s">
        <v>3</v>
      </c>
      <c r="EA234" t="s">
        <v>3</v>
      </c>
      <c r="EB234" t="s">
        <v>3</v>
      </c>
      <c r="EC234" t="s">
        <v>3</v>
      </c>
      <c r="EE234">
        <v>51696191</v>
      </c>
      <c r="EF234">
        <v>30</v>
      </c>
      <c r="EG234" t="s">
        <v>23</v>
      </c>
      <c r="EH234">
        <v>0</v>
      </c>
      <c r="EI234" t="s">
        <v>3</v>
      </c>
      <c r="EJ234">
        <v>1</v>
      </c>
      <c r="EK234">
        <v>152</v>
      </c>
      <c r="EL234" t="s">
        <v>310</v>
      </c>
      <c r="EM234" t="s">
        <v>311</v>
      </c>
      <c r="EO234" t="s">
        <v>26</v>
      </c>
      <c r="EQ234">
        <v>131072</v>
      </c>
      <c r="ER234">
        <v>11811.34</v>
      </c>
      <c r="ES234">
        <v>6742.82</v>
      </c>
      <c r="ET234">
        <v>2006.03</v>
      </c>
      <c r="EU234">
        <v>163.47999999999999</v>
      </c>
      <c r="EV234">
        <v>3062.49</v>
      </c>
      <c r="EW234">
        <v>267</v>
      </c>
      <c r="EX234">
        <v>0</v>
      </c>
      <c r="EY234">
        <v>0</v>
      </c>
      <c r="FQ234">
        <v>0</v>
      </c>
      <c r="FR234">
        <v>0</v>
      </c>
      <c r="FS234">
        <v>0</v>
      </c>
      <c r="FX234">
        <v>161</v>
      </c>
      <c r="FY234">
        <v>107</v>
      </c>
      <c r="GA234" t="s">
        <v>3</v>
      </c>
      <c r="GD234">
        <v>0</v>
      </c>
      <c r="GF234">
        <v>-245766510</v>
      </c>
      <c r="GG234">
        <v>2</v>
      </c>
      <c r="GH234">
        <v>1</v>
      </c>
      <c r="GI234">
        <v>2</v>
      </c>
      <c r="GJ234">
        <v>0</v>
      </c>
      <c r="GK234">
        <f>ROUND(R234*(S12)/100,2)</f>
        <v>13.25</v>
      </c>
      <c r="GL234">
        <f t="shared" si="203"/>
        <v>0</v>
      </c>
      <c r="GM234">
        <f t="shared" si="204"/>
        <v>568.13</v>
      </c>
      <c r="GN234">
        <f t="shared" si="205"/>
        <v>568.13</v>
      </c>
      <c r="GO234">
        <f t="shared" si="206"/>
        <v>0</v>
      </c>
      <c r="GP234">
        <f t="shared" si="207"/>
        <v>0</v>
      </c>
      <c r="GR234">
        <v>0</v>
      </c>
      <c r="GS234">
        <v>3</v>
      </c>
      <c r="GT234">
        <v>0</v>
      </c>
      <c r="GU234" t="s">
        <v>3</v>
      </c>
      <c r="GV234">
        <f t="shared" si="208"/>
        <v>0</v>
      </c>
      <c r="GW234">
        <v>1</v>
      </c>
      <c r="GX234">
        <f t="shared" si="209"/>
        <v>0</v>
      </c>
      <c r="HA234">
        <v>0</v>
      </c>
      <c r="HB234">
        <v>0</v>
      </c>
      <c r="HC234">
        <f t="shared" si="210"/>
        <v>0</v>
      </c>
      <c r="HE234" t="s">
        <v>3</v>
      </c>
      <c r="HF234" t="s">
        <v>3</v>
      </c>
      <c r="HM234" t="s">
        <v>3</v>
      </c>
      <c r="HN234" t="s">
        <v>3</v>
      </c>
      <c r="HO234" t="s">
        <v>3</v>
      </c>
      <c r="HP234" t="s">
        <v>3</v>
      </c>
      <c r="HQ234" t="s">
        <v>3</v>
      </c>
      <c r="HS234">
        <v>0</v>
      </c>
      <c r="IK234">
        <v>0</v>
      </c>
    </row>
    <row r="235" spans="1:255" x14ac:dyDescent="0.2">
      <c r="A235" s="2">
        <v>18</v>
      </c>
      <c r="B235" s="2">
        <v>1</v>
      </c>
      <c r="C235" s="2">
        <v>177</v>
      </c>
      <c r="D235" s="2"/>
      <c r="E235" s="2" t="s">
        <v>312</v>
      </c>
      <c r="F235" s="2" t="s">
        <v>313</v>
      </c>
      <c r="G235" s="2" t="s">
        <v>314</v>
      </c>
      <c r="H235" s="2" t="s">
        <v>88</v>
      </c>
      <c r="I235" s="2">
        <f>I233*J235</f>
        <v>0.21060000000000004</v>
      </c>
      <c r="J235" s="2">
        <v>162.00000000000003</v>
      </c>
      <c r="K235" s="2">
        <v>162</v>
      </c>
      <c r="L235" s="2"/>
      <c r="M235" s="2"/>
      <c r="N235" s="2"/>
      <c r="O235" s="2">
        <f t="shared" si="176"/>
        <v>109.13</v>
      </c>
      <c r="P235" s="2">
        <f t="shared" si="177"/>
        <v>109.13</v>
      </c>
      <c r="Q235" s="2">
        <f>(ROUND((ROUND(((ET235)*AV235*I235),2)*BB235),2)+ROUND((ROUND(((AE235-(EU235))*AV235*I235),2)*BS235),2))</f>
        <v>0</v>
      </c>
      <c r="R235" s="2">
        <f t="shared" si="179"/>
        <v>0</v>
      </c>
      <c r="S235" s="2">
        <f t="shared" si="180"/>
        <v>0</v>
      </c>
      <c r="T235" s="2">
        <f t="shared" si="181"/>
        <v>0</v>
      </c>
      <c r="U235" s="2">
        <f t="shared" si="182"/>
        <v>0</v>
      </c>
      <c r="V235" s="2">
        <f t="shared" si="183"/>
        <v>0</v>
      </c>
      <c r="W235" s="2">
        <f t="shared" si="184"/>
        <v>0</v>
      </c>
      <c r="X235" s="2">
        <f t="shared" si="185"/>
        <v>0</v>
      </c>
      <c r="Y235" s="2">
        <f t="shared" si="186"/>
        <v>0</v>
      </c>
      <c r="Z235" s="2"/>
      <c r="AA235" s="2">
        <v>56622523</v>
      </c>
      <c r="AB235" s="2">
        <f t="shared" si="187"/>
        <v>517.14</v>
      </c>
      <c r="AC235" s="2">
        <f t="shared" si="188"/>
        <v>517.14</v>
      </c>
      <c r="AD235" s="2">
        <f>ROUND((((ET235)-(EU235))+AE235),6)</f>
        <v>0</v>
      </c>
      <c r="AE235" s="2">
        <f>ROUND((EU235),6)</f>
        <v>0</v>
      </c>
      <c r="AF235" s="2">
        <f>ROUND((EV235),6)</f>
        <v>0</v>
      </c>
      <c r="AG235" s="2">
        <f t="shared" si="191"/>
        <v>0</v>
      </c>
      <c r="AH235" s="2">
        <f>(EW235)</f>
        <v>0</v>
      </c>
      <c r="AI235" s="2">
        <f>(EX235)</f>
        <v>0</v>
      </c>
      <c r="AJ235" s="2">
        <f t="shared" si="193"/>
        <v>0</v>
      </c>
      <c r="AK235" s="2">
        <v>517.14</v>
      </c>
      <c r="AL235" s="2">
        <v>517.14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161</v>
      </c>
      <c r="AU235" s="2">
        <v>107</v>
      </c>
      <c r="AV235" s="2">
        <v>1.0469999999999999</v>
      </c>
      <c r="AW235" s="2">
        <v>1.002</v>
      </c>
      <c r="AX235" s="2"/>
      <c r="AY235" s="2"/>
      <c r="AZ235" s="2">
        <v>1</v>
      </c>
      <c r="BA235" s="2">
        <v>1</v>
      </c>
      <c r="BB235" s="2">
        <v>1</v>
      </c>
      <c r="BC235" s="2">
        <v>1</v>
      </c>
      <c r="BD235" s="2" t="s">
        <v>3</v>
      </c>
      <c r="BE235" s="2" t="s">
        <v>3</v>
      </c>
      <c r="BF235" s="2" t="s">
        <v>3</v>
      </c>
      <c r="BG235" s="2" t="s">
        <v>3</v>
      </c>
      <c r="BH235" s="2">
        <v>3</v>
      </c>
      <c r="BI235" s="2">
        <v>1</v>
      </c>
      <c r="BJ235" s="2" t="s">
        <v>315</v>
      </c>
      <c r="BK235" s="2"/>
      <c r="BL235" s="2"/>
      <c r="BM235" s="2">
        <v>152</v>
      </c>
      <c r="BN235" s="2">
        <v>0</v>
      </c>
      <c r="BO235" s="2" t="s">
        <v>3</v>
      </c>
      <c r="BP235" s="2">
        <v>0</v>
      </c>
      <c r="BQ235" s="2">
        <v>30</v>
      </c>
      <c r="BR235" s="2">
        <v>0</v>
      </c>
      <c r="BS235" s="2">
        <v>1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 t="s">
        <v>3</v>
      </c>
      <c r="BZ235" s="2">
        <v>161</v>
      </c>
      <c r="CA235" s="2">
        <v>107</v>
      </c>
      <c r="CB235" s="2" t="s">
        <v>3</v>
      </c>
      <c r="CC235" s="2"/>
      <c r="CD235" s="2"/>
      <c r="CE235" s="2">
        <v>30</v>
      </c>
      <c r="CF235" s="2">
        <v>0</v>
      </c>
      <c r="CG235" s="2">
        <v>0</v>
      </c>
      <c r="CH235" s="2"/>
      <c r="CI235" s="2"/>
      <c r="CJ235" s="2"/>
      <c r="CK235" s="2"/>
      <c r="CL235" s="2"/>
      <c r="CM235" s="2">
        <v>0</v>
      </c>
      <c r="CN235" s="2" t="s">
        <v>3</v>
      </c>
      <c r="CO235" s="2">
        <v>0</v>
      </c>
      <c r="CP235" s="2">
        <f t="shared" si="194"/>
        <v>109.13</v>
      </c>
      <c r="CQ235" s="2">
        <f t="shared" si="195"/>
        <v>518.16999999999996</v>
      </c>
      <c r="CR235" s="2">
        <f>(ROUND((ROUND(((ET235)*AV235*1),2)*BB235),2)+ROUND((ROUND(((AE235-(EU235))*AV235*1),2)*BS235),2))</f>
        <v>0</v>
      </c>
      <c r="CS235" s="2">
        <f t="shared" si="197"/>
        <v>0</v>
      </c>
      <c r="CT235" s="2">
        <f t="shared" si="198"/>
        <v>0</v>
      </c>
      <c r="CU235" s="2">
        <f t="shared" si="199"/>
        <v>0</v>
      </c>
      <c r="CV235" s="2">
        <f t="shared" si="200"/>
        <v>0</v>
      </c>
      <c r="CW235" s="2">
        <f t="shared" si="201"/>
        <v>0</v>
      </c>
      <c r="CX235" s="2">
        <f t="shared" si="202"/>
        <v>0</v>
      </c>
      <c r="CY235" s="2">
        <f>((S235*BZ235)/100)</f>
        <v>0</v>
      </c>
      <c r="CZ235" s="2">
        <f>((S235*CA235)/100)</f>
        <v>0</v>
      </c>
      <c r="DA235" s="2"/>
      <c r="DB235" s="2"/>
      <c r="DC235" s="2" t="s">
        <v>3</v>
      </c>
      <c r="DD235" s="2" t="s">
        <v>3</v>
      </c>
      <c r="DE235" s="2" t="s">
        <v>3</v>
      </c>
      <c r="DF235" s="2" t="s">
        <v>3</v>
      </c>
      <c r="DG235" s="2" t="s">
        <v>3</v>
      </c>
      <c r="DH235" s="2" t="s">
        <v>3</v>
      </c>
      <c r="DI235" s="2" t="s">
        <v>3</v>
      </c>
      <c r="DJ235" s="2" t="s">
        <v>3</v>
      </c>
      <c r="DK235" s="2" t="s">
        <v>3</v>
      </c>
      <c r="DL235" s="2" t="s">
        <v>3</v>
      </c>
      <c r="DM235" s="2" t="s">
        <v>3</v>
      </c>
      <c r="DN235" s="2">
        <v>0</v>
      </c>
      <c r="DO235" s="2">
        <v>0</v>
      </c>
      <c r="DP235" s="2">
        <v>1</v>
      </c>
      <c r="DQ235" s="2">
        <v>1</v>
      </c>
      <c r="DR235" s="2"/>
      <c r="DS235" s="2"/>
      <c r="DT235" s="2"/>
      <c r="DU235" s="2">
        <v>1007</v>
      </c>
      <c r="DV235" s="2" t="s">
        <v>88</v>
      </c>
      <c r="DW235" s="2" t="s">
        <v>88</v>
      </c>
      <c r="DX235" s="2">
        <v>1</v>
      </c>
      <c r="DY235" s="2"/>
      <c r="DZ235" s="2" t="s">
        <v>3</v>
      </c>
      <c r="EA235" s="2" t="s">
        <v>3</v>
      </c>
      <c r="EB235" s="2" t="s">
        <v>3</v>
      </c>
      <c r="EC235" s="2" t="s">
        <v>3</v>
      </c>
      <c r="ED235" s="2"/>
      <c r="EE235" s="2">
        <v>51696191</v>
      </c>
      <c r="EF235" s="2">
        <v>30</v>
      </c>
      <c r="EG235" s="2" t="s">
        <v>23</v>
      </c>
      <c r="EH235" s="2">
        <v>0</v>
      </c>
      <c r="EI235" s="2" t="s">
        <v>3</v>
      </c>
      <c r="EJ235" s="2">
        <v>1</v>
      </c>
      <c r="EK235" s="2">
        <v>152</v>
      </c>
      <c r="EL235" s="2" t="s">
        <v>310</v>
      </c>
      <c r="EM235" s="2" t="s">
        <v>311</v>
      </c>
      <c r="EN235" s="2"/>
      <c r="EO235" s="2" t="s">
        <v>3</v>
      </c>
      <c r="EP235" s="2"/>
      <c r="EQ235" s="2">
        <v>0</v>
      </c>
      <c r="ER235" s="2">
        <v>517.14</v>
      </c>
      <c r="ES235" s="2">
        <v>517.14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>
        <v>0</v>
      </c>
      <c r="FR235" s="2">
        <v>0</v>
      </c>
      <c r="FS235" s="2">
        <v>0</v>
      </c>
      <c r="FT235" s="2"/>
      <c r="FU235" s="2"/>
      <c r="FV235" s="2"/>
      <c r="FW235" s="2"/>
      <c r="FX235" s="2">
        <v>161</v>
      </c>
      <c r="FY235" s="2">
        <v>107</v>
      </c>
      <c r="FZ235" s="2"/>
      <c r="GA235" s="2" t="s">
        <v>3</v>
      </c>
      <c r="GB235" s="2"/>
      <c r="GC235" s="2"/>
      <c r="GD235" s="2">
        <v>0</v>
      </c>
      <c r="GE235" s="2"/>
      <c r="GF235" s="2">
        <v>-520181400</v>
      </c>
      <c r="GG235" s="2">
        <v>2</v>
      </c>
      <c r="GH235" s="2">
        <v>1</v>
      </c>
      <c r="GI235" s="2">
        <v>-2</v>
      </c>
      <c r="GJ235" s="2">
        <v>0</v>
      </c>
      <c r="GK235" s="2">
        <f>ROUND(R235*(R12)/100,2)</f>
        <v>0</v>
      </c>
      <c r="GL235" s="2">
        <f t="shared" si="203"/>
        <v>0</v>
      </c>
      <c r="GM235" s="2">
        <f t="shared" si="204"/>
        <v>109.13</v>
      </c>
      <c r="GN235" s="2">
        <f t="shared" si="205"/>
        <v>109.13</v>
      </c>
      <c r="GO235" s="2">
        <f t="shared" si="206"/>
        <v>0</v>
      </c>
      <c r="GP235" s="2">
        <f t="shared" si="207"/>
        <v>0</v>
      </c>
      <c r="GQ235" s="2"/>
      <c r="GR235" s="2">
        <v>0</v>
      </c>
      <c r="GS235" s="2">
        <v>0</v>
      </c>
      <c r="GT235" s="2">
        <v>0</v>
      </c>
      <c r="GU235" s="2" t="s">
        <v>3</v>
      </c>
      <c r="GV235" s="2">
        <f t="shared" si="208"/>
        <v>0</v>
      </c>
      <c r="GW235" s="2">
        <v>1</v>
      </c>
      <c r="GX235" s="2">
        <f t="shared" si="209"/>
        <v>0</v>
      </c>
      <c r="GY235" s="2"/>
      <c r="GZ235" s="2"/>
      <c r="HA235" s="2">
        <v>0</v>
      </c>
      <c r="HB235" s="2">
        <v>0</v>
      </c>
      <c r="HC235" s="2">
        <f t="shared" si="210"/>
        <v>0</v>
      </c>
      <c r="HD235" s="2"/>
      <c r="HE235" s="2" t="s">
        <v>3</v>
      </c>
      <c r="HF235" s="2" t="s">
        <v>3</v>
      </c>
      <c r="HG235" s="2"/>
      <c r="HH235" s="2"/>
      <c r="HI235" s="2"/>
      <c r="HJ235" s="2"/>
      <c r="HK235" s="2"/>
      <c r="HL235" s="2"/>
      <c r="HM235" s="2" t="s">
        <v>3</v>
      </c>
      <c r="HN235" s="2" t="s">
        <v>3</v>
      </c>
      <c r="HO235" s="2" t="s">
        <v>3</v>
      </c>
      <c r="HP235" s="2" t="s">
        <v>3</v>
      </c>
      <c r="HQ235" s="2" t="s">
        <v>3</v>
      </c>
      <c r="HR235" s="2"/>
      <c r="HS235" s="2">
        <v>0</v>
      </c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>
        <v>0</v>
      </c>
      <c r="IL235" s="2"/>
      <c r="IM235" s="2"/>
      <c r="IN235" s="2"/>
      <c r="IO235" s="2"/>
      <c r="IP235" s="2"/>
      <c r="IQ235" s="2"/>
      <c r="IR235" s="2"/>
      <c r="IS235" s="2"/>
      <c r="IT235" s="2"/>
      <c r="IU235" s="2"/>
    </row>
    <row r="236" spans="1:255" x14ac:dyDescent="0.2">
      <c r="A236">
        <v>18</v>
      </c>
      <c r="B236">
        <v>1</v>
      </c>
      <c r="C236">
        <v>178</v>
      </c>
      <c r="E236" t="s">
        <v>312</v>
      </c>
      <c r="F236" t="s">
        <v>313</v>
      </c>
      <c r="G236" t="s">
        <v>314</v>
      </c>
      <c r="H236" t="s">
        <v>88</v>
      </c>
      <c r="I236">
        <f>I234*J236</f>
        <v>0.21060000000000004</v>
      </c>
      <c r="J236">
        <v>162.00000000000003</v>
      </c>
      <c r="K236">
        <v>162</v>
      </c>
      <c r="O236">
        <f t="shared" si="176"/>
        <v>1203.7</v>
      </c>
      <c r="P236">
        <f t="shared" si="177"/>
        <v>1203.7</v>
      </c>
      <c r="Q236">
        <f>(ROUND((ROUND(((ET236)*AV236*I236),2)*BB236),2)+ROUND((ROUND(((AE236-(EU236))*AV236*I236),2)*BS236),2))</f>
        <v>0</v>
      </c>
      <c r="R236">
        <f t="shared" si="179"/>
        <v>0</v>
      </c>
      <c r="S236">
        <f t="shared" si="180"/>
        <v>0</v>
      </c>
      <c r="T236">
        <f t="shared" si="181"/>
        <v>0</v>
      </c>
      <c r="U236">
        <f t="shared" si="182"/>
        <v>0</v>
      </c>
      <c r="V236">
        <f t="shared" si="183"/>
        <v>0</v>
      </c>
      <c r="W236">
        <f t="shared" si="184"/>
        <v>0</v>
      </c>
      <c r="X236">
        <f t="shared" si="185"/>
        <v>0</v>
      </c>
      <c r="Y236">
        <f t="shared" si="186"/>
        <v>0</v>
      </c>
      <c r="AA236">
        <v>56611490</v>
      </c>
      <c r="AB236">
        <f t="shared" si="187"/>
        <v>517.14</v>
      </c>
      <c r="AC236">
        <f t="shared" si="188"/>
        <v>517.14</v>
      </c>
      <c r="AD236">
        <f>ROUND((((ET236)-(EU236))+AE236),6)</f>
        <v>0</v>
      </c>
      <c r="AE236">
        <f>ROUND((EU236),6)</f>
        <v>0</v>
      </c>
      <c r="AF236">
        <f>ROUND((EV236),6)</f>
        <v>0</v>
      </c>
      <c r="AG236">
        <f t="shared" si="191"/>
        <v>0</v>
      </c>
      <c r="AH236">
        <f>(EW236)</f>
        <v>0</v>
      </c>
      <c r="AI236">
        <f>(EX236)</f>
        <v>0</v>
      </c>
      <c r="AJ236">
        <f t="shared" si="193"/>
        <v>0</v>
      </c>
      <c r="AK236">
        <v>517.14</v>
      </c>
      <c r="AL236">
        <v>517.14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1.002</v>
      </c>
      <c r="AZ236">
        <v>1</v>
      </c>
      <c r="BA236">
        <v>1</v>
      </c>
      <c r="BB236">
        <v>1</v>
      </c>
      <c r="BC236">
        <v>11.03</v>
      </c>
      <c r="BD236" t="s">
        <v>3</v>
      </c>
      <c r="BE236" t="s">
        <v>3</v>
      </c>
      <c r="BF236" t="s">
        <v>3</v>
      </c>
      <c r="BG236" t="s">
        <v>3</v>
      </c>
      <c r="BH236">
        <v>3</v>
      </c>
      <c r="BI236">
        <v>1</v>
      </c>
      <c r="BJ236" t="s">
        <v>315</v>
      </c>
      <c r="BM236">
        <v>152</v>
      </c>
      <c r="BN236">
        <v>0</v>
      </c>
      <c r="BO236" t="s">
        <v>313</v>
      </c>
      <c r="BP236">
        <v>1</v>
      </c>
      <c r="BQ236">
        <v>30</v>
      </c>
      <c r="BR236">
        <v>0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 t="s">
        <v>3</v>
      </c>
      <c r="BZ236">
        <v>0</v>
      </c>
      <c r="CA236">
        <v>0</v>
      </c>
      <c r="CB236" t="s">
        <v>3</v>
      </c>
      <c r="CE236">
        <v>30</v>
      </c>
      <c r="CF236">
        <v>0</v>
      </c>
      <c r="CG236">
        <v>0</v>
      </c>
      <c r="CM236">
        <v>0</v>
      </c>
      <c r="CN236" t="s">
        <v>3</v>
      </c>
      <c r="CO236">
        <v>0</v>
      </c>
      <c r="CP236">
        <f t="shared" si="194"/>
        <v>1203.7</v>
      </c>
      <c r="CQ236">
        <f t="shared" si="195"/>
        <v>5715.42</v>
      </c>
      <c r="CR236">
        <f>(ROUND((ROUND(((ET236)*AV236*1),2)*BB236),2)+ROUND((ROUND(((AE236-(EU236))*AV236*1),2)*BS236),2))</f>
        <v>0</v>
      </c>
      <c r="CS236">
        <f t="shared" si="197"/>
        <v>0</v>
      </c>
      <c r="CT236">
        <f t="shared" si="198"/>
        <v>0</v>
      </c>
      <c r="CU236">
        <f t="shared" si="199"/>
        <v>0</v>
      </c>
      <c r="CV236">
        <f t="shared" si="200"/>
        <v>0</v>
      </c>
      <c r="CW236">
        <f t="shared" si="201"/>
        <v>0</v>
      </c>
      <c r="CX236">
        <f t="shared" si="202"/>
        <v>0</v>
      </c>
      <c r="CY236">
        <f>S236*(BZ236/100)</f>
        <v>0</v>
      </c>
      <c r="CZ236">
        <f>S236*(CA236/100)</f>
        <v>0</v>
      </c>
      <c r="DC236" t="s">
        <v>3</v>
      </c>
      <c r="DD236" t="s">
        <v>3</v>
      </c>
      <c r="DE236" t="s">
        <v>3</v>
      </c>
      <c r="DF236" t="s">
        <v>3</v>
      </c>
      <c r="DG236" t="s">
        <v>3</v>
      </c>
      <c r="DH236" t="s">
        <v>3</v>
      </c>
      <c r="DI236" t="s">
        <v>3</v>
      </c>
      <c r="DJ236" t="s">
        <v>3</v>
      </c>
      <c r="DK236" t="s">
        <v>3</v>
      </c>
      <c r="DL236" t="s">
        <v>3</v>
      </c>
      <c r="DM236" t="s">
        <v>3</v>
      </c>
      <c r="DN236">
        <v>161</v>
      </c>
      <c r="DO236">
        <v>107</v>
      </c>
      <c r="DP236">
        <v>1.0469999999999999</v>
      </c>
      <c r="DQ236">
        <v>1.002</v>
      </c>
      <c r="DU236">
        <v>1007</v>
      </c>
      <c r="DV236" t="s">
        <v>88</v>
      </c>
      <c r="DW236" t="s">
        <v>88</v>
      </c>
      <c r="DX236">
        <v>1</v>
      </c>
      <c r="DZ236" t="s">
        <v>3</v>
      </c>
      <c r="EA236" t="s">
        <v>3</v>
      </c>
      <c r="EB236" t="s">
        <v>3</v>
      </c>
      <c r="EC236" t="s">
        <v>3</v>
      </c>
      <c r="EE236">
        <v>51696191</v>
      </c>
      <c r="EF236">
        <v>30</v>
      </c>
      <c r="EG236" t="s">
        <v>23</v>
      </c>
      <c r="EH236">
        <v>0</v>
      </c>
      <c r="EI236" t="s">
        <v>3</v>
      </c>
      <c r="EJ236">
        <v>1</v>
      </c>
      <c r="EK236">
        <v>152</v>
      </c>
      <c r="EL236" t="s">
        <v>310</v>
      </c>
      <c r="EM236" t="s">
        <v>311</v>
      </c>
      <c r="EO236" t="s">
        <v>3</v>
      </c>
      <c r="EQ236">
        <v>0</v>
      </c>
      <c r="ER236">
        <v>517.14</v>
      </c>
      <c r="ES236">
        <v>517.14</v>
      </c>
      <c r="ET236">
        <v>0</v>
      </c>
      <c r="EU236">
        <v>0</v>
      </c>
      <c r="EV236">
        <v>0</v>
      </c>
      <c r="EW236">
        <v>0</v>
      </c>
      <c r="EX236">
        <v>0</v>
      </c>
      <c r="FQ236">
        <v>0</v>
      </c>
      <c r="FR236">
        <v>0</v>
      </c>
      <c r="FS236">
        <v>0</v>
      </c>
      <c r="FX236">
        <v>161</v>
      </c>
      <c r="FY236">
        <v>107</v>
      </c>
      <c r="GA236" t="s">
        <v>3</v>
      </c>
      <c r="GD236">
        <v>0</v>
      </c>
      <c r="GF236">
        <v>-520181400</v>
      </c>
      <c r="GG236">
        <v>2</v>
      </c>
      <c r="GH236">
        <v>1</v>
      </c>
      <c r="GI236">
        <v>2</v>
      </c>
      <c r="GJ236">
        <v>0</v>
      </c>
      <c r="GK236">
        <f>ROUND(R236*(S12)/100,2)</f>
        <v>0</v>
      </c>
      <c r="GL236">
        <f t="shared" si="203"/>
        <v>0</v>
      </c>
      <c r="GM236">
        <f t="shared" si="204"/>
        <v>1203.7</v>
      </c>
      <c r="GN236">
        <f t="shared" si="205"/>
        <v>1203.7</v>
      </c>
      <c r="GO236">
        <f t="shared" si="206"/>
        <v>0</v>
      </c>
      <c r="GP236">
        <f t="shared" si="207"/>
        <v>0</v>
      </c>
      <c r="GR236">
        <v>0</v>
      </c>
      <c r="GS236">
        <v>3</v>
      </c>
      <c r="GT236">
        <v>0</v>
      </c>
      <c r="GU236" t="s">
        <v>3</v>
      </c>
      <c r="GV236">
        <f t="shared" si="208"/>
        <v>0</v>
      </c>
      <c r="GW236">
        <v>1</v>
      </c>
      <c r="GX236">
        <f t="shared" si="209"/>
        <v>0</v>
      </c>
      <c r="HA236">
        <v>0</v>
      </c>
      <c r="HB236">
        <v>0</v>
      </c>
      <c r="HC236">
        <f t="shared" si="210"/>
        <v>0</v>
      </c>
      <c r="HE236" t="s">
        <v>3</v>
      </c>
      <c r="HF236" t="s">
        <v>3</v>
      </c>
      <c r="HM236" t="s">
        <v>3</v>
      </c>
      <c r="HN236" t="s">
        <v>3</v>
      </c>
      <c r="HO236" t="s">
        <v>3</v>
      </c>
      <c r="HP236" t="s">
        <v>3</v>
      </c>
      <c r="HQ236" t="s">
        <v>3</v>
      </c>
      <c r="HS236">
        <v>0</v>
      </c>
      <c r="IK236">
        <v>0</v>
      </c>
    </row>
    <row r="237" spans="1:255" x14ac:dyDescent="0.2">
      <c r="A237" s="2">
        <v>17</v>
      </c>
      <c r="B237" s="2">
        <v>1</v>
      </c>
      <c r="C237" s="2">
        <f>ROW(SmtRes!A179)</f>
        <v>179</v>
      </c>
      <c r="D237" s="2">
        <f>ROW(EtalonRes!A355)</f>
        <v>355</v>
      </c>
      <c r="E237" s="2" t="s">
        <v>316</v>
      </c>
      <c r="F237" s="2" t="s">
        <v>317</v>
      </c>
      <c r="G237" s="2" t="s">
        <v>318</v>
      </c>
      <c r="H237" s="2" t="s">
        <v>308</v>
      </c>
      <c r="I237" s="2">
        <f>ROUND(1.3/1000,9)</f>
        <v>1.2999999999999999E-3</v>
      </c>
      <c r="J237" s="2">
        <v>0</v>
      </c>
      <c r="K237" s="2">
        <f>ROUND(1.3/1000,9)</f>
        <v>1.2999999999999999E-3</v>
      </c>
      <c r="L237" s="2"/>
      <c r="M237" s="2"/>
      <c r="N237" s="2"/>
      <c r="O237" s="2">
        <f t="shared" si="176"/>
        <v>0.17</v>
      </c>
      <c r="P237" s="2">
        <f t="shared" si="177"/>
        <v>0.08</v>
      </c>
      <c r="Q237" s="2">
        <f>(ROUND((ROUND((((ET237*1.1))*AV237*I237),2)*BB237),2)+ROUND((ROUND(((AE237-((EU237*1.1)))*AV237*I237),2)*BS237),2))</f>
        <v>0</v>
      </c>
      <c r="R237" s="2">
        <f t="shared" si="179"/>
        <v>0</v>
      </c>
      <c r="S237" s="2">
        <f t="shared" si="180"/>
        <v>0.09</v>
      </c>
      <c r="T237" s="2">
        <f t="shared" si="181"/>
        <v>0</v>
      </c>
      <c r="U237" s="2">
        <f t="shared" si="182"/>
        <v>7.7405757000000002E-3</v>
      </c>
      <c r="V237" s="2">
        <f t="shared" si="183"/>
        <v>0</v>
      </c>
      <c r="W237" s="2">
        <f t="shared" si="184"/>
        <v>0</v>
      </c>
      <c r="X237" s="2">
        <f t="shared" si="185"/>
        <v>0.14000000000000001</v>
      </c>
      <c r="Y237" s="2">
        <f t="shared" si="186"/>
        <v>0.1</v>
      </c>
      <c r="Z237" s="2"/>
      <c r="AA237" s="2">
        <v>56622523</v>
      </c>
      <c r="AB237" s="2">
        <f t="shared" si="187"/>
        <v>123.83</v>
      </c>
      <c r="AC237" s="2">
        <f t="shared" si="188"/>
        <v>58.6</v>
      </c>
      <c r="AD237" s="2">
        <f>ROUND(((((ET237*1.1))-((EU237*1.1)))+AE237),6)</f>
        <v>0</v>
      </c>
      <c r="AE237" s="2">
        <f>ROUND(((EU237*1.1)),6)</f>
        <v>0</v>
      </c>
      <c r="AF237" s="2">
        <f>ROUND(((EV237*1.1)),6)</f>
        <v>65.23</v>
      </c>
      <c r="AG237" s="2">
        <f t="shared" si="191"/>
        <v>0</v>
      </c>
      <c r="AH237" s="2">
        <f>((EW237*1.1))</f>
        <v>5.6870000000000003</v>
      </c>
      <c r="AI237" s="2">
        <f>((EX237*1.1))</f>
        <v>0</v>
      </c>
      <c r="AJ237" s="2">
        <f t="shared" si="193"/>
        <v>0</v>
      </c>
      <c r="AK237" s="2">
        <v>117.9</v>
      </c>
      <c r="AL237" s="2">
        <v>58.6</v>
      </c>
      <c r="AM237" s="2">
        <v>0</v>
      </c>
      <c r="AN237" s="2">
        <v>0</v>
      </c>
      <c r="AO237" s="2">
        <v>59.3</v>
      </c>
      <c r="AP237" s="2">
        <v>0</v>
      </c>
      <c r="AQ237" s="2">
        <v>5.17</v>
      </c>
      <c r="AR237" s="2">
        <v>0</v>
      </c>
      <c r="AS237" s="2">
        <v>0</v>
      </c>
      <c r="AT237" s="2">
        <v>161</v>
      </c>
      <c r="AU237" s="2">
        <v>107</v>
      </c>
      <c r="AV237" s="2">
        <v>1.0469999999999999</v>
      </c>
      <c r="AW237" s="2">
        <v>1.002</v>
      </c>
      <c r="AX237" s="2"/>
      <c r="AY237" s="2"/>
      <c r="AZ237" s="2">
        <v>1</v>
      </c>
      <c r="BA237" s="2">
        <v>1</v>
      </c>
      <c r="BB237" s="2">
        <v>1</v>
      </c>
      <c r="BC237" s="2">
        <v>1</v>
      </c>
      <c r="BD237" s="2" t="s">
        <v>3</v>
      </c>
      <c r="BE237" s="2" t="s">
        <v>3</v>
      </c>
      <c r="BF237" s="2" t="s">
        <v>3</v>
      </c>
      <c r="BG237" s="2" t="s">
        <v>3</v>
      </c>
      <c r="BH237" s="2">
        <v>0</v>
      </c>
      <c r="BI237" s="2">
        <v>1</v>
      </c>
      <c r="BJ237" s="2" t="s">
        <v>319</v>
      </c>
      <c r="BK237" s="2"/>
      <c r="BL237" s="2"/>
      <c r="BM237" s="2">
        <v>152</v>
      </c>
      <c r="BN237" s="2">
        <v>0</v>
      </c>
      <c r="BO237" s="2" t="s">
        <v>3</v>
      </c>
      <c r="BP237" s="2">
        <v>0</v>
      </c>
      <c r="BQ237" s="2">
        <v>30</v>
      </c>
      <c r="BR237" s="2">
        <v>0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 t="s">
        <v>3</v>
      </c>
      <c r="BZ237" s="2">
        <v>161</v>
      </c>
      <c r="CA237" s="2">
        <v>107</v>
      </c>
      <c r="CB237" s="2" t="s">
        <v>3</v>
      </c>
      <c r="CC237" s="2"/>
      <c r="CD237" s="2"/>
      <c r="CE237" s="2">
        <v>30</v>
      </c>
      <c r="CF237" s="2">
        <v>0</v>
      </c>
      <c r="CG237" s="2">
        <v>0</v>
      </c>
      <c r="CH237" s="2"/>
      <c r="CI237" s="2"/>
      <c r="CJ237" s="2"/>
      <c r="CK237" s="2"/>
      <c r="CL237" s="2"/>
      <c r="CM237" s="2">
        <v>0</v>
      </c>
      <c r="CN237" s="2" t="s">
        <v>689</v>
      </c>
      <c r="CO237" s="2">
        <v>0</v>
      </c>
      <c r="CP237" s="2">
        <f t="shared" si="194"/>
        <v>0.16999999999999998</v>
      </c>
      <c r="CQ237" s="2">
        <f t="shared" si="195"/>
        <v>58.72</v>
      </c>
      <c r="CR237" s="2">
        <f>(ROUND((ROUND((((ET237*1.1))*AV237*1),2)*BB237),2)+ROUND((ROUND(((AE237-((EU237*1.1)))*AV237*1),2)*BS237),2))</f>
        <v>0</v>
      </c>
      <c r="CS237" s="2">
        <f t="shared" si="197"/>
        <v>0</v>
      </c>
      <c r="CT237" s="2">
        <f t="shared" si="198"/>
        <v>68.3</v>
      </c>
      <c r="CU237" s="2">
        <f t="shared" si="199"/>
        <v>0</v>
      </c>
      <c r="CV237" s="2">
        <f t="shared" si="200"/>
        <v>5.9542890000000002</v>
      </c>
      <c r="CW237" s="2">
        <f t="shared" si="201"/>
        <v>0</v>
      </c>
      <c r="CX237" s="2">
        <f t="shared" si="202"/>
        <v>0</v>
      </c>
      <c r="CY237" s="2">
        <f>((S237*BZ237)/100)</f>
        <v>0.1449</v>
      </c>
      <c r="CZ237" s="2">
        <f>((S237*CA237)/100)</f>
        <v>9.6299999999999997E-2</v>
      </c>
      <c r="DA237" s="2"/>
      <c r="DB237" s="2"/>
      <c r="DC237" s="2" t="s">
        <v>3</v>
      </c>
      <c r="DD237" s="2" t="s">
        <v>3</v>
      </c>
      <c r="DE237" s="2" t="s">
        <v>22</v>
      </c>
      <c r="DF237" s="2" t="s">
        <v>22</v>
      </c>
      <c r="DG237" s="2" t="s">
        <v>22</v>
      </c>
      <c r="DH237" s="2" t="s">
        <v>3</v>
      </c>
      <c r="DI237" s="2" t="s">
        <v>22</v>
      </c>
      <c r="DJ237" s="2" t="s">
        <v>22</v>
      </c>
      <c r="DK237" s="2" t="s">
        <v>3</v>
      </c>
      <c r="DL237" s="2" t="s">
        <v>3</v>
      </c>
      <c r="DM237" s="2" t="s">
        <v>3</v>
      </c>
      <c r="DN237" s="2">
        <v>0</v>
      </c>
      <c r="DO237" s="2">
        <v>0</v>
      </c>
      <c r="DP237" s="2">
        <v>1</v>
      </c>
      <c r="DQ237" s="2">
        <v>1</v>
      </c>
      <c r="DR237" s="2"/>
      <c r="DS237" s="2"/>
      <c r="DT237" s="2"/>
      <c r="DU237" s="2">
        <v>1013</v>
      </c>
      <c r="DV237" s="2" t="s">
        <v>308</v>
      </c>
      <c r="DW237" s="2" t="s">
        <v>308</v>
      </c>
      <c r="DX237" s="2">
        <v>1</v>
      </c>
      <c r="DY237" s="2"/>
      <c r="DZ237" s="2" t="s">
        <v>3</v>
      </c>
      <c r="EA237" s="2" t="s">
        <v>3</v>
      </c>
      <c r="EB237" s="2" t="s">
        <v>3</v>
      </c>
      <c r="EC237" s="2" t="s">
        <v>3</v>
      </c>
      <c r="ED237" s="2"/>
      <c r="EE237" s="2">
        <v>51696191</v>
      </c>
      <c r="EF237" s="2">
        <v>30</v>
      </c>
      <c r="EG237" s="2" t="s">
        <v>23</v>
      </c>
      <c r="EH237" s="2">
        <v>0</v>
      </c>
      <c r="EI237" s="2" t="s">
        <v>3</v>
      </c>
      <c r="EJ237" s="2">
        <v>1</v>
      </c>
      <c r="EK237" s="2">
        <v>152</v>
      </c>
      <c r="EL237" s="2" t="s">
        <v>310</v>
      </c>
      <c r="EM237" s="2" t="s">
        <v>311</v>
      </c>
      <c r="EN237" s="2"/>
      <c r="EO237" s="2" t="s">
        <v>26</v>
      </c>
      <c r="EP237" s="2"/>
      <c r="EQ237" s="2">
        <v>131072</v>
      </c>
      <c r="ER237" s="2">
        <v>117.9</v>
      </c>
      <c r="ES237" s="2">
        <v>58.6</v>
      </c>
      <c r="ET237" s="2">
        <v>0</v>
      </c>
      <c r="EU237" s="2">
        <v>0</v>
      </c>
      <c r="EV237" s="2">
        <v>59.3</v>
      </c>
      <c r="EW237" s="2">
        <v>5.17</v>
      </c>
      <c r="EX237" s="2">
        <v>0</v>
      </c>
      <c r="EY237" s="2">
        <v>0</v>
      </c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>
        <v>0</v>
      </c>
      <c r="FR237" s="2">
        <v>0</v>
      </c>
      <c r="FS237" s="2">
        <v>0</v>
      </c>
      <c r="FT237" s="2"/>
      <c r="FU237" s="2"/>
      <c r="FV237" s="2"/>
      <c r="FW237" s="2"/>
      <c r="FX237" s="2">
        <v>161</v>
      </c>
      <c r="FY237" s="2">
        <v>107</v>
      </c>
      <c r="FZ237" s="2"/>
      <c r="GA237" s="2" t="s">
        <v>3</v>
      </c>
      <c r="GB237" s="2"/>
      <c r="GC237" s="2"/>
      <c r="GD237" s="2">
        <v>0</v>
      </c>
      <c r="GE237" s="2"/>
      <c r="GF237" s="2">
        <v>36365599</v>
      </c>
      <c r="GG237" s="2">
        <v>2</v>
      </c>
      <c r="GH237" s="2">
        <v>1</v>
      </c>
      <c r="GI237" s="2">
        <v>-2</v>
      </c>
      <c r="GJ237" s="2">
        <v>0</v>
      </c>
      <c r="GK237" s="2">
        <f>ROUND(R237*(R12)/100,2)</f>
        <v>0</v>
      </c>
      <c r="GL237" s="2">
        <f t="shared" si="203"/>
        <v>0</v>
      </c>
      <c r="GM237" s="2">
        <f t="shared" si="204"/>
        <v>0.41</v>
      </c>
      <c r="GN237" s="2">
        <f t="shared" si="205"/>
        <v>0.41</v>
      </c>
      <c r="GO237" s="2">
        <f t="shared" si="206"/>
        <v>0</v>
      </c>
      <c r="GP237" s="2">
        <f t="shared" si="207"/>
        <v>0</v>
      </c>
      <c r="GQ237" s="2"/>
      <c r="GR237" s="2">
        <v>0</v>
      </c>
      <c r="GS237" s="2">
        <v>0</v>
      </c>
      <c r="GT237" s="2">
        <v>0</v>
      </c>
      <c r="GU237" s="2" t="s">
        <v>3</v>
      </c>
      <c r="GV237" s="2">
        <f t="shared" si="208"/>
        <v>0</v>
      </c>
      <c r="GW237" s="2">
        <v>1</v>
      </c>
      <c r="GX237" s="2">
        <f t="shared" si="209"/>
        <v>0</v>
      </c>
      <c r="GY237" s="2"/>
      <c r="GZ237" s="2"/>
      <c r="HA237" s="2">
        <v>0</v>
      </c>
      <c r="HB237" s="2">
        <v>0</v>
      </c>
      <c r="HC237" s="2">
        <f t="shared" si="210"/>
        <v>0</v>
      </c>
      <c r="HD237" s="2"/>
      <c r="HE237" s="2" t="s">
        <v>3</v>
      </c>
      <c r="HF237" s="2" t="s">
        <v>3</v>
      </c>
      <c r="HG237" s="2"/>
      <c r="HH237" s="2"/>
      <c r="HI237" s="2"/>
      <c r="HJ237" s="2"/>
      <c r="HK237" s="2"/>
      <c r="HL237" s="2"/>
      <c r="HM237" s="2" t="s">
        <v>3</v>
      </c>
      <c r="HN237" s="2" t="s">
        <v>3</v>
      </c>
      <c r="HO237" s="2" t="s">
        <v>3</v>
      </c>
      <c r="HP237" s="2" t="s">
        <v>3</v>
      </c>
      <c r="HQ237" s="2" t="s">
        <v>3</v>
      </c>
      <c r="HR237" s="2"/>
      <c r="HS237" s="2">
        <v>0</v>
      </c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>
        <v>0</v>
      </c>
      <c r="IL237" s="2"/>
      <c r="IM237" s="2"/>
      <c r="IN237" s="2"/>
      <c r="IO237" s="2"/>
      <c r="IP237" s="2"/>
      <c r="IQ237" s="2"/>
      <c r="IR237" s="2"/>
      <c r="IS237" s="2"/>
      <c r="IT237" s="2"/>
      <c r="IU237" s="2"/>
    </row>
    <row r="238" spans="1:255" x14ac:dyDescent="0.2">
      <c r="A238">
        <v>17</v>
      </c>
      <c r="B238">
        <v>1</v>
      </c>
      <c r="C238">
        <f>ROW(SmtRes!A180)</f>
        <v>180</v>
      </c>
      <c r="D238">
        <f>ROW(EtalonRes!A358)</f>
        <v>358</v>
      </c>
      <c r="E238" t="s">
        <v>316</v>
      </c>
      <c r="F238" t="s">
        <v>317</v>
      </c>
      <c r="G238" t="s">
        <v>318</v>
      </c>
      <c r="H238" t="s">
        <v>308</v>
      </c>
      <c r="I238">
        <f>ROUND(1.3/1000,9)</f>
        <v>1.2999999999999999E-3</v>
      </c>
      <c r="J238">
        <v>0</v>
      </c>
      <c r="K238">
        <f>ROUND(1.3/1000,9)</f>
        <v>1.2999999999999999E-3</v>
      </c>
      <c r="O238">
        <f t="shared" si="176"/>
        <v>3.4</v>
      </c>
      <c r="P238">
        <f t="shared" si="177"/>
        <v>0.28999999999999998</v>
      </c>
      <c r="Q238">
        <f>(ROUND((ROUND((((ET238*1.1))*AV238*I238),2)*BB238),2)+ROUND((ROUND(((AE238-((EU238*1.1)))*AV238*I238),2)*BS238),2))</f>
        <v>0</v>
      </c>
      <c r="R238">
        <f t="shared" si="179"/>
        <v>0</v>
      </c>
      <c r="S238">
        <f t="shared" si="180"/>
        <v>3.11</v>
      </c>
      <c r="T238">
        <f t="shared" si="181"/>
        <v>0</v>
      </c>
      <c r="U238">
        <f t="shared" si="182"/>
        <v>7.7405757000000002E-3</v>
      </c>
      <c r="V238">
        <f t="shared" si="183"/>
        <v>0</v>
      </c>
      <c r="W238">
        <f t="shared" si="184"/>
        <v>0</v>
      </c>
      <c r="X238">
        <f t="shared" si="185"/>
        <v>4.17</v>
      </c>
      <c r="Y238">
        <f t="shared" si="186"/>
        <v>1.71</v>
      </c>
      <c r="AA238">
        <v>56611490</v>
      </c>
      <c r="AB238">
        <f t="shared" si="187"/>
        <v>123.83</v>
      </c>
      <c r="AC238">
        <f t="shared" si="188"/>
        <v>58.6</v>
      </c>
      <c r="AD238">
        <f>ROUND(((((ET238*1.1))-((EU238*1.1)))+AE238),6)</f>
        <v>0</v>
      </c>
      <c r="AE238">
        <f>ROUND(((EU238*1.1)),6)</f>
        <v>0</v>
      </c>
      <c r="AF238">
        <f>ROUND(((EV238*1.1)),6)</f>
        <v>65.23</v>
      </c>
      <c r="AG238">
        <f t="shared" si="191"/>
        <v>0</v>
      </c>
      <c r="AH238">
        <f>((EW238*1.1))</f>
        <v>5.6870000000000003</v>
      </c>
      <c r="AI238">
        <f>((EX238*1.1))</f>
        <v>0</v>
      </c>
      <c r="AJ238">
        <f t="shared" si="193"/>
        <v>0</v>
      </c>
      <c r="AK238">
        <v>117.9</v>
      </c>
      <c r="AL238">
        <v>58.6</v>
      </c>
      <c r="AM238">
        <v>0</v>
      </c>
      <c r="AN238">
        <v>0</v>
      </c>
      <c r="AO238">
        <v>59.3</v>
      </c>
      <c r="AP238">
        <v>0</v>
      </c>
      <c r="AQ238">
        <v>5.17</v>
      </c>
      <c r="AR238">
        <v>0</v>
      </c>
      <c r="AS238">
        <v>0</v>
      </c>
      <c r="AT238">
        <v>134</v>
      </c>
      <c r="AU238">
        <v>55</v>
      </c>
      <c r="AV238">
        <v>1.0469999999999999</v>
      </c>
      <c r="AW238">
        <v>1.002</v>
      </c>
      <c r="AZ238">
        <v>1</v>
      </c>
      <c r="BA238">
        <v>34.51</v>
      </c>
      <c r="BB238">
        <v>1</v>
      </c>
      <c r="BC238">
        <v>3.59</v>
      </c>
      <c r="BD238" t="s">
        <v>3</v>
      </c>
      <c r="BE238" t="s">
        <v>3</v>
      </c>
      <c r="BF238" t="s">
        <v>3</v>
      </c>
      <c r="BG238" t="s">
        <v>3</v>
      </c>
      <c r="BH238">
        <v>0</v>
      </c>
      <c r="BI238">
        <v>1</v>
      </c>
      <c r="BJ238" t="s">
        <v>319</v>
      </c>
      <c r="BM238">
        <v>152</v>
      </c>
      <c r="BN238">
        <v>0</v>
      </c>
      <c r="BO238" t="s">
        <v>317</v>
      </c>
      <c r="BP238">
        <v>1</v>
      </c>
      <c r="BQ238">
        <v>30</v>
      </c>
      <c r="BR238">
        <v>0</v>
      </c>
      <c r="BS238">
        <v>34.51</v>
      </c>
      <c r="BT238">
        <v>1</v>
      </c>
      <c r="BU238">
        <v>1</v>
      </c>
      <c r="BV238">
        <v>1</v>
      </c>
      <c r="BW238">
        <v>1</v>
      </c>
      <c r="BX238">
        <v>1</v>
      </c>
      <c r="BY238" t="s">
        <v>3</v>
      </c>
      <c r="BZ238">
        <v>134</v>
      </c>
      <c r="CA238">
        <v>55</v>
      </c>
      <c r="CB238" t="s">
        <v>3</v>
      </c>
      <c r="CE238">
        <v>30</v>
      </c>
      <c r="CF238">
        <v>0</v>
      </c>
      <c r="CG238">
        <v>0</v>
      </c>
      <c r="CM238">
        <v>0</v>
      </c>
      <c r="CN238" t="s">
        <v>689</v>
      </c>
      <c r="CO238">
        <v>0</v>
      </c>
      <c r="CP238">
        <f t="shared" si="194"/>
        <v>3.4</v>
      </c>
      <c r="CQ238">
        <f t="shared" si="195"/>
        <v>210.8</v>
      </c>
      <c r="CR238">
        <f>(ROUND((ROUND((((ET238*1.1))*AV238*1),2)*BB238),2)+ROUND((ROUND(((AE238-((EU238*1.1)))*AV238*1),2)*BS238),2))</f>
        <v>0</v>
      </c>
      <c r="CS238">
        <f t="shared" si="197"/>
        <v>0</v>
      </c>
      <c r="CT238">
        <f t="shared" si="198"/>
        <v>2357.0300000000002</v>
      </c>
      <c r="CU238">
        <f t="shared" si="199"/>
        <v>0</v>
      </c>
      <c r="CV238">
        <f t="shared" si="200"/>
        <v>5.9542890000000002</v>
      </c>
      <c r="CW238">
        <f t="shared" si="201"/>
        <v>0</v>
      </c>
      <c r="CX238">
        <f t="shared" si="202"/>
        <v>0</v>
      </c>
      <c r="CY238">
        <f>S238*(BZ238/100)</f>
        <v>4.1673999999999998</v>
      </c>
      <c r="CZ238">
        <f>S238*(CA238/100)</f>
        <v>1.7105000000000001</v>
      </c>
      <c r="DC238" t="s">
        <v>3</v>
      </c>
      <c r="DD238" t="s">
        <v>3</v>
      </c>
      <c r="DE238" t="s">
        <v>22</v>
      </c>
      <c r="DF238" t="s">
        <v>22</v>
      </c>
      <c r="DG238" t="s">
        <v>22</v>
      </c>
      <c r="DH238" t="s">
        <v>3</v>
      </c>
      <c r="DI238" t="s">
        <v>22</v>
      </c>
      <c r="DJ238" t="s">
        <v>22</v>
      </c>
      <c r="DK238" t="s">
        <v>3</v>
      </c>
      <c r="DL238" t="s">
        <v>3</v>
      </c>
      <c r="DM238" t="s">
        <v>3</v>
      </c>
      <c r="DN238">
        <v>161</v>
      </c>
      <c r="DO238">
        <v>107</v>
      </c>
      <c r="DP238">
        <v>1.0469999999999999</v>
      </c>
      <c r="DQ238">
        <v>1.002</v>
      </c>
      <c r="DU238">
        <v>1013</v>
      </c>
      <c r="DV238" t="s">
        <v>308</v>
      </c>
      <c r="DW238" t="s">
        <v>308</v>
      </c>
      <c r="DX238">
        <v>1</v>
      </c>
      <c r="DZ238" t="s">
        <v>3</v>
      </c>
      <c r="EA238" t="s">
        <v>3</v>
      </c>
      <c r="EB238" t="s">
        <v>3</v>
      </c>
      <c r="EC238" t="s">
        <v>3</v>
      </c>
      <c r="EE238">
        <v>51696191</v>
      </c>
      <c r="EF238">
        <v>30</v>
      </c>
      <c r="EG238" t="s">
        <v>23</v>
      </c>
      <c r="EH238">
        <v>0</v>
      </c>
      <c r="EI238" t="s">
        <v>3</v>
      </c>
      <c r="EJ238">
        <v>1</v>
      </c>
      <c r="EK238">
        <v>152</v>
      </c>
      <c r="EL238" t="s">
        <v>310</v>
      </c>
      <c r="EM238" t="s">
        <v>311</v>
      </c>
      <c r="EO238" t="s">
        <v>26</v>
      </c>
      <c r="EQ238">
        <v>131072</v>
      </c>
      <c r="ER238">
        <v>117.9</v>
      </c>
      <c r="ES238">
        <v>58.6</v>
      </c>
      <c r="ET238">
        <v>0</v>
      </c>
      <c r="EU238">
        <v>0</v>
      </c>
      <c r="EV238">
        <v>59.3</v>
      </c>
      <c r="EW238">
        <v>5.17</v>
      </c>
      <c r="EX238">
        <v>0</v>
      </c>
      <c r="EY238">
        <v>0</v>
      </c>
      <c r="FQ238">
        <v>0</v>
      </c>
      <c r="FR238">
        <v>0</v>
      </c>
      <c r="FS238">
        <v>0</v>
      </c>
      <c r="FX238">
        <v>161</v>
      </c>
      <c r="FY238">
        <v>107</v>
      </c>
      <c r="GA238" t="s">
        <v>3</v>
      </c>
      <c r="GD238">
        <v>0</v>
      </c>
      <c r="GF238">
        <v>36365599</v>
      </c>
      <c r="GG238">
        <v>2</v>
      </c>
      <c r="GH238">
        <v>1</v>
      </c>
      <c r="GI238">
        <v>2</v>
      </c>
      <c r="GJ238">
        <v>0</v>
      </c>
      <c r="GK238">
        <f>ROUND(R238*(S12)/100,2)</f>
        <v>0</v>
      </c>
      <c r="GL238">
        <f t="shared" si="203"/>
        <v>0</v>
      </c>
      <c r="GM238">
        <f t="shared" si="204"/>
        <v>9.2799999999999994</v>
      </c>
      <c r="GN238">
        <f t="shared" si="205"/>
        <v>9.2799999999999994</v>
      </c>
      <c r="GO238">
        <f t="shared" si="206"/>
        <v>0</v>
      </c>
      <c r="GP238">
        <f t="shared" si="207"/>
        <v>0</v>
      </c>
      <c r="GR238">
        <v>0</v>
      </c>
      <c r="GS238">
        <v>3</v>
      </c>
      <c r="GT238">
        <v>0</v>
      </c>
      <c r="GU238" t="s">
        <v>3</v>
      </c>
      <c r="GV238">
        <f t="shared" si="208"/>
        <v>0</v>
      </c>
      <c r="GW238">
        <v>1</v>
      </c>
      <c r="GX238">
        <f t="shared" si="209"/>
        <v>0</v>
      </c>
      <c r="HA238">
        <v>0</v>
      </c>
      <c r="HB238">
        <v>0</v>
      </c>
      <c r="HC238">
        <f t="shared" si="210"/>
        <v>0</v>
      </c>
      <c r="HE238" t="s">
        <v>3</v>
      </c>
      <c r="HF238" t="s">
        <v>3</v>
      </c>
      <c r="HM238" t="s">
        <v>3</v>
      </c>
      <c r="HN238" t="s">
        <v>3</v>
      </c>
      <c r="HO238" t="s">
        <v>3</v>
      </c>
      <c r="HP238" t="s">
        <v>3</v>
      </c>
      <c r="HQ238" t="s">
        <v>3</v>
      </c>
      <c r="HS238">
        <v>0</v>
      </c>
      <c r="IK238">
        <v>0</v>
      </c>
    </row>
    <row r="239" spans="1:255" x14ac:dyDescent="0.2">
      <c r="A239" s="2">
        <v>18</v>
      </c>
      <c r="B239" s="2">
        <v>1</v>
      </c>
      <c r="C239" s="2">
        <v>179</v>
      </c>
      <c r="D239" s="2"/>
      <c r="E239" s="2" t="s">
        <v>320</v>
      </c>
      <c r="F239" s="2" t="s">
        <v>313</v>
      </c>
      <c r="G239" s="2" t="s">
        <v>314</v>
      </c>
      <c r="H239" s="2" t="s">
        <v>88</v>
      </c>
      <c r="I239" s="2">
        <f>I237*J239</f>
        <v>1.3259999999999999E-2</v>
      </c>
      <c r="J239" s="2">
        <v>10.199999999999999</v>
      </c>
      <c r="K239" s="2">
        <v>10.199999999999999</v>
      </c>
      <c r="L239" s="2"/>
      <c r="M239" s="2"/>
      <c r="N239" s="2"/>
      <c r="O239" s="2">
        <f t="shared" si="176"/>
        <v>6.87</v>
      </c>
      <c r="P239" s="2">
        <f t="shared" si="177"/>
        <v>6.87</v>
      </c>
      <c r="Q239" s="2">
        <f>(ROUND((ROUND(((ET239)*AV239*I239),2)*BB239),2)+ROUND((ROUND(((AE239-(EU239))*AV239*I239),2)*BS239),2))</f>
        <v>0</v>
      </c>
      <c r="R239" s="2">
        <f t="shared" si="179"/>
        <v>0</v>
      </c>
      <c r="S239" s="2">
        <f t="shared" si="180"/>
        <v>0</v>
      </c>
      <c r="T239" s="2">
        <f t="shared" si="181"/>
        <v>0</v>
      </c>
      <c r="U239" s="2">
        <f t="shared" si="182"/>
        <v>0</v>
      </c>
      <c r="V239" s="2">
        <f t="shared" si="183"/>
        <v>0</v>
      </c>
      <c r="W239" s="2">
        <f t="shared" si="184"/>
        <v>0</v>
      </c>
      <c r="X239" s="2">
        <f t="shared" si="185"/>
        <v>0</v>
      </c>
      <c r="Y239" s="2">
        <f t="shared" si="186"/>
        <v>0</v>
      </c>
      <c r="Z239" s="2"/>
      <c r="AA239" s="2">
        <v>56622523</v>
      </c>
      <c r="AB239" s="2">
        <f t="shared" si="187"/>
        <v>517.14</v>
      </c>
      <c r="AC239" s="2">
        <f t="shared" si="188"/>
        <v>517.14</v>
      </c>
      <c r="AD239" s="2">
        <f>ROUND((((ET239)-(EU239))+AE239),6)</f>
        <v>0</v>
      </c>
      <c r="AE239" s="2">
        <f>ROUND((EU239),6)</f>
        <v>0</v>
      </c>
      <c r="AF239" s="2">
        <f>ROUND((EV239),6)</f>
        <v>0</v>
      </c>
      <c r="AG239" s="2">
        <f t="shared" si="191"/>
        <v>0</v>
      </c>
      <c r="AH239" s="2">
        <f>(EW239)</f>
        <v>0</v>
      </c>
      <c r="AI239" s="2">
        <f>(EX239)</f>
        <v>0</v>
      </c>
      <c r="AJ239" s="2">
        <f t="shared" si="193"/>
        <v>0</v>
      </c>
      <c r="AK239" s="2">
        <v>517.14</v>
      </c>
      <c r="AL239" s="2">
        <v>517.14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161</v>
      </c>
      <c r="AU239" s="2">
        <v>107</v>
      </c>
      <c r="AV239" s="2">
        <v>1.0469999999999999</v>
      </c>
      <c r="AW239" s="2">
        <v>1.002</v>
      </c>
      <c r="AX239" s="2"/>
      <c r="AY239" s="2"/>
      <c r="AZ239" s="2">
        <v>1</v>
      </c>
      <c r="BA239" s="2">
        <v>1</v>
      </c>
      <c r="BB239" s="2">
        <v>1</v>
      </c>
      <c r="BC239" s="2">
        <v>1</v>
      </c>
      <c r="BD239" s="2" t="s">
        <v>3</v>
      </c>
      <c r="BE239" s="2" t="s">
        <v>3</v>
      </c>
      <c r="BF239" s="2" t="s">
        <v>3</v>
      </c>
      <c r="BG239" s="2" t="s">
        <v>3</v>
      </c>
      <c r="BH239" s="2">
        <v>3</v>
      </c>
      <c r="BI239" s="2">
        <v>1</v>
      </c>
      <c r="BJ239" s="2" t="s">
        <v>315</v>
      </c>
      <c r="BK239" s="2"/>
      <c r="BL239" s="2"/>
      <c r="BM239" s="2">
        <v>152</v>
      </c>
      <c r="BN239" s="2">
        <v>0</v>
      </c>
      <c r="BO239" s="2" t="s">
        <v>3</v>
      </c>
      <c r="BP239" s="2">
        <v>0</v>
      </c>
      <c r="BQ239" s="2">
        <v>30</v>
      </c>
      <c r="BR239" s="2">
        <v>0</v>
      </c>
      <c r="BS239" s="2">
        <v>1</v>
      </c>
      <c r="BT239" s="2">
        <v>1</v>
      </c>
      <c r="BU239" s="2">
        <v>1</v>
      </c>
      <c r="BV239" s="2">
        <v>1</v>
      </c>
      <c r="BW239" s="2">
        <v>1</v>
      </c>
      <c r="BX239" s="2">
        <v>1</v>
      </c>
      <c r="BY239" s="2" t="s">
        <v>3</v>
      </c>
      <c r="BZ239" s="2">
        <v>161</v>
      </c>
      <c r="CA239" s="2">
        <v>107</v>
      </c>
      <c r="CB239" s="2" t="s">
        <v>3</v>
      </c>
      <c r="CC239" s="2"/>
      <c r="CD239" s="2"/>
      <c r="CE239" s="2">
        <v>30</v>
      </c>
      <c r="CF239" s="2">
        <v>0</v>
      </c>
      <c r="CG239" s="2">
        <v>0</v>
      </c>
      <c r="CH239" s="2"/>
      <c r="CI239" s="2"/>
      <c r="CJ239" s="2"/>
      <c r="CK239" s="2"/>
      <c r="CL239" s="2"/>
      <c r="CM239" s="2">
        <v>0</v>
      </c>
      <c r="CN239" s="2" t="s">
        <v>3</v>
      </c>
      <c r="CO239" s="2">
        <v>0</v>
      </c>
      <c r="CP239" s="2">
        <f t="shared" si="194"/>
        <v>6.87</v>
      </c>
      <c r="CQ239" s="2">
        <f t="shared" si="195"/>
        <v>518.16999999999996</v>
      </c>
      <c r="CR239" s="2">
        <f>(ROUND((ROUND(((ET239)*AV239*1),2)*BB239),2)+ROUND((ROUND(((AE239-(EU239))*AV239*1),2)*BS239),2))</f>
        <v>0</v>
      </c>
      <c r="CS239" s="2">
        <f t="shared" si="197"/>
        <v>0</v>
      </c>
      <c r="CT239" s="2">
        <f t="shared" si="198"/>
        <v>0</v>
      </c>
      <c r="CU239" s="2">
        <f t="shared" si="199"/>
        <v>0</v>
      </c>
      <c r="CV239" s="2">
        <f t="shared" si="200"/>
        <v>0</v>
      </c>
      <c r="CW239" s="2">
        <f t="shared" si="201"/>
        <v>0</v>
      </c>
      <c r="CX239" s="2">
        <f t="shared" si="202"/>
        <v>0</v>
      </c>
      <c r="CY239" s="2">
        <f>((S239*BZ239)/100)</f>
        <v>0</v>
      </c>
      <c r="CZ239" s="2">
        <f>((S239*CA239)/100)</f>
        <v>0</v>
      </c>
      <c r="DA239" s="2"/>
      <c r="DB239" s="2"/>
      <c r="DC239" s="2" t="s">
        <v>3</v>
      </c>
      <c r="DD239" s="2" t="s">
        <v>3</v>
      </c>
      <c r="DE239" s="2" t="s">
        <v>3</v>
      </c>
      <c r="DF239" s="2" t="s">
        <v>3</v>
      </c>
      <c r="DG239" s="2" t="s">
        <v>3</v>
      </c>
      <c r="DH239" s="2" t="s">
        <v>3</v>
      </c>
      <c r="DI239" s="2" t="s">
        <v>3</v>
      </c>
      <c r="DJ239" s="2" t="s">
        <v>3</v>
      </c>
      <c r="DK239" s="2" t="s">
        <v>3</v>
      </c>
      <c r="DL239" s="2" t="s">
        <v>3</v>
      </c>
      <c r="DM239" s="2" t="s">
        <v>3</v>
      </c>
      <c r="DN239" s="2">
        <v>0</v>
      </c>
      <c r="DO239" s="2">
        <v>0</v>
      </c>
      <c r="DP239" s="2">
        <v>1</v>
      </c>
      <c r="DQ239" s="2">
        <v>1</v>
      </c>
      <c r="DR239" s="2"/>
      <c r="DS239" s="2"/>
      <c r="DT239" s="2"/>
      <c r="DU239" s="2">
        <v>1007</v>
      </c>
      <c r="DV239" s="2" t="s">
        <v>88</v>
      </c>
      <c r="DW239" s="2" t="s">
        <v>88</v>
      </c>
      <c r="DX239" s="2">
        <v>1</v>
      </c>
      <c r="DY239" s="2"/>
      <c r="DZ239" s="2" t="s">
        <v>3</v>
      </c>
      <c r="EA239" s="2" t="s">
        <v>3</v>
      </c>
      <c r="EB239" s="2" t="s">
        <v>3</v>
      </c>
      <c r="EC239" s="2" t="s">
        <v>3</v>
      </c>
      <c r="ED239" s="2"/>
      <c r="EE239" s="2">
        <v>51696191</v>
      </c>
      <c r="EF239" s="2">
        <v>30</v>
      </c>
      <c r="EG239" s="2" t="s">
        <v>23</v>
      </c>
      <c r="EH239" s="2">
        <v>0</v>
      </c>
      <c r="EI239" s="2" t="s">
        <v>3</v>
      </c>
      <c r="EJ239" s="2">
        <v>1</v>
      </c>
      <c r="EK239" s="2">
        <v>152</v>
      </c>
      <c r="EL239" s="2" t="s">
        <v>310</v>
      </c>
      <c r="EM239" s="2" t="s">
        <v>311</v>
      </c>
      <c r="EN239" s="2"/>
      <c r="EO239" s="2" t="s">
        <v>3</v>
      </c>
      <c r="EP239" s="2"/>
      <c r="EQ239" s="2">
        <v>0</v>
      </c>
      <c r="ER239" s="2">
        <v>517.14</v>
      </c>
      <c r="ES239" s="2">
        <v>517.14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>
        <v>0</v>
      </c>
      <c r="FR239" s="2">
        <v>0</v>
      </c>
      <c r="FS239" s="2">
        <v>0</v>
      </c>
      <c r="FT239" s="2"/>
      <c r="FU239" s="2"/>
      <c r="FV239" s="2"/>
      <c r="FW239" s="2"/>
      <c r="FX239" s="2">
        <v>161</v>
      </c>
      <c r="FY239" s="2">
        <v>107</v>
      </c>
      <c r="FZ239" s="2"/>
      <c r="GA239" s="2" t="s">
        <v>3</v>
      </c>
      <c r="GB239" s="2"/>
      <c r="GC239" s="2"/>
      <c r="GD239" s="2">
        <v>0</v>
      </c>
      <c r="GE239" s="2"/>
      <c r="GF239" s="2">
        <v>-520181400</v>
      </c>
      <c r="GG239" s="2">
        <v>2</v>
      </c>
      <c r="GH239" s="2">
        <v>1</v>
      </c>
      <c r="GI239" s="2">
        <v>-2</v>
      </c>
      <c r="GJ239" s="2">
        <v>0</v>
      </c>
      <c r="GK239" s="2">
        <f>ROUND(R239*(R12)/100,2)</f>
        <v>0</v>
      </c>
      <c r="GL239" s="2">
        <f t="shared" si="203"/>
        <v>0</v>
      </c>
      <c r="GM239" s="2">
        <f t="shared" si="204"/>
        <v>6.87</v>
      </c>
      <c r="GN239" s="2">
        <f t="shared" si="205"/>
        <v>6.87</v>
      </c>
      <c r="GO239" s="2">
        <f t="shared" si="206"/>
        <v>0</v>
      </c>
      <c r="GP239" s="2">
        <f t="shared" si="207"/>
        <v>0</v>
      </c>
      <c r="GQ239" s="2"/>
      <c r="GR239" s="2">
        <v>0</v>
      </c>
      <c r="GS239" s="2">
        <v>0</v>
      </c>
      <c r="GT239" s="2">
        <v>0</v>
      </c>
      <c r="GU239" s="2" t="s">
        <v>3</v>
      </c>
      <c r="GV239" s="2">
        <f t="shared" si="208"/>
        <v>0</v>
      </c>
      <c r="GW239" s="2">
        <v>1</v>
      </c>
      <c r="GX239" s="2">
        <f t="shared" si="209"/>
        <v>0</v>
      </c>
      <c r="GY239" s="2"/>
      <c r="GZ239" s="2"/>
      <c r="HA239" s="2">
        <v>0</v>
      </c>
      <c r="HB239" s="2">
        <v>0</v>
      </c>
      <c r="HC239" s="2">
        <f t="shared" si="210"/>
        <v>0</v>
      </c>
      <c r="HD239" s="2"/>
      <c r="HE239" s="2" t="s">
        <v>3</v>
      </c>
      <c r="HF239" s="2" t="s">
        <v>3</v>
      </c>
      <c r="HG239" s="2"/>
      <c r="HH239" s="2"/>
      <c r="HI239" s="2"/>
      <c r="HJ239" s="2"/>
      <c r="HK239" s="2"/>
      <c r="HL239" s="2"/>
      <c r="HM239" s="2" t="s">
        <v>3</v>
      </c>
      <c r="HN239" s="2" t="s">
        <v>3</v>
      </c>
      <c r="HO239" s="2" t="s">
        <v>3</v>
      </c>
      <c r="HP239" s="2" t="s">
        <v>3</v>
      </c>
      <c r="HQ239" s="2" t="s">
        <v>3</v>
      </c>
      <c r="HR239" s="2"/>
      <c r="HS239" s="2">
        <v>0</v>
      </c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>
        <v>0</v>
      </c>
      <c r="IL239" s="2"/>
      <c r="IM239" s="2"/>
      <c r="IN239" s="2"/>
      <c r="IO239" s="2"/>
      <c r="IP239" s="2"/>
      <c r="IQ239" s="2"/>
      <c r="IR239" s="2"/>
      <c r="IS239" s="2"/>
      <c r="IT239" s="2"/>
      <c r="IU239" s="2"/>
    </row>
    <row r="240" spans="1:255" x14ac:dyDescent="0.2">
      <c r="A240">
        <v>18</v>
      </c>
      <c r="B240">
        <v>1</v>
      </c>
      <c r="C240">
        <v>180</v>
      </c>
      <c r="E240" t="s">
        <v>320</v>
      </c>
      <c r="F240" t="s">
        <v>313</v>
      </c>
      <c r="G240" t="s">
        <v>314</v>
      </c>
      <c r="H240" t="s">
        <v>88</v>
      </c>
      <c r="I240">
        <f>I238*J240</f>
        <v>1.3259999999999999E-2</v>
      </c>
      <c r="J240">
        <v>10.199999999999999</v>
      </c>
      <c r="K240">
        <v>10.199999999999999</v>
      </c>
      <c r="O240">
        <f t="shared" si="176"/>
        <v>75.78</v>
      </c>
      <c r="P240">
        <f t="shared" si="177"/>
        <v>75.78</v>
      </c>
      <c r="Q240">
        <f>(ROUND((ROUND(((ET240)*AV240*I240),2)*BB240),2)+ROUND((ROUND(((AE240-(EU240))*AV240*I240),2)*BS240),2))</f>
        <v>0</v>
      </c>
      <c r="R240">
        <f t="shared" si="179"/>
        <v>0</v>
      </c>
      <c r="S240">
        <f t="shared" si="180"/>
        <v>0</v>
      </c>
      <c r="T240">
        <f t="shared" si="181"/>
        <v>0</v>
      </c>
      <c r="U240">
        <f t="shared" si="182"/>
        <v>0</v>
      </c>
      <c r="V240">
        <f t="shared" si="183"/>
        <v>0</v>
      </c>
      <c r="W240">
        <f t="shared" si="184"/>
        <v>0</v>
      </c>
      <c r="X240">
        <f t="shared" si="185"/>
        <v>0</v>
      </c>
      <c r="Y240">
        <f t="shared" si="186"/>
        <v>0</v>
      </c>
      <c r="AA240">
        <v>56611490</v>
      </c>
      <c r="AB240">
        <f t="shared" si="187"/>
        <v>517.14</v>
      </c>
      <c r="AC240">
        <f t="shared" si="188"/>
        <v>517.14</v>
      </c>
      <c r="AD240">
        <f>ROUND((((ET240)-(EU240))+AE240),6)</f>
        <v>0</v>
      </c>
      <c r="AE240">
        <f>ROUND((EU240),6)</f>
        <v>0</v>
      </c>
      <c r="AF240">
        <f>ROUND((EV240),6)</f>
        <v>0</v>
      </c>
      <c r="AG240">
        <f t="shared" si="191"/>
        <v>0</v>
      </c>
      <c r="AH240">
        <f>(EW240)</f>
        <v>0</v>
      </c>
      <c r="AI240">
        <f>(EX240)</f>
        <v>0</v>
      </c>
      <c r="AJ240">
        <f t="shared" si="193"/>
        <v>0</v>
      </c>
      <c r="AK240">
        <v>517.14</v>
      </c>
      <c r="AL240">
        <v>517.14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1.002</v>
      </c>
      <c r="AZ240">
        <v>1</v>
      </c>
      <c r="BA240">
        <v>1</v>
      </c>
      <c r="BB240">
        <v>1</v>
      </c>
      <c r="BC240">
        <v>11.03</v>
      </c>
      <c r="BD240" t="s">
        <v>3</v>
      </c>
      <c r="BE240" t="s">
        <v>3</v>
      </c>
      <c r="BF240" t="s">
        <v>3</v>
      </c>
      <c r="BG240" t="s">
        <v>3</v>
      </c>
      <c r="BH240">
        <v>3</v>
      </c>
      <c r="BI240">
        <v>1</v>
      </c>
      <c r="BJ240" t="s">
        <v>315</v>
      </c>
      <c r="BM240">
        <v>152</v>
      </c>
      <c r="BN240">
        <v>0</v>
      </c>
      <c r="BO240" t="s">
        <v>313</v>
      </c>
      <c r="BP240">
        <v>1</v>
      </c>
      <c r="BQ240">
        <v>30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 t="s">
        <v>3</v>
      </c>
      <c r="BZ240">
        <v>0</v>
      </c>
      <c r="CA240">
        <v>0</v>
      </c>
      <c r="CB240" t="s">
        <v>3</v>
      </c>
      <c r="CE240">
        <v>30</v>
      </c>
      <c r="CF240">
        <v>0</v>
      </c>
      <c r="CG240">
        <v>0</v>
      </c>
      <c r="CM240">
        <v>0</v>
      </c>
      <c r="CN240" t="s">
        <v>3</v>
      </c>
      <c r="CO240">
        <v>0</v>
      </c>
      <c r="CP240">
        <f t="shared" si="194"/>
        <v>75.78</v>
      </c>
      <c r="CQ240">
        <f t="shared" si="195"/>
        <v>5715.42</v>
      </c>
      <c r="CR240">
        <f>(ROUND((ROUND(((ET240)*AV240*1),2)*BB240),2)+ROUND((ROUND(((AE240-(EU240))*AV240*1),2)*BS240),2))</f>
        <v>0</v>
      </c>
      <c r="CS240">
        <f t="shared" si="197"/>
        <v>0</v>
      </c>
      <c r="CT240">
        <f t="shared" si="198"/>
        <v>0</v>
      </c>
      <c r="CU240">
        <f t="shared" si="199"/>
        <v>0</v>
      </c>
      <c r="CV240">
        <f t="shared" si="200"/>
        <v>0</v>
      </c>
      <c r="CW240">
        <f t="shared" si="201"/>
        <v>0</v>
      </c>
      <c r="CX240">
        <f t="shared" si="202"/>
        <v>0</v>
      </c>
      <c r="CY240">
        <f>S240*(BZ240/100)</f>
        <v>0</v>
      </c>
      <c r="CZ240">
        <f>S240*(CA240/100)</f>
        <v>0</v>
      </c>
      <c r="DC240" t="s">
        <v>3</v>
      </c>
      <c r="DD240" t="s">
        <v>3</v>
      </c>
      <c r="DE240" t="s">
        <v>3</v>
      </c>
      <c r="DF240" t="s">
        <v>3</v>
      </c>
      <c r="DG240" t="s">
        <v>3</v>
      </c>
      <c r="DH240" t="s">
        <v>3</v>
      </c>
      <c r="DI240" t="s">
        <v>3</v>
      </c>
      <c r="DJ240" t="s">
        <v>3</v>
      </c>
      <c r="DK240" t="s">
        <v>3</v>
      </c>
      <c r="DL240" t="s">
        <v>3</v>
      </c>
      <c r="DM240" t="s">
        <v>3</v>
      </c>
      <c r="DN240">
        <v>161</v>
      </c>
      <c r="DO240">
        <v>107</v>
      </c>
      <c r="DP240">
        <v>1.0469999999999999</v>
      </c>
      <c r="DQ240">
        <v>1.002</v>
      </c>
      <c r="DU240">
        <v>1007</v>
      </c>
      <c r="DV240" t="s">
        <v>88</v>
      </c>
      <c r="DW240" t="s">
        <v>88</v>
      </c>
      <c r="DX240">
        <v>1</v>
      </c>
      <c r="DZ240" t="s">
        <v>3</v>
      </c>
      <c r="EA240" t="s">
        <v>3</v>
      </c>
      <c r="EB240" t="s">
        <v>3</v>
      </c>
      <c r="EC240" t="s">
        <v>3</v>
      </c>
      <c r="EE240">
        <v>51696191</v>
      </c>
      <c r="EF240">
        <v>30</v>
      </c>
      <c r="EG240" t="s">
        <v>23</v>
      </c>
      <c r="EH240">
        <v>0</v>
      </c>
      <c r="EI240" t="s">
        <v>3</v>
      </c>
      <c r="EJ240">
        <v>1</v>
      </c>
      <c r="EK240">
        <v>152</v>
      </c>
      <c r="EL240" t="s">
        <v>310</v>
      </c>
      <c r="EM240" t="s">
        <v>311</v>
      </c>
      <c r="EO240" t="s">
        <v>3</v>
      </c>
      <c r="EQ240">
        <v>0</v>
      </c>
      <c r="ER240">
        <v>517.14</v>
      </c>
      <c r="ES240">
        <v>517.14</v>
      </c>
      <c r="ET240">
        <v>0</v>
      </c>
      <c r="EU240">
        <v>0</v>
      </c>
      <c r="EV240">
        <v>0</v>
      </c>
      <c r="EW240">
        <v>0</v>
      </c>
      <c r="EX240">
        <v>0</v>
      </c>
      <c r="FQ240">
        <v>0</v>
      </c>
      <c r="FR240">
        <v>0</v>
      </c>
      <c r="FS240">
        <v>0</v>
      </c>
      <c r="FX240">
        <v>161</v>
      </c>
      <c r="FY240">
        <v>107</v>
      </c>
      <c r="GA240" t="s">
        <v>3</v>
      </c>
      <c r="GD240">
        <v>0</v>
      </c>
      <c r="GF240">
        <v>-520181400</v>
      </c>
      <c r="GG240">
        <v>2</v>
      </c>
      <c r="GH240">
        <v>1</v>
      </c>
      <c r="GI240">
        <v>2</v>
      </c>
      <c r="GJ240">
        <v>0</v>
      </c>
      <c r="GK240">
        <f>ROUND(R240*(S12)/100,2)</f>
        <v>0</v>
      </c>
      <c r="GL240">
        <f t="shared" si="203"/>
        <v>0</v>
      </c>
      <c r="GM240">
        <f t="shared" si="204"/>
        <v>75.78</v>
      </c>
      <c r="GN240">
        <f t="shared" si="205"/>
        <v>75.78</v>
      </c>
      <c r="GO240">
        <f t="shared" si="206"/>
        <v>0</v>
      </c>
      <c r="GP240">
        <f t="shared" si="207"/>
        <v>0</v>
      </c>
      <c r="GR240">
        <v>0</v>
      </c>
      <c r="GS240">
        <v>3</v>
      </c>
      <c r="GT240">
        <v>0</v>
      </c>
      <c r="GU240" t="s">
        <v>3</v>
      </c>
      <c r="GV240">
        <f t="shared" si="208"/>
        <v>0</v>
      </c>
      <c r="GW240">
        <v>1</v>
      </c>
      <c r="GX240">
        <f t="shared" si="209"/>
        <v>0</v>
      </c>
      <c r="HA240">
        <v>0</v>
      </c>
      <c r="HB240">
        <v>0</v>
      </c>
      <c r="HC240">
        <f t="shared" si="210"/>
        <v>0</v>
      </c>
      <c r="HE240" t="s">
        <v>3</v>
      </c>
      <c r="HF240" t="s">
        <v>3</v>
      </c>
      <c r="HM240" t="s">
        <v>3</v>
      </c>
      <c r="HN240" t="s">
        <v>3</v>
      </c>
      <c r="HO240" t="s">
        <v>3</v>
      </c>
      <c r="HP240" t="s">
        <v>3</v>
      </c>
      <c r="HQ240" t="s">
        <v>3</v>
      </c>
      <c r="HS240">
        <v>0</v>
      </c>
      <c r="IK240">
        <v>0</v>
      </c>
    </row>
    <row r="241" spans="1:255" x14ac:dyDescent="0.2">
      <c r="A241" s="2">
        <v>17</v>
      </c>
      <c r="B241" s="2">
        <v>1</v>
      </c>
      <c r="C241" s="2">
        <f>ROW(SmtRes!A181)</f>
        <v>181</v>
      </c>
      <c r="D241" s="2">
        <f>ROW(EtalonRes!A369)</f>
        <v>369</v>
      </c>
      <c r="E241" s="2" t="s">
        <v>321</v>
      </c>
      <c r="F241" s="2" t="s">
        <v>322</v>
      </c>
      <c r="G241" s="2" t="s">
        <v>323</v>
      </c>
      <c r="H241" s="2" t="s">
        <v>98</v>
      </c>
      <c r="I241" s="2">
        <f>ROUND(1.3/100,9)</f>
        <v>1.2999999999999999E-2</v>
      </c>
      <c r="J241" s="2">
        <v>0</v>
      </c>
      <c r="K241" s="2">
        <f>ROUND(1.3/100,9)</f>
        <v>1.2999999999999999E-2</v>
      </c>
      <c r="L241" s="2"/>
      <c r="M241" s="2"/>
      <c r="N241" s="2"/>
      <c r="O241" s="2">
        <f t="shared" si="176"/>
        <v>9.5</v>
      </c>
      <c r="P241" s="2">
        <f t="shared" si="177"/>
        <v>0.75</v>
      </c>
      <c r="Q241" s="2">
        <f>(ROUND((ROUND((((ET241*1.1))*AV241*I241),2)*BB241),2)+ROUND((ROUND(((AE241-((EU241*1.1)))*AV241*I241),2)*BS241),2))</f>
        <v>7.97</v>
      </c>
      <c r="R241" s="2">
        <f t="shared" si="179"/>
        <v>0.7</v>
      </c>
      <c r="S241" s="2">
        <f t="shared" si="180"/>
        <v>0.78</v>
      </c>
      <c r="T241" s="2">
        <f t="shared" si="181"/>
        <v>0</v>
      </c>
      <c r="U241" s="2">
        <f t="shared" si="182"/>
        <v>6.4230308999999999E-2</v>
      </c>
      <c r="V241" s="2">
        <f t="shared" si="183"/>
        <v>0</v>
      </c>
      <c r="W241" s="2">
        <f t="shared" si="184"/>
        <v>0</v>
      </c>
      <c r="X241" s="2">
        <f t="shared" si="185"/>
        <v>1.26</v>
      </c>
      <c r="Y241" s="2">
        <f t="shared" si="186"/>
        <v>0.83</v>
      </c>
      <c r="Z241" s="2"/>
      <c r="AA241" s="2">
        <v>56622523</v>
      </c>
      <c r="AB241" s="2">
        <f t="shared" si="187"/>
        <v>700.80200000000002</v>
      </c>
      <c r="AC241" s="2">
        <f t="shared" si="188"/>
        <v>57.83</v>
      </c>
      <c r="AD241" s="2">
        <f>ROUND(((((ET241*1.1))-((EU241*1.1)))+AE241),6)</f>
        <v>585.58500000000004</v>
      </c>
      <c r="AE241" s="2">
        <f>ROUND(((EU241*1.1)),6)</f>
        <v>51.238</v>
      </c>
      <c r="AF241" s="2">
        <f>ROUND(((EV241*1.1)),6)</f>
        <v>57.387</v>
      </c>
      <c r="AG241" s="2">
        <f t="shared" si="191"/>
        <v>0</v>
      </c>
      <c r="AH241" s="2">
        <f>((EW241*1.1))</f>
        <v>4.7190000000000003</v>
      </c>
      <c r="AI241" s="2">
        <f>((EX241*1.1))</f>
        <v>0</v>
      </c>
      <c r="AJ241" s="2">
        <f t="shared" si="193"/>
        <v>0</v>
      </c>
      <c r="AK241" s="2">
        <v>642.35</v>
      </c>
      <c r="AL241" s="2">
        <v>57.83</v>
      </c>
      <c r="AM241" s="2">
        <v>532.35</v>
      </c>
      <c r="AN241" s="2">
        <v>46.58</v>
      </c>
      <c r="AO241" s="2">
        <v>52.17</v>
      </c>
      <c r="AP241" s="2">
        <v>0</v>
      </c>
      <c r="AQ241" s="2">
        <v>4.29</v>
      </c>
      <c r="AR241" s="2">
        <v>0</v>
      </c>
      <c r="AS241" s="2">
        <v>0</v>
      </c>
      <c r="AT241" s="2">
        <v>161</v>
      </c>
      <c r="AU241" s="2">
        <v>107</v>
      </c>
      <c r="AV241" s="2">
        <v>1.0469999999999999</v>
      </c>
      <c r="AW241" s="2">
        <v>1</v>
      </c>
      <c r="AX241" s="2"/>
      <c r="AY241" s="2"/>
      <c r="AZ241" s="2">
        <v>1</v>
      </c>
      <c r="BA241" s="2">
        <v>1</v>
      </c>
      <c r="BB241" s="2">
        <v>1</v>
      </c>
      <c r="BC241" s="2">
        <v>1</v>
      </c>
      <c r="BD241" s="2" t="s">
        <v>3</v>
      </c>
      <c r="BE241" s="2" t="s">
        <v>3</v>
      </c>
      <c r="BF241" s="2" t="s">
        <v>3</v>
      </c>
      <c r="BG241" s="2" t="s">
        <v>3</v>
      </c>
      <c r="BH241" s="2">
        <v>0</v>
      </c>
      <c r="BI241" s="2">
        <v>1</v>
      </c>
      <c r="BJ241" s="2" t="s">
        <v>324</v>
      </c>
      <c r="BK241" s="2"/>
      <c r="BL241" s="2"/>
      <c r="BM241" s="2">
        <v>158</v>
      </c>
      <c r="BN241" s="2">
        <v>0</v>
      </c>
      <c r="BO241" s="2" t="s">
        <v>3</v>
      </c>
      <c r="BP241" s="2">
        <v>0</v>
      </c>
      <c r="BQ241" s="2">
        <v>30</v>
      </c>
      <c r="BR241" s="2">
        <v>0</v>
      </c>
      <c r="BS241" s="2">
        <v>1</v>
      </c>
      <c r="BT241" s="2">
        <v>1</v>
      </c>
      <c r="BU241" s="2">
        <v>1</v>
      </c>
      <c r="BV241" s="2">
        <v>1</v>
      </c>
      <c r="BW241" s="2">
        <v>1</v>
      </c>
      <c r="BX241" s="2">
        <v>1</v>
      </c>
      <c r="BY241" s="2" t="s">
        <v>3</v>
      </c>
      <c r="BZ241" s="2">
        <v>161</v>
      </c>
      <c r="CA241" s="2">
        <v>107</v>
      </c>
      <c r="CB241" s="2" t="s">
        <v>3</v>
      </c>
      <c r="CC241" s="2"/>
      <c r="CD241" s="2"/>
      <c r="CE241" s="2">
        <v>30</v>
      </c>
      <c r="CF241" s="2">
        <v>0</v>
      </c>
      <c r="CG241" s="2">
        <v>0</v>
      </c>
      <c r="CH241" s="2"/>
      <c r="CI241" s="2"/>
      <c r="CJ241" s="2"/>
      <c r="CK241" s="2"/>
      <c r="CL241" s="2"/>
      <c r="CM241" s="2">
        <v>0</v>
      </c>
      <c r="CN241" s="2" t="s">
        <v>689</v>
      </c>
      <c r="CO241" s="2">
        <v>0</v>
      </c>
      <c r="CP241" s="2">
        <f t="shared" si="194"/>
        <v>9.4999999999999982</v>
      </c>
      <c r="CQ241" s="2">
        <f t="shared" si="195"/>
        <v>57.83</v>
      </c>
      <c r="CR241" s="2">
        <f>(ROUND((ROUND((((ET241*1.1))*AV241*1),2)*BB241),2)+ROUND((ROUND(((AE241-((EU241*1.1)))*AV241*1),2)*BS241),2))</f>
        <v>613.11</v>
      </c>
      <c r="CS241" s="2">
        <f t="shared" si="197"/>
        <v>53.65</v>
      </c>
      <c r="CT241" s="2">
        <f t="shared" si="198"/>
        <v>60.08</v>
      </c>
      <c r="CU241" s="2">
        <f t="shared" si="199"/>
        <v>0</v>
      </c>
      <c r="CV241" s="2">
        <f t="shared" si="200"/>
        <v>4.9407930000000002</v>
      </c>
      <c r="CW241" s="2">
        <f t="shared" si="201"/>
        <v>0</v>
      </c>
      <c r="CX241" s="2">
        <f t="shared" si="202"/>
        <v>0</v>
      </c>
      <c r="CY241" s="2">
        <f>((S241*BZ241)/100)</f>
        <v>1.2558</v>
      </c>
      <c r="CZ241" s="2">
        <f>((S241*CA241)/100)</f>
        <v>0.83460000000000012</v>
      </c>
      <c r="DA241" s="2"/>
      <c r="DB241" s="2"/>
      <c r="DC241" s="2" t="s">
        <v>3</v>
      </c>
      <c r="DD241" s="2" t="s">
        <v>3</v>
      </c>
      <c r="DE241" s="2" t="s">
        <v>22</v>
      </c>
      <c r="DF241" s="2" t="s">
        <v>22</v>
      </c>
      <c r="DG241" s="2" t="s">
        <v>22</v>
      </c>
      <c r="DH241" s="2" t="s">
        <v>3</v>
      </c>
      <c r="DI241" s="2" t="s">
        <v>22</v>
      </c>
      <c r="DJ241" s="2" t="s">
        <v>22</v>
      </c>
      <c r="DK241" s="2" t="s">
        <v>3</v>
      </c>
      <c r="DL241" s="2" t="s">
        <v>3</v>
      </c>
      <c r="DM241" s="2" t="s">
        <v>3</v>
      </c>
      <c r="DN241" s="2">
        <v>0</v>
      </c>
      <c r="DO241" s="2">
        <v>0</v>
      </c>
      <c r="DP241" s="2">
        <v>1</v>
      </c>
      <c r="DQ241" s="2">
        <v>1</v>
      </c>
      <c r="DR241" s="2"/>
      <c r="DS241" s="2"/>
      <c r="DT241" s="2"/>
      <c r="DU241" s="2">
        <v>1013</v>
      </c>
      <c r="DV241" s="2" t="s">
        <v>98</v>
      </c>
      <c r="DW241" s="2" t="s">
        <v>98</v>
      </c>
      <c r="DX241" s="2">
        <v>1</v>
      </c>
      <c r="DY241" s="2"/>
      <c r="DZ241" s="2" t="s">
        <v>3</v>
      </c>
      <c r="EA241" s="2" t="s">
        <v>3</v>
      </c>
      <c r="EB241" s="2" t="s">
        <v>3</v>
      </c>
      <c r="EC241" s="2" t="s">
        <v>3</v>
      </c>
      <c r="ED241" s="2"/>
      <c r="EE241" s="2">
        <v>51696197</v>
      </c>
      <c r="EF241" s="2">
        <v>30</v>
      </c>
      <c r="EG241" s="2" t="s">
        <v>23</v>
      </c>
      <c r="EH241" s="2">
        <v>0</v>
      </c>
      <c r="EI241" s="2" t="s">
        <v>3</v>
      </c>
      <c r="EJ241" s="2">
        <v>1</v>
      </c>
      <c r="EK241" s="2">
        <v>158</v>
      </c>
      <c r="EL241" s="2" t="s">
        <v>325</v>
      </c>
      <c r="EM241" s="2" t="s">
        <v>326</v>
      </c>
      <c r="EN241" s="2"/>
      <c r="EO241" s="2" t="s">
        <v>26</v>
      </c>
      <c r="EP241" s="2"/>
      <c r="EQ241" s="2">
        <v>131072</v>
      </c>
      <c r="ER241" s="2">
        <v>642.35</v>
      </c>
      <c r="ES241" s="2">
        <v>57.83</v>
      </c>
      <c r="ET241" s="2">
        <v>532.35</v>
      </c>
      <c r="EU241" s="2">
        <v>46.58</v>
      </c>
      <c r="EV241" s="2">
        <v>52.17</v>
      </c>
      <c r="EW241" s="2">
        <v>4.29</v>
      </c>
      <c r="EX241" s="2">
        <v>0</v>
      </c>
      <c r="EY241" s="2">
        <v>0</v>
      </c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>
        <v>0</v>
      </c>
      <c r="FR241" s="2">
        <v>0</v>
      </c>
      <c r="FS241" s="2">
        <v>0</v>
      </c>
      <c r="FT241" s="2"/>
      <c r="FU241" s="2"/>
      <c r="FV241" s="2"/>
      <c r="FW241" s="2"/>
      <c r="FX241" s="2">
        <v>161</v>
      </c>
      <c r="FY241" s="2">
        <v>107</v>
      </c>
      <c r="FZ241" s="2"/>
      <c r="GA241" s="2" t="s">
        <v>3</v>
      </c>
      <c r="GB241" s="2"/>
      <c r="GC241" s="2"/>
      <c r="GD241" s="2">
        <v>0</v>
      </c>
      <c r="GE241" s="2"/>
      <c r="GF241" s="2">
        <v>-399398241</v>
      </c>
      <c r="GG241" s="2">
        <v>2</v>
      </c>
      <c r="GH241" s="2">
        <v>1</v>
      </c>
      <c r="GI241" s="2">
        <v>-2</v>
      </c>
      <c r="GJ241" s="2">
        <v>0</v>
      </c>
      <c r="GK241" s="2">
        <f>ROUND(R241*(R12)/100,2)</f>
        <v>1.23</v>
      </c>
      <c r="GL241" s="2">
        <f t="shared" si="203"/>
        <v>0</v>
      </c>
      <c r="GM241" s="2">
        <f t="shared" si="204"/>
        <v>12.82</v>
      </c>
      <c r="GN241" s="2">
        <f t="shared" si="205"/>
        <v>12.82</v>
      </c>
      <c r="GO241" s="2">
        <f t="shared" si="206"/>
        <v>0</v>
      </c>
      <c r="GP241" s="2">
        <f t="shared" si="207"/>
        <v>0</v>
      </c>
      <c r="GQ241" s="2"/>
      <c r="GR241" s="2">
        <v>0</v>
      </c>
      <c r="GS241" s="2">
        <v>0</v>
      </c>
      <c r="GT241" s="2">
        <v>0</v>
      </c>
      <c r="GU241" s="2" t="s">
        <v>3</v>
      </c>
      <c r="GV241" s="2">
        <f t="shared" si="208"/>
        <v>0</v>
      </c>
      <c r="GW241" s="2">
        <v>1</v>
      </c>
      <c r="GX241" s="2">
        <f t="shared" si="209"/>
        <v>0</v>
      </c>
      <c r="GY241" s="2"/>
      <c r="GZ241" s="2"/>
      <c r="HA241" s="2">
        <v>0</v>
      </c>
      <c r="HB241" s="2">
        <v>0</v>
      </c>
      <c r="HC241" s="2">
        <f t="shared" si="210"/>
        <v>0</v>
      </c>
      <c r="HD241" s="2"/>
      <c r="HE241" s="2" t="s">
        <v>3</v>
      </c>
      <c r="HF241" s="2" t="s">
        <v>3</v>
      </c>
      <c r="HG241" s="2"/>
      <c r="HH241" s="2"/>
      <c r="HI241" s="2"/>
      <c r="HJ241" s="2"/>
      <c r="HK241" s="2"/>
      <c r="HL241" s="2"/>
      <c r="HM241" s="2" t="s">
        <v>3</v>
      </c>
      <c r="HN241" s="2" t="s">
        <v>3</v>
      </c>
      <c r="HO241" s="2" t="s">
        <v>3</v>
      </c>
      <c r="HP241" s="2" t="s">
        <v>3</v>
      </c>
      <c r="HQ241" s="2" t="s">
        <v>3</v>
      </c>
      <c r="HR241" s="2"/>
      <c r="HS241" s="2">
        <v>0</v>
      </c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>
        <v>0</v>
      </c>
      <c r="IL241" s="2"/>
      <c r="IM241" s="2"/>
      <c r="IN241" s="2"/>
      <c r="IO241" s="2"/>
      <c r="IP241" s="2"/>
      <c r="IQ241" s="2"/>
      <c r="IR241" s="2"/>
      <c r="IS241" s="2"/>
      <c r="IT241" s="2"/>
      <c r="IU241" s="2"/>
    </row>
    <row r="242" spans="1:255" x14ac:dyDescent="0.2">
      <c r="A242">
        <v>17</v>
      </c>
      <c r="B242">
        <v>1</v>
      </c>
      <c r="C242">
        <f>ROW(SmtRes!A182)</f>
        <v>182</v>
      </c>
      <c r="D242">
        <f>ROW(EtalonRes!A380)</f>
        <v>380</v>
      </c>
      <c r="E242" t="s">
        <v>321</v>
      </c>
      <c r="F242" t="s">
        <v>322</v>
      </c>
      <c r="G242" t="s">
        <v>323</v>
      </c>
      <c r="H242" t="s">
        <v>98</v>
      </c>
      <c r="I242">
        <f>ROUND(1.3/100,9)</f>
        <v>1.2999999999999999E-2</v>
      </c>
      <c r="J242">
        <v>0</v>
      </c>
      <c r="K242">
        <f>ROUND(1.3/100,9)</f>
        <v>1.2999999999999999E-2</v>
      </c>
      <c r="O242">
        <f t="shared" si="176"/>
        <v>134.43</v>
      </c>
      <c r="P242">
        <f t="shared" si="177"/>
        <v>12.35</v>
      </c>
      <c r="Q242">
        <f>(ROUND((ROUND((((ET242*1.1))*AV242*I242),2)*BB242),2)+ROUND((ROUND(((AE242-((EU242*1.1)))*AV242*I242),2)*BS242),2))</f>
        <v>95.16</v>
      </c>
      <c r="R242">
        <f t="shared" si="179"/>
        <v>24.16</v>
      </c>
      <c r="S242">
        <f t="shared" si="180"/>
        <v>26.92</v>
      </c>
      <c r="T242">
        <f t="shared" si="181"/>
        <v>0</v>
      </c>
      <c r="U242">
        <f t="shared" si="182"/>
        <v>6.4230308999999999E-2</v>
      </c>
      <c r="V242">
        <f t="shared" si="183"/>
        <v>0</v>
      </c>
      <c r="W242">
        <f t="shared" si="184"/>
        <v>0</v>
      </c>
      <c r="X242">
        <f t="shared" si="185"/>
        <v>36.07</v>
      </c>
      <c r="Y242">
        <f t="shared" si="186"/>
        <v>14.81</v>
      </c>
      <c r="AA242">
        <v>56611490</v>
      </c>
      <c r="AB242">
        <f t="shared" si="187"/>
        <v>700.80200000000002</v>
      </c>
      <c r="AC242">
        <f t="shared" si="188"/>
        <v>57.83</v>
      </c>
      <c r="AD242">
        <f>ROUND(((((ET242*1.1))-((EU242*1.1)))+AE242),6)</f>
        <v>585.58500000000004</v>
      </c>
      <c r="AE242">
        <f>ROUND(((EU242*1.1)),6)</f>
        <v>51.238</v>
      </c>
      <c r="AF242">
        <f>ROUND(((EV242*1.1)),6)</f>
        <v>57.387</v>
      </c>
      <c r="AG242">
        <f t="shared" si="191"/>
        <v>0</v>
      </c>
      <c r="AH242">
        <f>((EW242*1.1))</f>
        <v>4.7190000000000003</v>
      </c>
      <c r="AI242">
        <f>((EX242*1.1))</f>
        <v>0</v>
      </c>
      <c r="AJ242">
        <f t="shared" si="193"/>
        <v>0</v>
      </c>
      <c r="AK242">
        <v>642.35</v>
      </c>
      <c r="AL242">
        <v>57.83</v>
      </c>
      <c r="AM242">
        <v>532.35</v>
      </c>
      <c r="AN242">
        <v>46.58</v>
      </c>
      <c r="AO242">
        <v>52.17</v>
      </c>
      <c r="AP242">
        <v>0</v>
      </c>
      <c r="AQ242">
        <v>4.29</v>
      </c>
      <c r="AR242">
        <v>0</v>
      </c>
      <c r="AS242">
        <v>0</v>
      </c>
      <c r="AT242">
        <v>134</v>
      </c>
      <c r="AU242">
        <v>55</v>
      </c>
      <c r="AV242">
        <v>1.0469999999999999</v>
      </c>
      <c r="AW242">
        <v>1</v>
      </c>
      <c r="AZ242">
        <v>1</v>
      </c>
      <c r="BA242">
        <v>34.51</v>
      </c>
      <c r="BB242">
        <v>11.94</v>
      </c>
      <c r="BC242">
        <v>16.47</v>
      </c>
      <c r="BD242" t="s">
        <v>3</v>
      </c>
      <c r="BE242" t="s">
        <v>3</v>
      </c>
      <c r="BF242" t="s">
        <v>3</v>
      </c>
      <c r="BG242" t="s">
        <v>3</v>
      </c>
      <c r="BH242">
        <v>0</v>
      </c>
      <c r="BI242">
        <v>1</v>
      </c>
      <c r="BJ242" t="s">
        <v>324</v>
      </c>
      <c r="BM242">
        <v>158</v>
      </c>
      <c r="BN242">
        <v>0</v>
      </c>
      <c r="BO242" t="s">
        <v>322</v>
      </c>
      <c r="BP242">
        <v>1</v>
      </c>
      <c r="BQ242">
        <v>30</v>
      </c>
      <c r="BR242">
        <v>0</v>
      </c>
      <c r="BS242">
        <v>34.51</v>
      </c>
      <c r="BT242">
        <v>1</v>
      </c>
      <c r="BU242">
        <v>1</v>
      </c>
      <c r="BV242">
        <v>1</v>
      </c>
      <c r="BW242">
        <v>1</v>
      </c>
      <c r="BX242">
        <v>1</v>
      </c>
      <c r="BY242" t="s">
        <v>3</v>
      </c>
      <c r="BZ242">
        <v>134</v>
      </c>
      <c r="CA242">
        <v>55</v>
      </c>
      <c r="CB242" t="s">
        <v>3</v>
      </c>
      <c r="CE242">
        <v>30</v>
      </c>
      <c r="CF242">
        <v>0</v>
      </c>
      <c r="CG242">
        <v>0</v>
      </c>
      <c r="CM242">
        <v>0</v>
      </c>
      <c r="CN242" t="s">
        <v>689</v>
      </c>
      <c r="CO242">
        <v>0</v>
      </c>
      <c r="CP242">
        <f t="shared" si="194"/>
        <v>134.43</v>
      </c>
      <c r="CQ242">
        <f t="shared" si="195"/>
        <v>952.46</v>
      </c>
      <c r="CR242">
        <f>(ROUND((ROUND((((ET242*1.1))*AV242*1),2)*BB242),2)+ROUND((ROUND(((AE242-((EU242*1.1)))*AV242*1),2)*BS242),2))</f>
        <v>7320.53</v>
      </c>
      <c r="CS242">
        <f t="shared" si="197"/>
        <v>1851.46</v>
      </c>
      <c r="CT242">
        <f t="shared" si="198"/>
        <v>2073.36</v>
      </c>
      <c r="CU242">
        <f t="shared" si="199"/>
        <v>0</v>
      </c>
      <c r="CV242">
        <f t="shared" si="200"/>
        <v>4.9407930000000002</v>
      </c>
      <c r="CW242">
        <f t="shared" si="201"/>
        <v>0</v>
      </c>
      <c r="CX242">
        <f t="shared" si="202"/>
        <v>0</v>
      </c>
      <c r="CY242">
        <f>S242*(BZ242/100)</f>
        <v>36.072800000000008</v>
      </c>
      <c r="CZ242">
        <f>S242*(CA242/100)</f>
        <v>14.806000000000003</v>
      </c>
      <c r="DC242" t="s">
        <v>3</v>
      </c>
      <c r="DD242" t="s">
        <v>3</v>
      </c>
      <c r="DE242" t="s">
        <v>22</v>
      </c>
      <c r="DF242" t="s">
        <v>22</v>
      </c>
      <c r="DG242" t="s">
        <v>22</v>
      </c>
      <c r="DH242" t="s">
        <v>3</v>
      </c>
      <c r="DI242" t="s">
        <v>22</v>
      </c>
      <c r="DJ242" t="s">
        <v>22</v>
      </c>
      <c r="DK242" t="s">
        <v>3</v>
      </c>
      <c r="DL242" t="s">
        <v>3</v>
      </c>
      <c r="DM242" t="s">
        <v>3</v>
      </c>
      <c r="DN242">
        <v>161</v>
      </c>
      <c r="DO242">
        <v>107</v>
      </c>
      <c r="DP242">
        <v>1.0469999999999999</v>
      </c>
      <c r="DQ242">
        <v>1</v>
      </c>
      <c r="DU242">
        <v>1013</v>
      </c>
      <c r="DV242" t="s">
        <v>98</v>
      </c>
      <c r="DW242" t="s">
        <v>98</v>
      </c>
      <c r="DX242">
        <v>1</v>
      </c>
      <c r="DZ242" t="s">
        <v>3</v>
      </c>
      <c r="EA242" t="s">
        <v>3</v>
      </c>
      <c r="EB242" t="s">
        <v>3</v>
      </c>
      <c r="EC242" t="s">
        <v>3</v>
      </c>
      <c r="EE242">
        <v>51696197</v>
      </c>
      <c r="EF242">
        <v>30</v>
      </c>
      <c r="EG242" t="s">
        <v>23</v>
      </c>
      <c r="EH242">
        <v>0</v>
      </c>
      <c r="EI242" t="s">
        <v>3</v>
      </c>
      <c r="EJ242">
        <v>1</v>
      </c>
      <c r="EK242">
        <v>158</v>
      </c>
      <c r="EL242" t="s">
        <v>325</v>
      </c>
      <c r="EM242" t="s">
        <v>326</v>
      </c>
      <c r="EO242" t="s">
        <v>26</v>
      </c>
      <c r="EQ242">
        <v>131072</v>
      </c>
      <c r="ER242">
        <v>642.35</v>
      </c>
      <c r="ES242">
        <v>57.83</v>
      </c>
      <c r="ET242">
        <v>532.35</v>
      </c>
      <c r="EU242">
        <v>46.58</v>
      </c>
      <c r="EV242">
        <v>52.17</v>
      </c>
      <c r="EW242">
        <v>4.29</v>
      </c>
      <c r="EX242">
        <v>0</v>
      </c>
      <c r="EY242">
        <v>0</v>
      </c>
      <c r="FQ242">
        <v>0</v>
      </c>
      <c r="FR242">
        <v>0</v>
      </c>
      <c r="FS242">
        <v>0</v>
      </c>
      <c r="FX242">
        <v>161</v>
      </c>
      <c r="FY242">
        <v>107</v>
      </c>
      <c r="GA242" t="s">
        <v>3</v>
      </c>
      <c r="GD242">
        <v>0</v>
      </c>
      <c r="GF242">
        <v>-399398241</v>
      </c>
      <c r="GG242">
        <v>2</v>
      </c>
      <c r="GH242">
        <v>1</v>
      </c>
      <c r="GI242">
        <v>2</v>
      </c>
      <c r="GJ242">
        <v>0</v>
      </c>
      <c r="GK242">
        <f>ROUND(R242*(S12)/100,2)</f>
        <v>38.659999999999997</v>
      </c>
      <c r="GL242">
        <f t="shared" si="203"/>
        <v>0</v>
      </c>
      <c r="GM242">
        <f t="shared" si="204"/>
        <v>223.97</v>
      </c>
      <c r="GN242">
        <f t="shared" si="205"/>
        <v>223.97</v>
      </c>
      <c r="GO242">
        <f t="shared" si="206"/>
        <v>0</v>
      </c>
      <c r="GP242">
        <f t="shared" si="207"/>
        <v>0</v>
      </c>
      <c r="GR242">
        <v>0</v>
      </c>
      <c r="GS242">
        <v>3</v>
      </c>
      <c r="GT242">
        <v>0</v>
      </c>
      <c r="GU242" t="s">
        <v>3</v>
      </c>
      <c r="GV242">
        <f t="shared" si="208"/>
        <v>0</v>
      </c>
      <c r="GW242">
        <v>1</v>
      </c>
      <c r="GX242">
        <f t="shared" si="209"/>
        <v>0</v>
      </c>
      <c r="HA242">
        <v>0</v>
      </c>
      <c r="HB242">
        <v>0</v>
      </c>
      <c r="HC242">
        <f t="shared" si="210"/>
        <v>0</v>
      </c>
      <c r="HE242" t="s">
        <v>3</v>
      </c>
      <c r="HF242" t="s">
        <v>3</v>
      </c>
      <c r="HM242" t="s">
        <v>3</v>
      </c>
      <c r="HN242" t="s">
        <v>3</v>
      </c>
      <c r="HO242" t="s">
        <v>3</v>
      </c>
      <c r="HP242" t="s">
        <v>3</v>
      </c>
      <c r="HQ242" t="s">
        <v>3</v>
      </c>
      <c r="HS242">
        <v>0</v>
      </c>
      <c r="IK242">
        <v>0</v>
      </c>
    </row>
    <row r="243" spans="1:255" x14ac:dyDescent="0.2">
      <c r="A243" s="2">
        <v>18</v>
      </c>
      <c r="B243" s="2">
        <v>1</v>
      </c>
      <c r="C243" s="2">
        <v>181</v>
      </c>
      <c r="D243" s="2"/>
      <c r="E243" s="2" t="s">
        <v>327</v>
      </c>
      <c r="F243" s="2" t="s">
        <v>328</v>
      </c>
      <c r="G243" s="2" t="s">
        <v>329</v>
      </c>
      <c r="H243" s="2" t="s">
        <v>330</v>
      </c>
      <c r="I243" s="2">
        <f>I241*J243</f>
        <v>0.12453999999999997</v>
      </c>
      <c r="J243" s="2">
        <v>9.5799999999999983</v>
      </c>
      <c r="K243" s="2">
        <v>9.58</v>
      </c>
      <c r="L243" s="2"/>
      <c r="M243" s="2"/>
      <c r="N243" s="2"/>
      <c r="O243" s="2">
        <f t="shared" si="176"/>
        <v>36.950000000000003</v>
      </c>
      <c r="P243" s="2">
        <f t="shared" si="177"/>
        <v>36.950000000000003</v>
      </c>
      <c r="Q243" s="2">
        <f>(ROUND((ROUND(((ET243)*AV243*I243),2)*BB243),2)+ROUND((ROUND(((AE243-(EU243))*AV243*I243),2)*BS243),2))</f>
        <v>0</v>
      </c>
      <c r="R243" s="2">
        <f t="shared" si="179"/>
        <v>0</v>
      </c>
      <c r="S243" s="2">
        <f t="shared" si="180"/>
        <v>0</v>
      </c>
      <c r="T243" s="2">
        <f t="shared" si="181"/>
        <v>0</v>
      </c>
      <c r="U243" s="2">
        <f t="shared" si="182"/>
        <v>0</v>
      </c>
      <c r="V243" s="2">
        <f t="shared" si="183"/>
        <v>0</v>
      </c>
      <c r="W243" s="2">
        <f t="shared" si="184"/>
        <v>0</v>
      </c>
      <c r="X243" s="2">
        <f t="shared" si="185"/>
        <v>0</v>
      </c>
      <c r="Y243" s="2">
        <f t="shared" si="186"/>
        <v>0</v>
      </c>
      <c r="Z243" s="2"/>
      <c r="AA243" s="2">
        <v>56622523</v>
      </c>
      <c r="AB243" s="2">
        <f t="shared" si="187"/>
        <v>296.7</v>
      </c>
      <c r="AC243" s="2">
        <f t="shared" si="188"/>
        <v>296.7</v>
      </c>
      <c r="AD243" s="2">
        <f>ROUND((((ET243)-(EU243))+AE243),6)</f>
        <v>0</v>
      </c>
      <c r="AE243" s="2">
        <f>ROUND((EU243),6)</f>
        <v>0</v>
      </c>
      <c r="AF243" s="2">
        <f>ROUND((EV243),6)</f>
        <v>0</v>
      </c>
      <c r="AG243" s="2">
        <f t="shared" si="191"/>
        <v>0</v>
      </c>
      <c r="AH243" s="2">
        <f>(EW243)</f>
        <v>0</v>
      </c>
      <c r="AI243" s="2">
        <f>(EX243)</f>
        <v>0</v>
      </c>
      <c r="AJ243" s="2">
        <f t="shared" si="193"/>
        <v>0</v>
      </c>
      <c r="AK243" s="2">
        <v>296.7</v>
      </c>
      <c r="AL243" s="2">
        <v>296.7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161</v>
      </c>
      <c r="AU243" s="2">
        <v>107</v>
      </c>
      <c r="AV243" s="2">
        <v>1.0469999999999999</v>
      </c>
      <c r="AW243" s="2">
        <v>1</v>
      </c>
      <c r="AX243" s="2"/>
      <c r="AY243" s="2"/>
      <c r="AZ243" s="2">
        <v>1</v>
      </c>
      <c r="BA243" s="2">
        <v>1</v>
      </c>
      <c r="BB243" s="2">
        <v>1</v>
      </c>
      <c r="BC243" s="2">
        <v>1</v>
      </c>
      <c r="BD243" s="2" t="s">
        <v>3</v>
      </c>
      <c r="BE243" s="2" t="s">
        <v>3</v>
      </c>
      <c r="BF243" s="2" t="s">
        <v>3</v>
      </c>
      <c r="BG243" s="2" t="s">
        <v>3</v>
      </c>
      <c r="BH243" s="2">
        <v>3</v>
      </c>
      <c r="BI243" s="2">
        <v>1</v>
      </c>
      <c r="BJ243" s="2" t="s">
        <v>331</v>
      </c>
      <c r="BK243" s="2"/>
      <c r="BL243" s="2"/>
      <c r="BM243" s="2">
        <v>158</v>
      </c>
      <c r="BN243" s="2">
        <v>0</v>
      </c>
      <c r="BO243" s="2" t="s">
        <v>3</v>
      </c>
      <c r="BP243" s="2">
        <v>0</v>
      </c>
      <c r="BQ243" s="2">
        <v>30</v>
      </c>
      <c r="BR243" s="2">
        <v>0</v>
      </c>
      <c r="BS243" s="2">
        <v>1</v>
      </c>
      <c r="BT243" s="2">
        <v>1</v>
      </c>
      <c r="BU243" s="2">
        <v>1</v>
      </c>
      <c r="BV243" s="2">
        <v>1</v>
      </c>
      <c r="BW243" s="2">
        <v>1</v>
      </c>
      <c r="BX243" s="2">
        <v>1</v>
      </c>
      <c r="BY243" s="2" t="s">
        <v>3</v>
      </c>
      <c r="BZ243" s="2">
        <v>161</v>
      </c>
      <c r="CA243" s="2">
        <v>107</v>
      </c>
      <c r="CB243" s="2" t="s">
        <v>3</v>
      </c>
      <c r="CC243" s="2"/>
      <c r="CD243" s="2"/>
      <c r="CE243" s="2">
        <v>30</v>
      </c>
      <c r="CF243" s="2">
        <v>0</v>
      </c>
      <c r="CG243" s="2">
        <v>0</v>
      </c>
      <c r="CH243" s="2"/>
      <c r="CI243" s="2"/>
      <c r="CJ243" s="2"/>
      <c r="CK243" s="2"/>
      <c r="CL243" s="2"/>
      <c r="CM243" s="2">
        <v>0</v>
      </c>
      <c r="CN243" s="2" t="s">
        <v>3</v>
      </c>
      <c r="CO243" s="2">
        <v>0</v>
      </c>
      <c r="CP243" s="2">
        <f t="shared" si="194"/>
        <v>36.950000000000003</v>
      </c>
      <c r="CQ243" s="2">
        <f t="shared" si="195"/>
        <v>296.7</v>
      </c>
      <c r="CR243" s="2">
        <f>(ROUND((ROUND(((ET243)*AV243*1),2)*BB243),2)+ROUND((ROUND(((AE243-(EU243))*AV243*1),2)*BS243),2))</f>
        <v>0</v>
      </c>
      <c r="CS243" s="2">
        <f t="shared" si="197"/>
        <v>0</v>
      </c>
      <c r="CT243" s="2">
        <f t="shared" si="198"/>
        <v>0</v>
      </c>
      <c r="CU243" s="2">
        <f t="shared" si="199"/>
        <v>0</v>
      </c>
      <c r="CV243" s="2">
        <f t="shared" si="200"/>
        <v>0</v>
      </c>
      <c r="CW243" s="2">
        <f t="shared" si="201"/>
        <v>0</v>
      </c>
      <c r="CX243" s="2">
        <f t="shared" si="202"/>
        <v>0</v>
      </c>
      <c r="CY243" s="2">
        <f>((S243*BZ243)/100)</f>
        <v>0</v>
      </c>
      <c r="CZ243" s="2">
        <f>((S243*CA243)/100)</f>
        <v>0</v>
      </c>
      <c r="DA243" s="2"/>
      <c r="DB243" s="2"/>
      <c r="DC243" s="2" t="s">
        <v>3</v>
      </c>
      <c r="DD243" s="2" t="s">
        <v>3</v>
      </c>
      <c r="DE243" s="2" t="s">
        <v>3</v>
      </c>
      <c r="DF243" s="2" t="s">
        <v>3</v>
      </c>
      <c r="DG243" s="2" t="s">
        <v>3</v>
      </c>
      <c r="DH243" s="2" t="s">
        <v>3</v>
      </c>
      <c r="DI243" s="2" t="s">
        <v>3</v>
      </c>
      <c r="DJ243" s="2" t="s">
        <v>3</v>
      </c>
      <c r="DK243" s="2" t="s">
        <v>3</v>
      </c>
      <c r="DL243" s="2" t="s">
        <v>3</v>
      </c>
      <c r="DM243" s="2" t="s">
        <v>3</v>
      </c>
      <c r="DN243" s="2">
        <v>0</v>
      </c>
      <c r="DO243" s="2">
        <v>0</v>
      </c>
      <c r="DP243" s="2">
        <v>1</v>
      </c>
      <c r="DQ243" s="2">
        <v>1</v>
      </c>
      <c r="DR243" s="2"/>
      <c r="DS243" s="2"/>
      <c r="DT243" s="2"/>
      <c r="DU243" s="2">
        <v>1009</v>
      </c>
      <c r="DV243" s="2" t="s">
        <v>330</v>
      </c>
      <c r="DW243" s="2" t="s">
        <v>330</v>
      </c>
      <c r="DX243" s="2">
        <v>1000</v>
      </c>
      <c r="DY243" s="2"/>
      <c r="DZ243" s="2" t="s">
        <v>3</v>
      </c>
      <c r="EA243" s="2" t="s">
        <v>3</v>
      </c>
      <c r="EB243" s="2" t="s">
        <v>3</v>
      </c>
      <c r="EC243" s="2" t="s">
        <v>3</v>
      </c>
      <c r="ED243" s="2"/>
      <c r="EE243" s="2">
        <v>51696197</v>
      </c>
      <c r="EF243" s="2">
        <v>30</v>
      </c>
      <c r="EG243" s="2" t="s">
        <v>23</v>
      </c>
      <c r="EH243" s="2">
        <v>0</v>
      </c>
      <c r="EI243" s="2" t="s">
        <v>3</v>
      </c>
      <c r="EJ243" s="2">
        <v>1</v>
      </c>
      <c r="EK243" s="2">
        <v>158</v>
      </c>
      <c r="EL243" s="2" t="s">
        <v>325</v>
      </c>
      <c r="EM243" s="2" t="s">
        <v>326</v>
      </c>
      <c r="EN243" s="2"/>
      <c r="EO243" s="2" t="s">
        <v>3</v>
      </c>
      <c r="EP243" s="2"/>
      <c r="EQ243" s="2">
        <v>0</v>
      </c>
      <c r="ER243" s="2">
        <v>296.7</v>
      </c>
      <c r="ES243" s="2">
        <v>296.7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>
        <v>0</v>
      </c>
      <c r="FR243" s="2">
        <v>0</v>
      </c>
      <c r="FS243" s="2">
        <v>0</v>
      </c>
      <c r="FT243" s="2"/>
      <c r="FU243" s="2"/>
      <c r="FV243" s="2"/>
      <c r="FW243" s="2"/>
      <c r="FX243" s="2">
        <v>161</v>
      </c>
      <c r="FY243" s="2">
        <v>107</v>
      </c>
      <c r="FZ243" s="2"/>
      <c r="GA243" s="2" t="s">
        <v>3</v>
      </c>
      <c r="GB243" s="2"/>
      <c r="GC243" s="2"/>
      <c r="GD243" s="2">
        <v>0</v>
      </c>
      <c r="GE243" s="2"/>
      <c r="GF243" s="2">
        <v>1855215121</v>
      </c>
      <c r="GG243" s="2">
        <v>2</v>
      </c>
      <c r="GH243" s="2">
        <v>1</v>
      </c>
      <c r="GI243" s="2">
        <v>-2</v>
      </c>
      <c r="GJ243" s="2">
        <v>0</v>
      </c>
      <c r="GK243" s="2">
        <f>ROUND(R243*(R12)/100,2)</f>
        <v>0</v>
      </c>
      <c r="GL243" s="2">
        <f t="shared" si="203"/>
        <v>0</v>
      </c>
      <c r="GM243" s="2">
        <f t="shared" si="204"/>
        <v>36.950000000000003</v>
      </c>
      <c r="GN243" s="2">
        <f t="shared" si="205"/>
        <v>36.950000000000003</v>
      </c>
      <c r="GO243" s="2">
        <f t="shared" si="206"/>
        <v>0</v>
      </c>
      <c r="GP243" s="2">
        <f t="shared" si="207"/>
        <v>0</v>
      </c>
      <c r="GQ243" s="2"/>
      <c r="GR243" s="2">
        <v>0</v>
      </c>
      <c r="GS243" s="2">
        <v>0</v>
      </c>
      <c r="GT243" s="2">
        <v>0</v>
      </c>
      <c r="GU243" s="2" t="s">
        <v>3</v>
      </c>
      <c r="GV243" s="2">
        <f t="shared" si="208"/>
        <v>0</v>
      </c>
      <c r="GW243" s="2">
        <v>1</v>
      </c>
      <c r="GX243" s="2">
        <f t="shared" si="209"/>
        <v>0</v>
      </c>
      <c r="GY243" s="2"/>
      <c r="GZ243" s="2"/>
      <c r="HA243" s="2">
        <v>0</v>
      </c>
      <c r="HB243" s="2">
        <v>0</v>
      </c>
      <c r="HC243" s="2">
        <f t="shared" si="210"/>
        <v>0</v>
      </c>
      <c r="HD243" s="2"/>
      <c r="HE243" s="2" t="s">
        <v>3</v>
      </c>
      <c r="HF243" s="2" t="s">
        <v>3</v>
      </c>
      <c r="HG243" s="2"/>
      <c r="HH243" s="2"/>
      <c r="HI243" s="2"/>
      <c r="HJ243" s="2"/>
      <c r="HK243" s="2"/>
      <c r="HL243" s="2"/>
      <c r="HM243" s="2" t="s">
        <v>3</v>
      </c>
      <c r="HN243" s="2" t="s">
        <v>3</v>
      </c>
      <c r="HO243" s="2" t="s">
        <v>3</v>
      </c>
      <c r="HP243" s="2" t="s">
        <v>3</v>
      </c>
      <c r="HQ243" s="2" t="s">
        <v>3</v>
      </c>
      <c r="HR243" s="2"/>
      <c r="HS243" s="2">
        <v>0</v>
      </c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>
        <v>0</v>
      </c>
      <c r="IL243" s="2"/>
      <c r="IM243" s="2"/>
      <c r="IN243" s="2"/>
      <c r="IO243" s="2"/>
      <c r="IP243" s="2"/>
      <c r="IQ243" s="2"/>
      <c r="IR243" s="2"/>
      <c r="IS243" s="2"/>
      <c r="IT243" s="2"/>
      <c r="IU243" s="2"/>
    </row>
    <row r="244" spans="1:255" x14ac:dyDescent="0.2">
      <c r="A244">
        <v>18</v>
      </c>
      <c r="B244">
        <v>1</v>
      </c>
      <c r="C244">
        <v>182</v>
      </c>
      <c r="E244" t="s">
        <v>327</v>
      </c>
      <c r="F244" t="s">
        <v>328</v>
      </c>
      <c r="G244" t="s">
        <v>329</v>
      </c>
      <c r="H244" t="s">
        <v>330</v>
      </c>
      <c r="I244">
        <f>I242*J244</f>
        <v>0.12453999999999997</v>
      </c>
      <c r="J244">
        <v>9.5799999999999983</v>
      </c>
      <c r="K244">
        <v>9.58</v>
      </c>
      <c r="O244">
        <f t="shared" si="176"/>
        <v>568.66</v>
      </c>
      <c r="P244">
        <f t="shared" si="177"/>
        <v>568.66</v>
      </c>
      <c r="Q244">
        <f>(ROUND((ROUND(((ET244)*AV244*I244),2)*BB244),2)+ROUND((ROUND(((AE244-(EU244))*AV244*I244),2)*BS244),2))</f>
        <v>0</v>
      </c>
      <c r="R244">
        <f t="shared" si="179"/>
        <v>0</v>
      </c>
      <c r="S244">
        <f t="shared" si="180"/>
        <v>0</v>
      </c>
      <c r="T244">
        <f t="shared" si="181"/>
        <v>0</v>
      </c>
      <c r="U244">
        <f t="shared" si="182"/>
        <v>0</v>
      </c>
      <c r="V244">
        <f t="shared" si="183"/>
        <v>0</v>
      </c>
      <c r="W244">
        <f t="shared" si="184"/>
        <v>0</v>
      </c>
      <c r="X244">
        <f t="shared" si="185"/>
        <v>0</v>
      </c>
      <c r="Y244">
        <f t="shared" si="186"/>
        <v>0</v>
      </c>
      <c r="AA244">
        <v>56611490</v>
      </c>
      <c r="AB244">
        <f t="shared" si="187"/>
        <v>296.7</v>
      </c>
      <c r="AC244">
        <f t="shared" si="188"/>
        <v>296.7</v>
      </c>
      <c r="AD244">
        <f>ROUND((((ET244)-(EU244))+AE244),6)</f>
        <v>0</v>
      </c>
      <c r="AE244">
        <f>ROUND((EU244),6)</f>
        <v>0</v>
      </c>
      <c r="AF244">
        <f>ROUND((EV244),6)</f>
        <v>0</v>
      </c>
      <c r="AG244">
        <f t="shared" si="191"/>
        <v>0</v>
      </c>
      <c r="AH244">
        <f>(EW244)</f>
        <v>0</v>
      </c>
      <c r="AI244">
        <f>(EX244)</f>
        <v>0</v>
      </c>
      <c r="AJ244">
        <f t="shared" si="193"/>
        <v>0</v>
      </c>
      <c r="AK244">
        <v>296.7</v>
      </c>
      <c r="AL244">
        <v>296.7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1</v>
      </c>
      <c r="AZ244">
        <v>1</v>
      </c>
      <c r="BA244">
        <v>1</v>
      </c>
      <c r="BB244">
        <v>1</v>
      </c>
      <c r="BC244">
        <v>15.39</v>
      </c>
      <c r="BD244" t="s">
        <v>3</v>
      </c>
      <c r="BE244" t="s">
        <v>3</v>
      </c>
      <c r="BF244" t="s">
        <v>3</v>
      </c>
      <c r="BG244" t="s">
        <v>3</v>
      </c>
      <c r="BH244">
        <v>3</v>
      </c>
      <c r="BI244">
        <v>1</v>
      </c>
      <c r="BJ244" t="s">
        <v>331</v>
      </c>
      <c r="BM244">
        <v>158</v>
      </c>
      <c r="BN244">
        <v>0</v>
      </c>
      <c r="BO244" t="s">
        <v>328</v>
      </c>
      <c r="BP244">
        <v>1</v>
      </c>
      <c r="BQ244">
        <v>30</v>
      </c>
      <c r="BR244">
        <v>0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 t="s">
        <v>3</v>
      </c>
      <c r="BZ244">
        <v>0</v>
      </c>
      <c r="CA244">
        <v>0</v>
      </c>
      <c r="CB244" t="s">
        <v>3</v>
      </c>
      <c r="CE244">
        <v>30</v>
      </c>
      <c r="CF244">
        <v>0</v>
      </c>
      <c r="CG244">
        <v>0</v>
      </c>
      <c r="CM244">
        <v>0</v>
      </c>
      <c r="CN244" t="s">
        <v>3</v>
      </c>
      <c r="CO244">
        <v>0</v>
      </c>
      <c r="CP244">
        <f t="shared" si="194"/>
        <v>568.66</v>
      </c>
      <c r="CQ244">
        <f t="shared" si="195"/>
        <v>4566.21</v>
      </c>
      <c r="CR244">
        <f>(ROUND((ROUND(((ET244)*AV244*1),2)*BB244),2)+ROUND((ROUND(((AE244-(EU244))*AV244*1),2)*BS244),2))</f>
        <v>0</v>
      </c>
      <c r="CS244">
        <f t="shared" si="197"/>
        <v>0</v>
      </c>
      <c r="CT244">
        <f t="shared" si="198"/>
        <v>0</v>
      </c>
      <c r="CU244">
        <f t="shared" si="199"/>
        <v>0</v>
      </c>
      <c r="CV244">
        <f t="shared" si="200"/>
        <v>0</v>
      </c>
      <c r="CW244">
        <f t="shared" si="201"/>
        <v>0</v>
      </c>
      <c r="CX244">
        <f t="shared" si="202"/>
        <v>0</v>
      </c>
      <c r="CY244">
        <f>S244*(BZ244/100)</f>
        <v>0</v>
      </c>
      <c r="CZ244">
        <f>S244*(CA244/100)</f>
        <v>0</v>
      </c>
      <c r="DC244" t="s">
        <v>3</v>
      </c>
      <c r="DD244" t="s">
        <v>3</v>
      </c>
      <c r="DE244" t="s">
        <v>3</v>
      </c>
      <c r="DF244" t="s">
        <v>3</v>
      </c>
      <c r="DG244" t="s">
        <v>3</v>
      </c>
      <c r="DH244" t="s">
        <v>3</v>
      </c>
      <c r="DI244" t="s">
        <v>3</v>
      </c>
      <c r="DJ244" t="s">
        <v>3</v>
      </c>
      <c r="DK244" t="s">
        <v>3</v>
      </c>
      <c r="DL244" t="s">
        <v>3</v>
      </c>
      <c r="DM244" t="s">
        <v>3</v>
      </c>
      <c r="DN244">
        <v>161</v>
      </c>
      <c r="DO244">
        <v>107</v>
      </c>
      <c r="DP244">
        <v>1.0469999999999999</v>
      </c>
      <c r="DQ244">
        <v>1</v>
      </c>
      <c r="DU244">
        <v>1009</v>
      </c>
      <c r="DV244" t="s">
        <v>330</v>
      </c>
      <c r="DW244" t="s">
        <v>330</v>
      </c>
      <c r="DX244">
        <v>1000</v>
      </c>
      <c r="DZ244" t="s">
        <v>3</v>
      </c>
      <c r="EA244" t="s">
        <v>3</v>
      </c>
      <c r="EB244" t="s">
        <v>3</v>
      </c>
      <c r="EC244" t="s">
        <v>3</v>
      </c>
      <c r="EE244">
        <v>51696197</v>
      </c>
      <c r="EF244">
        <v>30</v>
      </c>
      <c r="EG244" t="s">
        <v>23</v>
      </c>
      <c r="EH244">
        <v>0</v>
      </c>
      <c r="EI244" t="s">
        <v>3</v>
      </c>
      <c r="EJ244">
        <v>1</v>
      </c>
      <c r="EK244">
        <v>158</v>
      </c>
      <c r="EL244" t="s">
        <v>325</v>
      </c>
      <c r="EM244" t="s">
        <v>326</v>
      </c>
      <c r="EO244" t="s">
        <v>3</v>
      </c>
      <c r="EQ244">
        <v>0</v>
      </c>
      <c r="ER244">
        <v>296.7</v>
      </c>
      <c r="ES244">
        <v>296.7</v>
      </c>
      <c r="ET244">
        <v>0</v>
      </c>
      <c r="EU244">
        <v>0</v>
      </c>
      <c r="EV244">
        <v>0</v>
      </c>
      <c r="EW244">
        <v>0</v>
      </c>
      <c r="EX244">
        <v>0</v>
      </c>
      <c r="FQ244">
        <v>0</v>
      </c>
      <c r="FR244">
        <v>0</v>
      </c>
      <c r="FS244">
        <v>0</v>
      </c>
      <c r="FX244">
        <v>161</v>
      </c>
      <c r="FY244">
        <v>107</v>
      </c>
      <c r="GA244" t="s">
        <v>3</v>
      </c>
      <c r="GD244">
        <v>0</v>
      </c>
      <c r="GF244">
        <v>1855215121</v>
      </c>
      <c r="GG244">
        <v>2</v>
      </c>
      <c r="GH244">
        <v>1</v>
      </c>
      <c r="GI244">
        <v>2</v>
      </c>
      <c r="GJ244">
        <v>0</v>
      </c>
      <c r="GK244">
        <f>ROUND(R244*(S12)/100,2)</f>
        <v>0</v>
      </c>
      <c r="GL244">
        <f t="shared" si="203"/>
        <v>0</v>
      </c>
      <c r="GM244">
        <f t="shared" si="204"/>
        <v>568.66</v>
      </c>
      <c r="GN244">
        <f t="shared" si="205"/>
        <v>568.66</v>
      </c>
      <c r="GO244">
        <f t="shared" si="206"/>
        <v>0</v>
      </c>
      <c r="GP244">
        <f t="shared" si="207"/>
        <v>0</v>
      </c>
      <c r="GR244">
        <v>0</v>
      </c>
      <c r="GS244">
        <v>3</v>
      </c>
      <c r="GT244">
        <v>0</v>
      </c>
      <c r="GU244" t="s">
        <v>3</v>
      </c>
      <c r="GV244">
        <f t="shared" si="208"/>
        <v>0</v>
      </c>
      <c r="GW244">
        <v>1</v>
      </c>
      <c r="GX244">
        <f t="shared" si="209"/>
        <v>0</v>
      </c>
      <c r="HA244">
        <v>0</v>
      </c>
      <c r="HB244">
        <v>0</v>
      </c>
      <c r="HC244">
        <f t="shared" si="210"/>
        <v>0</v>
      </c>
      <c r="HE244" t="s">
        <v>3</v>
      </c>
      <c r="HF244" t="s">
        <v>3</v>
      </c>
      <c r="HM244" t="s">
        <v>3</v>
      </c>
      <c r="HN244" t="s">
        <v>3</v>
      </c>
      <c r="HO244" t="s">
        <v>3</v>
      </c>
      <c r="HP244" t="s">
        <v>3</v>
      </c>
      <c r="HQ244" t="s">
        <v>3</v>
      </c>
      <c r="HS244">
        <v>0</v>
      </c>
      <c r="IK244">
        <v>0</v>
      </c>
    </row>
    <row r="245" spans="1:255" x14ac:dyDescent="0.2">
      <c r="A245" s="2">
        <v>17</v>
      </c>
      <c r="B245" s="2">
        <v>1</v>
      </c>
      <c r="C245" s="2">
        <f>ROW(SmtRes!A183)</f>
        <v>183</v>
      </c>
      <c r="D245" s="2">
        <f>ROW(EtalonRes!A391)</f>
        <v>391</v>
      </c>
      <c r="E245" s="2" t="s">
        <v>332</v>
      </c>
      <c r="F245" s="2" t="s">
        <v>322</v>
      </c>
      <c r="G245" s="2" t="s">
        <v>323</v>
      </c>
      <c r="H245" s="2" t="s">
        <v>98</v>
      </c>
      <c r="I245" s="2">
        <f>ROUND(1.3/100,9)</f>
        <v>1.2999999999999999E-2</v>
      </c>
      <c r="J245" s="2">
        <v>0</v>
      </c>
      <c r="K245" s="2">
        <f>ROUND(1.3/100,9)</f>
        <v>1.2999999999999999E-2</v>
      </c>
      <c r="L245" s="2"/>
      <c r="M245" s="2"/>
      <c r="N245" s="2"/>
      <c r="O245" s="2">
        <f t="shared" si="176"/>
        <v>9.5</v>
      </c>
      <c r="P245" s="2">
        <f t="shared" si="177"/>
        <v>0.75</v>
      </c>
      <c r="Q245" s="2">
        <f>(ROUND((ROUND((((ET245*1.1))*AV245*I245),2)*BB245),2)+ROUND((ROUND(((AE245-((EU245*1.1)))*AV245*I245),2)*BS245),2))</f>
        <v>7.97</v>
      </c>
      <c r="R245" s="2">
        <f t="shared" si="179"/>
        <v>0.7</v>
      </c>
      <c r="S245" s="2">
        <f t="shared" si="180"/>
        <v>0.78</v>
      </c>
      <c r="T245" s="2">
        <f t="shared" si="181"/>
        <v>0</v>
      </c>
      <c r="U245" s="2">
        <f t="shared" si="182"/>
        <v>6.4230308999999999E-2</v>
      </c>
      <c r="V245" s="2">
        <f t="shared" si="183"/>
        <v>0</v>
      </c>
      <c r="W245" s="2">
        <f t="shared" si="184"/>
        <v>0</v>
      </c>
      <c r="X245" s="2">
        <f t="shared" si="185"/>
        <v>1.26</v>
      </c>
      <c r="Y245" s="2">
        <f t="shared" si="186"/>
        <v>0.83</v>
      </c>
      <c r="Z245" s="2"/>
      <c r="AA245" s="2">
        <v>56622523</v>
      </c>
      <c r="AB245" s="2">
        <f t="shared" si="187"/>
        <v>700.80200000000002</v>
      </c>
      <c r="AC245" s="2">
        <f t="shared" si="188"/>
        <v>57.83</v>
      </c>
      <c r="AD245" s="2">
        <f>ROUND(((((ET245*1.1))-((EU245*1.1)))+AE245),6)</f>
        <v>585.58500000000004</v>
      </c>
      <c r="AE245" s="2">
        <f>ROUND(((EU245*1.1)),6)</f>
        <v>51.238</v>
      </c>
      <c r="AF245" s="2">
        <f>ROUND(((EV245*1.1)),6)</f>
        <v>57.387</v>
      </c>
      <c r="AG245" s="2">
        <f t="shared" si="191"/>
        <v>0</v>
      </c>
      <c r="AH245" s="2">
        <f>((EW245*1.1))</f>
        <v>4.7190000000000003</v>
      </c>
      <c r="AI245" s="2">
        <f>((EX245*1.1))</f>
        <v>0</v>
      </c>
      <c r="AJ245" s="2">
        <f t="shared" si="193"/>
        <v>0</v>
      </c>
      <c r="AK245" s="2">
        <v>642.35</v>
      </c>
      <c r="AL245" s="2">
        <v>57.83</v>
      </c>
      <c r="AM245" s="2">
        <v>532.35</v>
      </c>
      <c r="AN245" s="2">
        <v>46.58</v>
      </c>
      <c r="AO245" s="2">
        <v>52.17</v>
      </c>
      <c r="AP245" s="2">
        <v>0</v>
      </c>
      <c r="AQ245" s="2">
        <v>4.29</v>
      </c>
      <c r="AR245" s="2">
        <v>0</v>
      </c>
      <c r="AS245" s="2">
        <v>0</v>
      </c>
      <c r="AT245" s="2">
        <v>161</v>
      </c>
      <c r="AU245" s="2">
        <v>107</v>
      </c>
      <c r="AV245" s="2">
        <v>1.0469999999999999</v>
      </c>
      <c r="AW245" s="2">
        <v>1</v>
      </c>
      <c r="AX245" s="2"/>
      <c r="AY245" s="2"/>
      <c r="AZ245" s="2">
        <v>1</v>
      </c>
      <c r="BA245" s="2">
        <v>1</v>
      </c>
      <c r="BB245" s="2">
        <v>1</v>
      </c>
      <c r="BC245" s="2">
        <v>1</v>
      </c>
      <c r="BD245" s="2" t="s">
        <v>3</v>
      </c>
      <c r="BE245" s="2" t="s">
        <v>3</v>
      </c>
      <c r="BF245" s="2" t="s">
        <v>3</v>
      </c>
      <c r="BG245" s="2" t="s">
        <v>3</v>
      </c>
      <c r="BH245" s="2">
        <v>0</v>
      </c>
      <c r="BI245" s="2">
        <v>1</v>
      </c>
      <c r="BJ245" s="2" t="s">
        <v>324</v>
      </c>
      <c r="BK245" s="2"/>
      <c r="BL245" s="2"/>
      <c r="BM245" s="2">
        <v>158</v>
      </c>
      <c r="BN245" s="2">
        <v>0</v>
      </c>
      <c r="BO245" s="2" t="s">
        <v>3</v>
      </c>
      <c r="BP245" s="2">
        <v>0</v>
      </c>
      <c r="BQ245" s="2">
        <v>30</v>
      </c>
      <c r="BR245" s="2">
        <v>0</v>
      </c>
      <c r="BS245" s="2">
        <v>1</v>
      </c>
      <c r="BT245" s="2">
        <v>1</v>
      </c>
      <c r="BU245" s="2">
        <v>1</v>
      </c>
      <c r="BV245" s="2">
        <v>1</v>
      </c>
      <c r="BW245" s="2">
        <v>1</v>
      </c>
      <c r="BX245" s="2">
        <v>1</v>
      </c>
      <c r="BY245" s="2" t="s">
        <v>3</v>
      </c>
      <c r="BZ245" s="2">
        <v>161</v>
      </c>
      <c r="CA245" s="2">
        <v>107</v>
      </c>
      <c r="CB245" s="2" t="s">
        <v>3</v>
      </c>
      <c r="CC245" s="2"/>
      <c r="CD245" s="2"/>
      <c r="CE245" s="2">
        <v>30</v>
      </c>
      <c r="CF245" s="2">
        <v>0</v>
      </c>
      <c r="CG245" s="2">
        <v>0</v>
      </c>
      <c r="CH245" s="2"/>
      <c r="CI245" s="2"/>
      <c r="CJ245" s="2"/>
      <c r="CK245" s="2"/>
      <c r="CL245" s="2"/>
      <c r="CM245" s="2">
        <v>0</v>
      </c>
      <c r="CN245" s="2" t="s">
        <v>689</v>
      </c>
      <c r="CO245" s="2">
        <v>0</v>
      </c>
      <c r="CP245" s="2">
        <f t="shared" si="194"/>
        <v>9.4999999999999982</v>
      </c>
      <c r="CQ245" s="2">
        <f t="shared" si="195"/>
        <v>57.83</v>
      </c>
      <c r="CR245" s="2">
        <f>(ROUND((ROUND((((ET245*1.1))*AV245*1),2)*BB245),2)+ROUND((ROUND(((AE245-((EU245*1.1)))*AV245*1),2)*BS245),2))</f>
        <v>613.11</v>
      </c>
      <c r="CS245" s="2">
        <f t="shared" si="197"/>
        <v>53.65</v>
      </c>
      <c r="CT245" s="2">
        <f t="shared" si="198"/>
        <v>60.08</v>
      </c>
      <c r="CU245" s="2">
        <f t="shared" si="199"/>
        <v>0</v>
      </c>
      <c r="CV245" s="2">
        <f t="shared" si="200"/>
        <v>4.9407930000000002</v>
      </c>
      <c r="CW245" s="2">
        <f t="shared" si="201"/>
        <v>0</v>
      </c>
      <c r="CX245" s="2">
        <f t="shared" si="202"/>
        <v>0</v>
      </c>
      <c r="CY245" s="2">
        <f>((S245*BZ245)/100)</f>
        <v>1.2558</v>
      </c>
      <c r="CZ245" s="2">
        <f>((S245*CA245)/100)</f>
        <v>0.83460000000000012</v>
      </c>
      <c r="DA245" s="2"/>
      <c r="DB245" s="2"/>
      <c r="DC245" s="2" t="s">
        <v>3</v>
      </c>
      <c r="DD245" s="2" t="s">
        <v>3</v>
      </c>
      <c r="DE245" s="2" t="s">
        <v>22</v>
      </c>
      <c r="DF245" s="2" t="s">
        <v>22</v>
      </c>
      <c r="DG245" s="2" t="s">
        <v>22</v>
      </c>
      <c r="DH245" s="2" t="s">
        <v>3</v>
      </c>
      <c r="DI245" s="2" t="s">
        <v>22</v>
      </c>
      <c r="DJ245" s="2" t="s">
        <v>22</v>
      </c>
      <c r="DK245" s="2" t="s">
        <v>3</v>
      </c>
      <c r="DL245" s="2" t="s">
        <v>3</v>
      </c>
      <c r="DM245" s="2" t="s">
        <v>3</v>
      </c>
      <c r="DN245" s="2">
        <v>0</v>
      </c>
      <c r="DO245" s="2">
        <v>0</v>
      </c>
      <c r="DP245" s="2">
        <v>1</v>
      </c>
      <c r="DQ245" s="2">
        <v>1</v>
      </c>
      <c r="DR245" s="2"/>
      <c r="DS245" s="2"/>
      <c r="DT245" s="2"/>
      <c r="DU245" s="2">
        <v>1013</v>
      </c>
      <c r="DV245" s="2" t="s">
        <v>98</v>
      </c>
      <c r="DW245" s="2" t="s">
        <v>98</v>
      </c>
      <c r="DX245" s="2">
        <v>1</v>
      </c>
      <c r="DY245" s="2"/>
      <c r="DZ245" s="2" t="s">
        <v>3</v>
      </c>
      <c r="EA245" s="2" t="s">
        <v>3</v>
      </c>
      <c r="EB245" s="2" t="s">
        <v>3</v>
      </c>
      <c r="EC245" s="2" t="s">
        <v>3</v>
      </c>
      <c r="ED245" s="2"/>
      <c r="EE245" s="2">
        <v>51696197</v>
      </c>
      <c r="EF245" s="2">
        <v>30</v>
      </c>
      <c r="EG245" s="2" t="s">
        <v>23</v>
      </c>
      <c r="EH245" s="2">
        <v>0</v>
      </c>
      <c r="EI245" s="2" t="s">
        <v>3</v>
      </c>
      <c r="EJ245" s="2">
        <v>1</v>
      </c>
      <c r="EK245" s="2">
        <v>158</v>
      </c>
      <c r="EL245" s="2" t="s">
        <v>325</v>
      </c>
      <c r="EM245" s="2" t="s">
        <v>326</v>
      </c>
      <c r="EN245" s="2"/>
      <c r="EO245" s="2" t="s">
        <v>26</v>
      </c>
      <c r="EP245" s="2"/>
      <c r="EQ245" s="2">
        <v>131072</v>
      </c>
      <c r="ER245" s="2">
        <v>642.35</v>
      </c>
      <c r="ES245" s="2">
        <v>57.83</v>
      </c>
      <c r="ET245" s="2">
        <v>532.35</v>
      </c>
      <c r="EU245" s="2">
        <v>46.58</v>
      </c>
      <c r="EV245" s="2">
        <v>52.17</v>
      </c>
      <c r="EW245" s="2">
        <v>4.29</v>
      </c>
      <c r="EX245" s="2">
        <v>0</v>
      </c>
      <c r="EY245" s="2">
        <v>0</v>
      </c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>
        <v>0</v>
      </c>
      <c r="FR245" s="2">
        <v>0</v>
      </c>
      <c r="FS245" s="2">
        <v>0</v>
      </c>
      <c r="FT245" s="2"/>
      <c r="FU245" s="2"/>
      <c r="FV245" s="2"/>
      <c r="FW245" s="2"/>
      <c r="FX245" s="2">
        <v>161</v>
      </c>
      <c r="FY245" s="2">
        <v>107</v>
      </c>
      <c r="FZ245" s="2"/>
      <c r="GA245" s="2" t="s">
        <v>3</v>
      </c>
      <c r="GB245" s="2"/>
      <c r="GC245" s="2"/>
      <c r="GD245" s="2">
        <v>0</v>
      </c>
      <c r="GE245" s="2"/>
      <c r="GF245" s="2">
        <v>-399398241</v>
      </c>
      <c r="GG245" s="2">
        <v>2</v>
      </c>
      <c r="GH245" s="2">
        <v>1</v>
      </c>
      <c r="GI245" s="2">
        <v>-2</v>
      </c>
      <c r="GJ245" s="2">
        <v>0</v>
      </c>
      <c r="GK245" s="2">
        <f>ROUND(R245*(R12)/100,2)</f>
        <v>1.23</v>
      </c>
      <c r="GL245" s="2">
        <f t="shared" si="203"/>
        <v>0</v>
      </c>
      <c r="GM245" s="2">
        <f t="shared" si="204"/>
        <v>12.82</v>
      </c>
      <c r="GN245" s="2">
        <f t="shared" si="205"/>
        <v>12.82</v>
      </c>
      <c r="GO245" s="2">
        <f t="shared" si="206"/>
        <v>0</v>
      </c>
      <c r="GP245" s="2">
        <f t="shared" si="207"/>
        <v>0</v>
      </c>
      <c r="GQ245" s="2"/>
      <c r="GR245" s="2">
        <v>0</v>
      </c>
      <c r="GS245" s="2">
        <v>0</v>
      </c>
      <c r="GT245" s="2">
        <v>0</v>
      </c>
      <c r="GU245" s="2" t="s">
        <v>3</v>
      </c>
      <c r="GV245" s="2">
        <f t="shared" si="208"/>
        <v>0</v>
      </c>
      <c r="GW245" s="2">
        <v>1</v>
      </c>
      <c r="GX245" s="2">
        <f t="shared" si="209"/>
        <v>0</v>
      </c>
      <c r="GY245" s="2"/>
      <c r="GZ245" s="2"/>
      <c r="HA245" s="2">
        <v>0</v>
      </c>
      <c r="HB245" s="2">
        <v>0</v>
      </c>
      <c r="HC245" s="2">
        <f t="shared" si="210"/>
        <v>0</v>
      </c>
      <c r="HD245" s="2"/>
      <c r="HE245" s="2" t="s">
        <v>3</v>
      </c>
      <c r="HF245" s="2" t="s">
        <v>3</v>
      </c>
      <c r="HG245" s="2"/>
      <c r="HH245" s="2"/>
      <c r="HI245" s="2"/>
      <c r="HJ245" s="2"/>
      <c r="HK245" s="2"/>
      <c r="HL245" s="2"/>
      <c r="HM245" s="2" t="s">
        <v>3</v>
      </c>
      <c r="HN245" s="2" t="s">
        <v>3</v>
      </c>
      <c r="HO245" s="2" t="s">
        <v>3</v>
      </c>
      <c r="HP245" s="2" t="s">
        <v>3</v>
      </c>
      <c r="HQ245" s="2" t="s">
        <v>3</v>
      </c>
      <c r="HR245" s="2"/>
      <c r="HS245" s="2">
        <v>0</v>
      </c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>
        <v>0</v>
      </c>
      <c r="IL245" s="2"/>
      <c r="IM245" s="2"/>
      <c r="IN245" s="2"/>
      <c r="IO245" s="2"/>
      <c r="IP245" s="2"/>
      <c r="IQ245" s="2"/>
      <c r="IR245" s="2"/>
      <c r="IS245" s="2"/>
      <c r="IT245" s="2"/>
      <c r="IU245" s="2"/>
    </row>
    <row r="246" spans="1:255" x14ac:dyDescent="0.2">
      <c r="A246">
        <v>17</v>
      </c>
      <c r="B246">
        <v>1</v>
      </c>
      <c r="C246">
        <f>ROW(SmtRes!A184)</f>
        <v>184</v>
      </c>
      <c r="D246">
        <f>ROW(EtalonRes!A402)</f>
        <v>402</v>
      </c>
      <c r="E246" t="s">
        <v>332</v>
      </c>
      <c r="F246" t="s">
        <v>322</v>
      </c>
      <c r="G246" t="s">
        <v>323</v>
      </c>
      <c r="H246" t="s">
        <v>98</v>
      </c>
      <c r="I246">
        <f>ROUND(1.3/100,9)</f>
        <v>1.2999999999999999E-2</v>
      </c>
      <c r="J246">
        <v>0</v>
      </c>
      <c r="K246">
        <f>ROUND(1.3/100,9)</f>
        <v>1.2999999999999999E-2</v>
      </c>
      <c r="O246">
        <f t="shared" si="176"/>
        <v>134.43</v>
      </c>
      <c r="P246">
        <f t="shared" si="177"/>
        <v>12.35</v>
      </c>
      <c r="Q246">
        <f>(ROUND((ROUND((((ET246*1.1))*AV246*I246),2)*BB246),2)+ROUND((ROUND(((AE246-((EU246*1.1)))*AV246*I246),2)*BS246),2))</f>
        <v>95.16</v>
      </c>
      <c r="R246">
        <f t="shared" si="179"/>
        <v>24.16</v>
      </c>
      <c r="S246">
        <f t="shared" si="180"/>
        <v>26.92</v>
      </c>
      <c r="T246">
        <f t="shared" si="181"/>
        <v>0</v>
      </c>
      <c r="U246">
        <f t="shared" si="182"/>
        <v>6.4230308999999999E-2</v>
      </c>
      <c r="V246">
        <f t="shared" si="183"/>
        <v>0</v>
      </c>
      <c r="W246">
        <f t="shared" si="184"/>
        <v>0</v>
      </c>
      <c r="X246">
        <f t="shared" si="185"/>
        <v>36.07</v>
      </c>
      <c r="Y246">
        <f t="shared" si="186"/>
        <v>14.81</v>
      </c>
      <c r="AA246">
        <v>56611490</v>
      </c>
      <c r="AB246">
        <f t="shared" si="187"/>
        <v>700.80200000000002</v>
      </c>
      <c r="AC246">
        <f t="shared" si="188"/>
        <v>57.83</v>
      </c>
      <c r="AD246">
        <f>ROUND(((((ET246*1.1))-((EU246*1.1)))+AE246),6)</f>
        <v>585.58500000000004</v>
      </c>
      <c r="AE246">
        <f>ROUND(((EU246*1.1)),6)</f>
        <v>51.238</v>
      </c>
      <c r="AF246">
        <f>ROUND(((EV246*1.1)),6)</f>
        <v>57.387</v>
      </c>
      <c r="AG246">
        <f t="shared" si="191"/>
        <v>0</v>
      </c>
      <c r="AH246">
        <f>((EW246*1.1))</f>
        <v>4.7190000000000003</v>
      </c>
      <c r="AI246">
        <f>((EX246*1.1))</f>
        <v>0</v>
      </c>
      <c r="AJ246">
        <f t="shared" si="193"/>
        <v>0</v>
      </c>
      <c r="AK246">
        <v>642.35</v>
      </c>
      <c r="AL246">
        <v>57.83</v>
      </c>
      <c r="AM246">
        <v>532.35</v>
      </c>
      <c r="AN246">
        <v>46.58</v>
      </c>
      <c r="AO246">
        <v>52.17</v>
      </c>
      <c r="AP246">
        <v>0</v>
      </c>
      <c r="AQ246">
        <v>4.29</v>
      </c>
      <c r="AR246">
        <v>0</v>
      </c>
      <c r="AS246">
        <v>0</v>
      </c>
      <c r="AT246">
        <v>134</v>
      </c>
      <c r="AU246">
        <v>55</v>
      </c>
      <c r="AV246">
        <v>1.0469999999999999</v>
      </c>
      <c r="AW246">
        <v>1</v>
      </c>
      <c r="AZ246">
        <v>1</v>
      </c>
      <c r="BA246">
        <v>34.51</v>
      </c>
      <c r="BB246">
        <v>11.94</v>
      </c>
      <c r="BC246">
        <v>16.47</v>
      </c>
      <c r="BD246" t="s">
        <v>3</v>
      </c>
      <c r="BE246" t="s">
        <v>3</v>
      </c>
      <c r="BF246" t="s">
        <v>3</v>
      </c>
      <c r="BG246" t="s">
        <v>3</v>
      </c>
      <c r="BH246">
        <v>0</v>
      </c>
      <c r="BI246">
        <v>1</v>
      </c>
      <c r="BJ246" t="s">
        <v>324</v>
      </c>
      <c r="BM246">
        <v>158</v>
      </c>
      <c r="BN246">
        <v>0</v>
      </c>
      <c r="BO246" t="s">
        <v>322</v>
      </c>
      <c r="BP246">
        <v>1</v>
      </c>
      <c r="BQ246">
        <v>30</v>
      </c>
      <c r="BR246">
        <v>0</v>
      </c>
      <c r="BS246">
        <v>34.51</v>
      </c>
      <c r="BT246">
        <v>1</v>
      </c>
      <c r="BU246">
        <v>1</v>
      </c>
      <c r="BV246">
        <v>1</v>
      </c>
      <c r="BW246">
        <v>1</v>
      </c>
      <c r="BX246">
        <v>1</v>
      </c>
      <c r="BY246" t="s">
        <v>3</v>
      </c>
      <c r="BZ246">
        <v>134</v>
      </c>
      <c r="CA246">
        <v>55</v>
      </c>
      <c r="CB246" t="s">
        <v>3</v>
      </c>
      <c r="CE246">
        <v>30</v>
      </c>
      <c r="CF246">
        <v>0</v>
      </c>
      <c r="CG246">
        <v>0</v>
      </c>
      <c r="CM246">
        <v>0</v>
      </c>
      <c r="CN246" t="s">
        <v>689</v>
      </c>
      <c r="CO246">
        <v>0</v>
      </c>
      <c r="CP246">
        <f t="shared" si="194"/>
        <v>134.43</v>
      </c>
      <c r="CQ246">
        <f t="shared" si="195"/>
        <v>952.46</v>
      </c>
      <c r="CR246">
        <f>(ROUND((ROUND((((ET246*1.1))*AV246*1),2)*BB246),2)+ROUND((ROUND(((AE246-((EU246*1.1)))*AV246*1),2)*BS246),2))</f>
        <v>7320.53</v>
      </c>
      <c r="CS246">
        <f t="shared" si="197"/>
        <v>1851.46</v>
      </c>
      <c r="CT246">
        <f t="shared" si="198"/>
        <v>2073.36</v>
      </c>
      <c r="CU246">
        <f t="shared" si="199"/>
        <v>0</v>
      </c>
      <c r="CV246">
        <f t="shared" si="200"/>
        <v>4.9407930000000002</v>
      </c>
      <c r="CW246">
        <f t="shared" si="201"/>
        <v>0</v>
      </c>
      <c r="CX246">
        <f t="shared" si="202"/>
        <v>0</v>
      </c>
      <c r="CY246">
        <f>S246*(BZ246/100)</f>
        <v>36.072800000000008</v>
      </c>
      <c r="CZ246">
        <f>S246*(CA246/100)</f>
        <v>14.806000000000003</v>
      </c>
      <c r="DC246" t="s">
        <v>3</v>
      </c>
      <c r="DD246" t="s">
        <v>3</v>
      </c>
      <c r="DE246" t="s">
        <v>22</v>
      </c>
      <c r="DF246" t="s">
        <v>22</v>
      </c>
      <c r="DG246" t="s">
        <v>22</v>
      </c>
      <c r="DH246" t="s">
        <v>3</v>
      </c>
      <c r="DI246" t="s">
        <v>22</v>
      </c>
      <c r="DJ246" t="s">
        <v>22</v>
      </c>
      <c r="DK246" t="s">
        <v>3</v>
      </c>
      <c r="DL246" t="s">
        <v>3</v>
      </c>
      <c r="DM246" t="s">
        <v>3</v>
      </c>
      <c r="DN246">
        <v>161</v>
      </c>
      <c r="DO246">
        <v>107</v>
      </c>
      <c r="DP246">
        <v>1.0469999999999999</v>
      </c>
      <c r="DQ246">
        <v>1</v>
      </c>
      <c r="DU246">
        <v>1013</v>
      </c>
      <c r="DV246" t="s">
        <v>98</v>
      </c>
      <c r="DW246" t="s">
        <v>98</v>
      </c>
      <c r="DX246">
        <v>1</v>
      </c>
      <c r="DZ246" t="s">
        <v>3</v>
      </c>
      <c r="EA246" t="s">
        <v>3</v>
      </c>
      <c r="EB246" t="s">
        <v>3</v>
      </c>
      <c r="EC246" t="s">
        <v>3</v>
      </c>
      <c r="EE246">
        <v>51696197</v>
      </c>
      <c r="EF246">
        <v>30</v>
      </c>
      <c r="EG246" t="s">
        <v>23</v>
      </c>
      <c r="EH246">
        <v>0</v>
      </c>
      <c r="EI246" t="s">
        <v>3</v>
      </c>
      <c r="EJ246">
        <v>1</v>
      </c>
      <c r="EK246">
        <v>158</v>
      </c>
      <c r="EL246" t="s">
        <v>325</v>
      </c>
      <c r="EM246" t="s">
        <v>326</v>
      </c>
      <c r="EO246" t="s">
        <v>26</v>
      </c>
      <c r="EQ246">
        <v>131072</v>
      </c>
      <c r="ER246">
        <v>642.35</v>
      </c>
      <c r="ES246">
        <v>57.83</v>
      </c>
      <c r="ET246">
        <v>532.35</v>
      </c>
      <c r="EU246">
        <v>46.58</v>
      </c>
      <c r="EV246">
        <v>52.17</v>
      </c>
      <c r="EW246">
        <v>4.29</v>
      </c>
      <c r="EX246">
        <v>0</v>
      </c>
      <c r="EY246">
        <v>0</v>
      </c>
      <c r="FQ246">
        <v>0</v>
      </c>
      <c r="FR246">
        <v>0</v>
      </c>
      <c r="FS246">
        <v>0</v>
      </c>
      <c r="FX246">
        <v>161</v>
      </c>
      <c r="FY246">
        <v>107</v>
      </c>
      <c r="GA246" t="s">
        <v>3</v>
      </c>
      <c r="GD246">
        <v>0</v>
      </c>
      <c r="GF246">
        <v>-399398241</v>
      </c>
      <c r="GG246">
        <v>2</v>
      </c>
      <c r="GH246">
        <v>1</v>
      </c>
      <c r="GI246">
        <v>2</v>
      </c>
      <c r="GJ246">
        <v>0</v>
      </c>
      <c r="GK246">
        <f>ROUND(R246*(S12)/100,2)</f>
        <v>38.659999999999997</v>
      </c>
      <c r="GL246">
        <f t="shared" si="203"/>
        <v>0</v>
      </c>
      <c r="GM246">
        <f t="shared" si="204"/>
        <v>223.97</v>
      </c>
      <c r="GN246">
        <f t="shared" si="205"/>
        <v>223.97</v>
      </c>
      <c r="GO246">
        <f t="shared" si="206"/>
        <v>0</v>
      </c>
      <c r="GP246">
        <f t="shared" si="207"/>
        <v>0</v>
      </c>
      <c r="GR246">
        <v>0</v>
      </c>
      <c r="GS246">
        <v>3</v>
      </c>
      <c r="GT246">
        <v>0</v>
      </c>
      <c r="GU246" t="s">
        <v>3</v>
      </c>
      <c r="GV246">
        <f t="shared" si="208"/>
        <v>0</v>
      </c>
      <c r="GW246">
        <v>1</v>
      </c>
      <c r="GX246">
        <f t="shared" si="209"/>
        <v>0</v>
      </c>
      <c r="HA246">
        <v>0</v>
      </c>
      <c r="HB246">
        <v>0</v>
      </c>
      <c r="HC246">
        <f t="shared" si="210"/>
        <v>0</v>
      </c>
      <c r="HE246" t="s">
        <v>3</v>
      </c>
      <c r="HF246" t="s">
        <v>3</v>
      </c>
      <c r="HM246" t="s">
        <v>3</v>
      </c>
      <c r="HN246" t="s">
        <v>3</v>
      </c>
      <c r="HO246" t="s">
        <v>3</v>
      </c>
      <c r="HP246" t="s">
        <v>3</v>
      </c>
      <c r="HQ246" t="s">
        <v>3</v>
      </c>
      <c r="HS246">
        <v>0</v>
      </c>
      <c r="IK246">
        <v>0</v>
      </c>
    </row>
    <row r="247" spans="1:255" x14ac:dyDescent="0.2">
      <c r="A247" s="2">
        <v>18</v>
      </c>
      <c r="B247" s="2">
        <v>1</v>
      </c>
      <c r="C247" s="2">
        <v>183</v>
      </c>
      <c r="D247" s="2"/>
      <c r="E247" s="2" t="s">
        <v>333</v>
      </c>
      <c r="F247" s="2" t="s">
        <v>328</v>
      </c>
      <c r="G247" s="2" t="s">
        <v>329</v>
      </c>
      <c r="H247" s="2" t="s">
        <v>330</v>
      </c>
      <c r="I247" s="2">
        <f>I245*J247</f>
        <v>0.12453999999999997</v>
      </c>
      <c r="J247" s="2">
        <v>9.5799999999999983</v>
      </c>
      <c r="K247" s="2">
        <v>9.58</v>
      </c>
      <c r="L247" s="2"/>
      <c r="M247" s="2"/>
      <c r="N247" s="2"/>
      <c r="O247" s="2">
        <f t="shared" si="176"/>
        <v>36.950000000000003</v>
      </c>
      <c r="P247" s="2">
        <f t="shared" si="177"/>
        <v>36.950000000000003</v>
      </c>
      <c r="Q247" s="2">
        <f>(ROUND((ROUND(((ET247)*AV247*I247),2)*BB247),2)+ROUND((ROUND(((AE247-(EU247))*AV247*I247),2)*BS247),2))</f>
        <v>0</v>
      </c>
      <c r="R247" s="2">
        <f t="shared" si="179"/>
        <v>0</v>
      </c>
      <c r="S247" s="2">
        <f t="shared" si="180"/>
        <v>0</v>
      </c>
      <c r="T247" s="2">
        <f t="shared" si="181"/>
        <v>0</v>
      </c>
      <c r="U247" s="2">
        <f t="shared" si="182"/>
        <v>0</v>
      </c>
      <c r="V247" s="2">
        <f t="shared" si="183"/>
        <v>0</v>
      </c>
      <c r="W247" s="2">
        <f t="shared" si="184"/>
        <v>0</v>
      </c>
      <c r="X247" s="2">
        <f t="shared" si="185"/>
        <v>0</v>
      </c>
      <c r="Y247" s="2">
        <f t="shared" si="186"/>
        <v>0</v>
      </c>
      <c r="Z247" s="2"/>
      <c r="AA247" s="2">
        <v>56622523</v>
      </c>
      <c r="AB247" s="2">
        <f t="shared" si="187"/>
        <v>296.7</v>
      </c>
      <c r="AC247" s="2">
        <f t="shared" si="188"/>
        <v>296.7</v>
      </c>
      <c r="AD247" s="2">
        <f>ROUND((((ET247)-(EU247))+AE247),6)</f>
        <v>0</v>
      </c>
      <c r="AE247" s="2">
        <f>ROUND((EU247),6)</f>
        <v>0</v>
      </c>
      <c r="AF247" s="2">
        <f>ROUND((EV247),6)</f>
        <v>0</v>
      </c>
      <c r="AG247" s="2">
        <f t="shared" si="191"/>
        <v>0</v>
      </c>
      <c r="AH247" s="2">
        <f>(EW247)</f>
        <v>0</v>
      </c>
      <c r="AI247" s="2">
        <f>(EX247)</f>
        <v>0</v>
      </c>
      <c r="AJ247" s="2">
        <f t="shared" si="193"/>
        <v>0</v>
      </c>
      <c r="AK247" s="2">
        <v>296.7</v>
      </c>
      <c r="AL247" s="2">
        <v>296.7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161</v>
      </c>
      <c r="AU247" s="2">
        <v>107</v>
      </c>
      <c r="AV247" s="2">
        <v>1.0469999999999999</v>
      </c>
      <c r="AW247" s="2">
        <v>1</v>
      </c>
      <c r="AX247" s="2"/>
      <c r="AY247" s="2"/>
      <c r="AZ247" s="2">
        <v>1</v>
      </c>
      <c r="BA247" s="2">
        <v>1</v>
      </c>
      <c r="BB247" s="2">
        <v>1</v>
      </c>
      <c r="BC247" s="2">
        <v>1</v>
      </c>
      <c r="BD247" s="2" t="s">
        <v>3</v>
      </c>
      <c r="BE247" s="2" t="s">
        <v>3</v>
      </c>
      <c r="BF247" s="2" t="s">
        <v>3</v>
      </c>
      <c r="BG247" s="2" t="s">
        <v>3</v>
      </c>
      <c r="BH247" s="2">
        <v>3</v>
      </c>
      <c r="BI247" s="2">
        <v>1</v>
      </c>
      <c r="BJ247" s="2" t="s">
        <v>331</v>
      </c>
      <c r="BK247" s="2"/>
      <c r="BL247" s="2"/>
      <c r="BM247" s="2">
        <v>158</v>
      </c>
      <c r="BN247" s="2">
        <v>0</v>
      </c>
      <c r="BO247" s="2" t="s">
        <v>3</v>
      </c>
      <c r="BP247" s="2">
        <v>0</v>
      </c>
      <c r="BQ247" s="2">
        <v>30</v>
      </c>
      <c r="BR247" s="2">
        <v>0</v>
      </c>
      <c r="BS247" s="2">
        <v>1</v>
      </c>
      <c r="BT247" s="2">
        <v>1</v>
      </c>
      <c r="BU247" s="2">
        <v>1</v>
      </c>
      <c r="BV247" s="2">
        <v>1</v>
      </c>
      <c r="BW247" s="2">
        <v>1</v>
      </c>
      <c r="BX247" s="2">
        <v>1</v>
      </c>
      <c r="BY247" s="2" t="s">
        <v>3</v>
      </c>
      <c r="BZ247" s="2">
        <v>161</v>
      </c>
      <c r="CA247" s="2">
        <v>107</v>
      </c>
      <c r="CB247" s="2" t="s">
        <v>3</v>
      </c>
      <c r="CC247" s="2"/>
      <c r="CD247" s="2"/>
      <c r="CE247" s="2">
        <v>30</v>
      </c>
      <c r="CF247" s="2">
        <v>0</v>
      </c>
      <c r="CG247" s="2">
        <v>0</v>
      </c>
      <c r="CH247" s="2"/>
      <c r="CI247" s="2"/>
      <c r="CJ247" s="2"/>
      <c r="CK247" s="2"/>
      <c r="CL247" s="2"/>
      <c r="CM247" s="2">
        <v>0</v>
      </c>
      <c r="CN247" s="2" t="s">
        <v>3</v>
      </c>
      <c r="CO247" s="2">
        <v>0</v>
      </c>
      <c r="CP247" s="2">
        <f t="shared" si="194"/>
        <v>36.950000000000003</v>
      </c>
      <c r="CQ247" s="2">
        <f t="shared" si="195"/>
        <v>296.7</v>
      </c>
      <c r="CR247" s="2">
        <f>(ROUND((ROUND(((ET247)*AV247*1),2)*BB247),2)+ROUND((ROUND(((AE247-(EU247))*AV247*1),2)*BS247),2))</f>
        <v>0</v>
      </c>
      <c r="CS247" s="2">
        <f t="shared" si="197"/>
        <v>0</v>
      </c>
      <c r="CT247" s="2">
        <f t="shared" si="198"/>
        <v>0</v>
      </c>
      <c r="CU247" s="2">
        <f t="shared" si="199"/>
        <v>0</v>
      </c>
      <c r="CV247" s="2">
        <f t="shared" si="200"/>
        <v>0</v>
      </c>
      <c r="CW247" s="2">
        <f t="shared" si="201"/>
        <v>0</v>
      </c>
      <c r="CX247" s="2">
        <f t="shared" si="202"/>
        <v>0</v>
      </c>
      <c r="CY247" s="2">
        <f>((S247*BZ247)/100)</f>
        <v>0</v>
      </c>
      <c r="CZ247" s="2">
        <f>((S247*CA247)/100)</f>
        <v>0</v>
      </c>
      <c r="DA247" s="2"/>
      <c r="DB247" s="2"/>
      <c r="DC247" s="2" t="s">
        <v>3</v>
      </c>
      <c r="DD247" s="2" t="s">
        <v>3</v>
      </c>
      <c r="DE247" s="2" t="s">
        <v>3</v>
      </c>
      <c r="DF247" s="2" t="s">
        <v>3</v>
      </c>
      <c r="DG247" s="2" t="s">
        <v>3</v>
      </c>
      <c r="DH247" s="2" t="s">
        <v>3</v>
      </c>
      <c r="DI247" s="2" t="s">
        <v>3</v>
      </c>
      <c r="DJ247" s="2" t="s">
        <v>3</v>
      </c>
      <c r="DK247" s="2" t="s">
        <v>3</v>
      </c>
      <c r="DL247" s="2" t="s">
        <v>3</v>
      </c>
      <c r="DM247" s="2" t="s">
        <v>3</v>
      </c>
      <c r="DN247" s="2">
        <v>0</v>
      </c>
      <c r="DO247" s="2">
        <v>0</v>
      </c>
      <c r="DP247" s="2">
        <v>1</v>
      </c>
      <c r="DQ247" s="2">
        <v>1</v>
      </c>
      <c r="DR247" s="2"/>
      <c r="DS247" s="2"/>
      <c r="DT247" s="2"/>
      <c r="DU247" s="2">
        <v>1009</v>
      </c>
      <c r="DV247" s="2" t="s">
        <v>330</v>
      </c>
      <c r="DW247" s="2" t="s">
        <v>330</v>
      </c>
      <c r="DX247" s="2">
        <v>1000</v>
      </c>
      <c r="DY247" s="2"/>
      <c r="DZ247" s="2" t="s">
        <v>3</v>
      </c>
      <c r="EA247" s="2" t="s">
        <v>3</v>
      </c>
      <c r="EB247" s="2" t="s">
        <v>3</v>
      </c>
      <c r="EC247" s="2" t="s">
        <v>3</v>
      </c>
      <c r="ED247" s="2"/>
      <c r="EE247" s="2">
        <v>51696197</v>
      </c>
      <c r="EF247" s="2">
        <v>30</v>
      </c>
      <c r="EG247" s="2" t="s">
        <v>23</v>
      </c>
      <c r="EH247" s="2">
        <v>0</v>
      </c>
      <c r="EI247" s="2" t="s">
        <v>3</v>
      </c>
      <c r="EJ247" s="2">
        <v>1</v>
      </c>
      <c r="EK247" s="2">
        <v>158</v>
      </c>
      <c r="EL247" s="2" t="s">
        <v>325</v>
      </c>
      <c r="EM247" s="2" t="s">
        <v>326</v>
      </c>
      <c r="EN247" s="2"/>
      <c r="EO247" s="2" t="s">
        <v>3</v>
      </c>
      <c r="EP247" s="2"/>
      <c r="EQ247" s="2">
        <v>0</v>
      </c>
      <c r="ER247" s="2">
        <v>296.7</v>
      </c>
      <c r="ES247" s="2">
        <v>296.7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>
        <v>0</v>
      </c>
      <c r="FR247" s="2">
        <v>0</v>
      </c>
      <c r="FS247" s="2">
        <v>0</v>
      </c>
      <c r="FT247" s="2"/>
      <c r="FU247" s="2"/>
      <c r="FV247" s="2"/>
      <c r="FW247" s="2"/>
      <c r="FX247" s="2">
        <v>161</v>
      </c>
      <c r="FY247" s="2">
        <v>107</v>
      </c>
      <c r="FZ247" s="2"/>
      <c r="GA247" s="2" t="s">
        <v>3</v>
      </c>
      <c r="GB247" s="2"/>
      <c r="GC247" s="2"/>
      <c r="GD247" s="2">
        <v>0</v>
      </c>
      <c r="GE247" s="2"/>
      <c r="GF247" s="2">
        <v>1855215121</v>
      </c>
      <c r="GG247" s="2">
        <v>2</v>
      </c>
      <c r="GH247" s="2">
        <v>1</v>
      </c>
      <c r="GI247" s="2">
        <v>-2</v>
      </c>
      <c r="GJ247" s="2">
        <v>0</v>
      </c>
      <c r="GK247" s="2">
        <f>ROUND(R247*(R12)/100,2)</f>
        <v>0</v>
      </c>
      <c r="GL247" s="2">
        <f t="shared" si="203"/>
        <v>0</v>
      </c>
      <c r="GM247" s="2">
        <f t="shared" si="204"/>
        <v>36.950000000000003</v>
      </c>
      <c r="GN247" s="2">
        <f t="shared" si="205"/>
        <v>36.950000000000003</v>
      </c>
      <c r="GO247" s="2">
        <f t="shared" si="206"/>
        <v>0</v>
      </c>
      <c r="GP247" s="2">
        <f t="shared" si="207"/>
        <v>0</v>
      </c>
      <c r="GQ247" s="2"/>
      <c r="GR247" s="2">
        <v>0</v>
      </c>
      <c r="GS247" s="2">
        <v>0</v>
      </c>
      <c r="GT247" s="2">
        <v>0</v>
      </c>
      <c r="GU247" s="2" t="s">
        <v>3</v>
      </c>
      <c r="GV247" s="2">
        <f t="shared" si="208"/>
        <v>0</v>
      </c>
      <c r="GW247" s="2">
        <v>1</v>
      </c>
      <c r="GX247" s="2">
        <f t="shared" si="209"/>
        <v>0</v>
      </c>
      <c r="GY247" s="2"/>
      <c r="GZ247" s="2"/>
      <c r="HA247" s="2">
        <v>0</v>
      </c>
      <c r="HB247" s="2">
        <v>0</v>
      </c>
      <c r="HC247" s="2">
        <f t="shared" si="210"/>
        <v>0</v>
      </c>
      <c r="HD247" s="2"/>
      <c r="HE247" s="2" t="s">
        <v>3</v>
      </c>
      <c r="HF247" s="2" t="s">
        <v>3</v>
      </c>
      <c r="HG247" s="2"/>
      <c r="HH247" s="2"/>
      <c r="HI247" s="2"/>
      <c r="HJ247" s="2"/>
      <c r="HK247" s="2"/>
      <c r="HL247" s="2"/>
      <c r="HM247" s="2" t="s">
        <v>3</v>
      </c>
      <c r="HN247" s="2" t="s">
        <v>3</v>
      </c>
      <c r="HO247" s="2" t="s">
        <v>3</v>
      </c>
      <c r="HP247" s="2" t="s">
        <v>3</v>
      </c>
      <c r="HQ247" s="2" t="s">
        <v>3</v>
      </c>
      <c r="HR247" s="2"/>
      <c r="HS247" s="2">
        <v>0</v>
      </c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>
        <v>0</v>
      </c>
      <c r="IL247" s="2"/>
      <c r="IM247" s="2"/>
      <c r="IN247" s="2"/>
      <c r="IO247" s="2"/>
      <c r="IP247" s="2"/>
      <c r="IQ247" s="2"/>
      <c r="IR247" s="2"/>
      <c r="IS247" s="2"/>
      <c r="IT247" s="2"/>
      <c r="IU247" s="2"/>
    </row>
    <row r="248" spans="1:255" x14ac:dyDescent="0.2">
      <c r="A248">
        <v>18</v>
      </c>
      <c r="B248">
        <v>1</v>
      </c>
      <c r="C248">
        <v>184</v>
      </c>
      <c r="E248" t="s">
        <v>333</v>
      </c>
      <c r="F248" t="s">
        <v>328</v>
      </c>
      <c r="G248" t="s">
        <v>329</v>
      </c>
      <c r="H248" t="s">
        <v>330</v>
      </c>
      <c r="I248">
        <f>I246*J248</f>
        <v>0.12453999999999997</v>
      </c>
      <c r="J248">
        <v>9.5799999999999983</v>
      </c>
      <c r="K248">
        <v>9.58</v>
      </c>
      <c r="O248">
        <f t="shared" si="176"/>
        <v>568.66</v>
      </c>
      <c r="P248">
        <f t="shared" si="177"/>
        <v>568.66</v>
      </c>
      <c r="Q248">
        <f>(ROUND((ROUND(((ET248)*AV248*I248),2)*BB248),2)+ROUND((ROUND(((AE248-(EU248))*AV248*I248),2)*BS248),2))</f>
        <v>0</v>
      </c>
      <c r="R248">
        <f t="shared" si="179"/>
        <v>0</v>
      </c>
      <c r="S248">
        <f t="shared" si="180"/>
        <v>0</v>
      </c>
      <c r="T248">
        <f t="shared" si="181"/>
        <v>0</v>
      </c>
      <c r="U248">
        <f t="shared" si="182"/>
        <v>0</v>
      </c>
      <c r="V248">
        <f t="shared" si="183"/>
        <v>0</v>
      </c>
      <c r="W248">
        <f t="shared" si="184"/>
        <v>0</v>
      </c>
      <c r="X248">
        <f t="shared" si="185"/>
        <v>0</v>
      </c>
      <c r="Y248">
        <f t="shared" si="186"/>
        <v>0</v>
      </c>
      <c r="AA248">
        <v>56611490</v>
      </c>
      <c r="AB248">
        <f t="shared" si="187"/>
        <v>296.7</v>
      </c>
      <c r="AC248">
        <f t="shared" si="188"/>
        <v>296.7</v>
      </c>
      <c r="AD248">
        <f>ROUND((((ET248)-(EU248))+AE248),6)</f>
        <v>0</v>
      </c>
      <c r="AE248">
        <f>ROUND((EU248),6)</f>
        <v>0</v>
      </c>
      <c r="AF248">
        <f>ROUND((EV248),6)</f>
        <v>0</v>
      </c>
      <c r="AG248">
        <f t="shared" si="191"/>
        <v>0</v>
      </c>
      <c r="AH248">
        <f>(EW248)</f>
        <v>0</v>
      </c>
      <c r="AI248">
        <f>(EX248)</f>
        <v>0</v>
      </c>
      <c r="AJ248">
        <f t="shared" si="193"/>
        <v>0</v>
      </c>
      <c r="AK248">
        <v>296.7</v>
      </c>
      <c r="AL248">
        <v>296.7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1</v>
      </c>
      <c r="AZ248">
        <v>1</v>
      </c>
      <c r="BA248">
        <v>1</v>
      </c>
      <c r="BB248">
        <v>1</v>
      </c>
      <c r="BC248">
        <v>15.39</v>
      </c>
      <c r="BD248" t="s">
        <v>3</v>
      </c>
      <c r="BE248" t="s">
        <v>3</v>
      </c>
      <c r="BF248" t="s">
        <v>3</v>
      </c>
      <c r="BG248" t="s">
        <v>3</v>
      </c>
      <c r="BH248">
        <v>3</v>
      </c>
      <c r="BI248">
        <v>1</v>
      </c>
      <c r="BJ248" t="s">
        <v>331</v>
      </c>
      <c r="BM248">
        <v>158</v>
      </c>
      <c r="BN248">
        <v>0</v>
      </c>
      <c r="BO248" t="s">
        <v>328</v>
      </c>
      <c r="BP248">
        <v>1</v>
      </c>
      <c r="BQ248">
        <v>30</v>
      </c>
      <c r="BR248">
        <v>0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 t="s">
        <v>3</v>
      </c>
      <c r="BZ248">
        <v>0</v>
      </c>
      <c r="CA248">
        <v>0</v>
      </c>
      <c r="CB248" t="s">
        <v>3</v>
      </c>
      <c r="CE248">
        <v>30</v>
      </c>
      <c r="CF248">
        <v>0</v>
      </c>
      <c r="CG248">
        <v>0</v>
      </c>
      <c r="CM248">
        <v>0</v>
      </c>
      <c r="CN248" t="s">
        <v>3</v>
      </c>
      <c r="CO248">
        <v>0</v>
      </c>
      <c r="CP248">
        <f t="shared" si="194"/>
        <v>568.66</v>
      </c>
      <c r="CQ248">
        <f t="shared" si="195"/>
        <v>4566.21</v>
      </c>
      <c r="CR248">
        <f>(ROUND((ROUND(((ET248)*AV248*1),2)*BB248),2)+ROUND((ROUND(((AE248-(EU248))*AV248*1),2)*BS248),2))</f>
        <v>0</v>
      </c>
      <c r="CS248">
        <f t="shared" si="197"/>
        <v>0</v>
      </c>
      <c r="CT248">
        <f t="shared" si="198"/>
        <v>0</v>
      </c>
      <c r="CU248">
        <f t="shared" si="199"/>
        <v>0</v>
      </c>
      <c r="CV248">
        <f t="shared" si="200"/>
        <v>0</v>
      </c>
      <c r="CW248">
        <f t="shared" si="201"/>
        <v>0</v>
      </c>
      <c r="CX248">
        <f t="shared" si="202"/>
        <v>0</v>
      </c>
      <c r="CY248">
        <f>S248*(BZ248/100)</f>
        <v>0</v>
      </c>
      <c r="CZ248">
        <f>S248*(CA248/100)</f>
        <v>0</v>
      </c>
      <c r="DC248" t="s">
        <v>3</v>
      </c>
      <c r="DD248" t="s">
        <v>3</v>
      </c>
      <c r="DE248" t="s">
        <v>3</v>
      </c>
      <c r="DF248" t="s">
        <v>3</v>
      </c>
      <c r="DG248" t="s">
        <v>3</v>
      </c>
      <c r="DH248" t="s">
        <v>3</v>
      </c>
      <c r="DI248" t="s">
        <v>3</v>
      </c>
      <c r="DJ248" t="s">
        <v>3</v>
      </c>
      <c r="DK248" t="s">
        <v>3</v>
      </c>
      <c r="DL248" t="s">
        <v>3</v>
      </c>
      <c r="DM248" t="s">
        <v>3</v>
      </c>
      <c r="DN248">
        <v>161</v>
      </c>
      <c r="DO248">
        <v>107</v>
      </c>
      <c r="DP248">
        <v>1.0469999999999999</v>
      </c>
      <c r="DQ248">
        <v>1</v>
      </c>
      <c r="DU248">
        <v>1009</v>
      </c>
      <c r="DV248" t="s">
        <v>330</v>
      </c>
      <c r="DW248" t="s">
        <v>330</v>
      </c>
      <c r="DX248">
        <v>1000</v>
      </c>
      <c r="DZ248" t="s">
        <v>3</v>
      </c>
      <c r="EA248" t="s">
        <v>3</v>
      </c>
      <c r="EB248" t="s">
        <v>3</v>
      </c>
      <c r="EC248" t="s">
        <v>3</v>
      </c>
      <c r="EE248">
        <v>51696197</v>
      </c>
      <c r="EF248">
        <v>30</v>
      </c>
      <c r="EG248" t="s">
        <v>23</v>
      </c>
      <c r="EH248">
        <v>0</v>
      </c>
      <c r="EI248" t="s">
        <v>3</v>
      </c>
      <c r="EJ248">
        <v>1</v>
      </c>
      <c r="EK248">
        <v>158</v>
      </c>
      <c r="EL248" t="s">
        <v>325</v>
      </c>
      <c r="EM248" t="s">
        <v>326</v>
      </c>
      <c r="EO248" t="s">
        <v>3</v>
      </c>
      <c r="EQ248">
        <v>0</v>
      </c>
      <c r="ER248">
        <v>296.7</v>
      </c>
      <c r="ES248">
        <v>296.7</v>
      </c>
      <c r="ET248">
        <v>0</v>
      </c>
      <c r="EU248">
        <v>0</v>
      </c>
      <c r="EV248">
        <v>0</v>
      </c>
      <c r="EW248">
        <v>0</v>
      </c>
      <c r="EX248">
        <v>0</v>
      </c>
      <c r="FQ248">
        <v>0</v>
      </c>
      <c r="FR248">
        <v>0</v>
      </c>
      <c r="FS248">
        <v>0</v>
      </c>
      <c r="FX248">
        <v>161</v>
      </c>
      <c r="FY248">
        <v>107</v>
      </c>
      <c r="GA248" t="s">
        <v>3</v>
      </c>
      <c r="GD248">
        <v>0</v>
      </c>
      <c r="GF248">
        <v>1855215121</v>
      </c>
      <c r="GG248">
        <v>2</v>
      </c>
      <c r="GH248">
        <v>1</v>
      </c>
      <c r="GI248">
        <v>2</v>
      </c>
      <c r="GJ248">
        <v>0</v>
      </c>
      <c r="GK248">
        <f>ROUND(R248*(S12)/100,2)</f>
        <v>0</v>
      </c>
      <c r="GL248">
        <f t="shared" si="203"/>
        <v>0</v>
      </c>
      <c r="GM248">
        <f t="shared" si="204"/>
        <v>568.66</v>
      </c>
      <c r="GN248">
        <f t="shared" si="205"/>
        <v>568.66</v>
      </c>
      <c r="GO248">
        <f t="shared" si="206"/>
        <v>0</v>
      </c>
      <c r="GP248">
        <f t="shared" si="207"/>
        <v>0</v>
      </c>
      <c r="GR248">
        <v>0</v>
      </c>
      <c r="GS248">
        <v>3</v>
      </c>
      <c r="GT248">
        <v>0</v>
      </c>
      <c r="GU248" t="s">
        <v>3</v>
      </c>
      <c r="GV248">
        <f t="shared" si="208"/>
        <v>0</v>
      </c>
      <c r="GW248">
        <v>1</v>
      </c>
      <c r="GX248">
        <f t="shared" si="209"/>
        <v>0</v>
      </c>
      <c r="HA248">
        <v>0</v>
      </c>
      <c r="HB248">
        <v>0</v>
      </c>
      <c r="HC248">
        <f t="shared" si="210"/>
        <v>0</v>
      </c>
      <c r="HE248" t="s">
        <v>3</v>
      </c>
      <c r="HF248" t="s">
        <v>3</v>
      </c>
      <c r="HM248" t="s">
        <v>3</v>
      </c>
      <c r="HN248" t="s">
        <v>3</v>
      </c>
      <c r="HO248" t="s">
        <v>3</v>
      </c>
      <c r="HP248" t="s">
        <v>3</v>
      </c>
      <c r="HQ248" t="s">
        <v>3</v>
      </c>
      <c r="HS248">
        <v>0</v>
      </c>
      <c r="IK248">
        <v>0</v>
      </c>
    </row>
    <row r="249" spans="1:255" x14ac:dyDescent="0.2">
      <c r="A249" s="2">
        <v>17</v>
      </c>
      <c r="B249" s="2">
        <v>1</v>
      </c>
      <c r="C249" s="2">
        <f>ROW(SmtRes!A185)</f>
        <v>185</v>
      </c>
      <c r="D249" s="2">
        <f>ROW(EtalonRes!A406)</f>
        <v>406</v>
      </c>
      <c r="E249" s="2" t="s">
        <v>334</v>
      </c>
      <c r="F249" s="2" t="s">
        <v>335</v>
      </c>
      <c r="G249" s="2" t="s">
        <v>336</v>
      </c>
      <c r="H249" s="2" t="s">
        <v>98</v>
      </c>
      <c r="I249" s="2">
        <f>ROUND(1.3/100,9)</f>
        <v>1.2999999999999999E-2</v>
      </c>
      <c r="J249" s="2">
        <v>0</v>
      </c>
      <c r="K249" s="2">
        <f>ROUND(1.3/100,9)</f>
        <v>1.2999999999999999E-2</v>
      </c>
      <c r="L249" s="2"/>
      <c r="M249" s="2"/>
      <c r="N249" s="2"/>
      <c r="O249" s="2">
        <f t="shared" si="176"/>
        <v>2.98</v>
      </c>
      <c r="P249" s="2">
        <f t="shared" si="177"/>
        <v>0</v>
      </c>
      <c r="Q249" s="2">
        <f>(ROUND((ROUND((((ET249*1.1*5))*AV249*I249),2)*BB249),2)+ROUND((ROUND(((AE249-((EU249*1.1*5)))*AV249*I249),2)*BS249),2))</f>
        <v>2.46</v>
      </c>
      <c r="R249" s="2">
        <f t="shared" si="179"/>
        <v>0.16</v>
      </c>
      <c r="S249" s="2">
        <f t="shared" si="180"/>
        <v>0.52</v>
      </c>
      <c r="T249" s="2">
        <f t="shared" si="181"/>
        <v>0</v>
      </c>
      <c r="U249" s="2">
        <f t="shared" si="182"/>
        <v>3.9676065000000003E-2</v>
      </c>
      <c r="V249" s="2">
        <f t="shared" si="183"/>
        <v>0</v>
      </c>
      <c r="W249" s="2">
        <f t="shared" si="184"/>
        <v>0</v>
      </c>
      <c r="X249" s="2">
        <f t="shared" si="185"/>
        <v>0.84</v>
      </c>
      <c r="Y249" s="2">
        <f t="shared" si="186"/>
        <v>0.56000000000000005</v>
      </c>
      <c r="Z249" s="2"/>
      <c r="AA249" s="2">
        <v>56622523</v>
      </c>
      <c r="AB249" s="2">
        <f t="shared" si="187"/>
        <v>218.73500000000001</v>
      </c>
      <c r="AC249" s="2">
        <f t="shared" si="188"/>
        <v>0</v>
      </c>
      <c r="AD249" s="2">
        <f>ROUND(((((ET249*1.1*5))-((EU249*1.1*5)))+AE249),6)</f>
        <v>180.62</v>
      </c>
      <c r="AE249" s="2">
        <f>ROUND(((EU249*1.1*5)),6)</f>
        <v>11.99</v>
      </c>
      <c r="AF249" s="2">
        <f>ROUND(((EV249*1.1*5)),6)</f>
        <v>38.115000000000002</v>
      </c>
      <c r="AG249" s="2">
        <f t="shared" si="191"/>
        <v>0</v>
      </c>
      <c r="AH249" s="2">
        <f>((EW249*1.1*5))</f>
        <v>2.9150000000000005</v>
      </c>
      <c r="AI249" s="2">
        <f>((EX249*1.1*5))</f>
        <v>0</v>
      </c>
      <c r="AJ249" s="2">
        <f t="shared" si="193"/>
        <v>0</v>
      </c>
      <c r="AK249" s="2">
        <v>39.770000000000003</v>
      </c>
      <c r="AL249" s="2">
        <v>0</v>
      </c>
      <c r="AM249" s="2">
        <v>32.840000000000003</v>
      </c>
      <c r="AN249" s="2">
        <v>2.1800000000000002</v>
      </c>
      <c r="AO249" s="2">
        <v>6.93</v>
      </c>
      <c r="AP249" s="2">
        <v>0</v>
      </c>
      <c r="AQ249" s="2">
        <v>0.53</v>
      </c>
      <c r="AR249" s="2">
        <v>0</v>
      </c>
      <c r="AS249" s="2">
        <v>0</v>
      </c>
      <c r="AT249" s="2">
        <v>161</v>
      </c>
      <c r="AU249" s="2">
        <v>107</v>
      </c>
      <c r="AV249" s="2">
        <v>1.0469999999999999</v>
      </c>
      <c r="AW249" s="2">
        <v>1</v>
      </c>
      <c r="AX249" s="2"/>
      <c r="AY249" s="2"/>
      <c r="AZ249" s="2">
        <v>1</v>
      </c>
      <c r="BA249" s="2">
        <v>1</v>
      </c>
      <c r="BB249" s="2">
        <v>1</v>
      </c>
      <c r="BC249" s="2">
        <v>1</v>
      </c>
      <c r="BD249" s="2" t="s">
        <v>3</v>
      </c>
      <c r="BE249" s="2" t="s">
        <v>3</v>
      </c>
      <c r="BF249" s="2" t="s">
        <v>3</v>
      </c>
      <c r="BG249" s="2" t="s">
        <v>3</v>
      </c>
      <c r="BH249" s="2">
        <v>0</v>
      </c>
      <c r="BI249" s="2">
        <v>1</v>
      </c>
      <c r="BJ249" s="2" t="s">
        <v>337</v>
      </c>
      <c r="BK249" s="2"/>
      <c r="BL249" s="2"/>
      <c r="BM249" s="2">
        <v>158</v>
      </c>
      <c r="BN249" s="2">
        <v>0</v>
      </c>
      <c r="BO249" s="2" t="s">
        <v>3</v>
      </c>
      <c r="BP249" s="2">
        <v>0</v>
      </c>
      <c r="BQ249" s="2">
        <v>30</v>
      </c>
      <c r="BR249" s="2">
        <v>0</v>
      </c>
      <c r="BS249" s="2">
        <v>1</v>
      </c>
      <c r="BT249" s="2">
        <v>1</v>
      </c>
      <c r="BU249" s="2">
        <v>1</v>
      </c>
      <c r="BV249" s="2">
        <v>1</v>
      </c>
      <c r="BW249" s="2">
        <v>1</v>
      </c>
      <c r="BX249" s="2">
        <v>1</v>
      </c>
      <c r="BY249" s="2" t="s">
        <v>3</v>
      </c>
      <c r="BZ249" s="2">
        <v>161</v>
      </c>
      <c r="CA249" s="2">
        <v>107</v>
      </c>
      <c r="CB249" s="2" t="s">
        <v>3</v>
      </c>
      <c r="CC249" s="2"/>
      <c r="CD249" s="2"/>
      <c r="CE249" s="2">
        <v>30</v>
      </c>
      <c r="CF249" s="2">
        <v>0</v>
      </c>
      <c r="CG249" s="2">
        <v>0</v>
      </c>
      <c r="CH249" s="2"/>
      <c r="CI249" s="2"/>
      <c r="CJ249" s="2"/>
      <c r="CK249" s="2"/>
      <c r="CL249" s="2"/>
      <c r="CM249" s="2">
        <v>0</v>
      </c>
      <c r="CN249" s="2" t="s">
        <v>689</v>
      </c>
      <c r="CO249" s="2">
        <v>0</v>
      </c>
      <c r="CP249" s="2">
        <f t="shared" si="194"/>
        <v>2.98</v>
      </c>
      <c r="CQ249" s="2">
        <f t="shared" si="195"/>
        <v>0</v>
      </c>
      <c r="CR249" s="2">
        <f>(ROUND((ROUND((((ET249*1.1*5))*AV249*1),2)*BB249),2)+ROUND((ROUND(((AE249-((EU249*1.1*5)))*AV249*1),2)*BS249),2))</f>
        <v>189.11</v>
      </c>
      <c r="CS249" s="2">
        <f t="shared" si="197"/>
        <v>12.55</v>
      </c>
      <c r="CT249" s="2">
        <f t="shared" si="198"/>
        <v>39.909999999999997</v>
      </c>
      <c r="CU249" s="2">
        <f t="shared" si="199"/>
        <v>0</v>
      </c>
      <c r="CV249" s="2">
        <f t="shared" si="200"/>
        <v>3.0520050000000003</v>
      </c>
      <c r="CW249" s="2">
        <f t="shared" si="201"/>
        <v>0</v>
      </c>
      <c r="CX249" s="2">
        <f t="shared" si="202"/>
        <v>0</v>
      </c>
      <c r="CY249" s="2">
        <f>((S249*BZ249)/100)</f>
        <v>0.83719999999999994</v>
      </c>
      <c r="CZ249" s="2">
        <f>((S249*CA249)/100)</f>
        <v>0.55640000000000001</v>
      </c>
      <c r="DA249" s="2"/>
      <c r="DB249" s="2"/>
      <c r="DC249" s="2" t="s">
        <v>3</v>
      </c>
      <c r="DD249" s="2" t="s">
        <v>3</v>
      </c>
      <c r="DE249" s="2" t="s">
        <v>338</v>
      </c>
      <c r="DF249" s="2" t="s">
        <v>338</v>
      </c>
      <c r="DG249" s="2" t="s">
        <v>338</v>
      </c>
      <c r="DH249" s="2" t="s">
        <v>3</v>
      </c>
      <c r="DI249" s="2" t="s">
        <v>338</v>
      </c>
      <c r="DJ249" s="2" t="s">
        <v>338</v>
      </c>
      <c r="DK249" s="2" t="s">
        <v>3</v>
      </c>
      <c r="DL249" s="2" t="s">
        <v>3</v>
      </c>
      <c r="DM249" s="2" t="s">
        <v>3</v>
      </c>
      <c r="DN249" s="2">
        <v>0</v>
      </c>
      <c r="DO249" s="2">
        <v>0</v>
      </c>
      <c r="DP249" s="2">
        <v>1</v>
      </c>
      <c r="DQ249" s="2">
        <v>1</v>
      </c>
      <c r="DR249" s="2"/>
      <c r="DS249" s="2"/>
      <c r="DT249" s="2"/>
      <c r="DU249" s="2">
        <v>1013</v>
      </c>
      <c r="DV249" s="2" t="s">
        <v>98</v>
      </c>
      <c r="DW249" s="2" t="s">
        <v>98</v>
      </c>
      <c r="DX249" s="2">
        <v>1</v>
      </c>
      <c r="DY249" s="2"/>
      <c r="DZ249" s="2" t="s">
        <v>3</v>
      </c>
      <c r="EA249" s="2" t="s">
        <v>3</v>
      </c>
      <c r="EB249" s="2" t="s">
        <v>3</v>
      </c>
      <c r="EC249" s="2" t="s">
        <v>3</v>
      </c>
      <c r="ED249" s="2"/>
      <c r="EE249" s="2">
        <v>51696197</v>
      </c>
      <c r="EF249" s="2">
        <v>30</v>
      </c>
      <c r="EG249" s="2" t="s">
        <v>23</v>
      </c>
      <c r="EH249" s="2">
        <v>0</v>
      </c>
      <c r="EI249" s="2" t="s">
        <v>3</v>
      </c>
      <c r="EJ249" s="2">
        <v>1</v>
      </c>
      <c r="EK249" s="2">
        <v>158</v>
      </c>
      <c r="EL249" s="2" t="s">
        <v>325</v>
      </c>
      <c r="EM249" s="2" t="s">
        <v>326</v>
      </c>
      <c r="EN249" s="2"/>
      <c r="EO249" s="2" t="s">
        <v>26</v>
      </c>
      <c r="EP249" s="2"/>
      <c r="EQ249" s="2">
        <v>131072</v>
      </c>
      <c r="ER249" s="2">
        <v>39.770000000000003</v>
      </c>
      <c r="ES249" s="2">
        <v>0</v>
      </c>
      <c r="ET249" s="2">
        <v>32.840000000000003</v>
      </c>
      <c r="EU249" s="2">
        <v>2.1800000000000002</v>
      </c>
      <c r="EV249" s="2">
        <v>6.93</v>
      </c>
      <c r="EW249" s="2">
        <v>0.53</v>
      </c>
      <c r="EX249" s="2">
        <v>0</v>
      </c>
      <c r="EY249" s="2">
        <v>0</v>
      </c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>
        <v>0</v>
      </c>
      <c r="FR249" s="2">
        <v>0</v>
      </c>
      <c r="FS249" s="2">
        <v>0</v>
      </c>
      <c r="FT249" s="2"/>
      <c r="FU249" s="2"/>
      <c r="FV249" s="2"/>
      <c r="FW249" s="2"/>
      <c r="FX249" s="2">
        <v>161</v>
      </c>
      <c r="FY249" s="2">
        <v>107</v>
      </c>
      <c r="FZ249" s="2"/>
      <c r="GA249" s="2" t="s">
        <v>3</v>
      </c>
      <c r="GB249" s="2"/>
      <c r="GC249" s="2"/>
      <c r="GD249" s="2">
        <v>0</v>
      </c>
      <c r="GE249" s="2"/>
      <c r="GF249" s="2">
        <v>-1968364840</v>
      </c>
      <c r="GG249" s="2">
        <v>2</v>
      </c>
      <c r="GH249" s="2">
        <v>1</v>
      </c>
      <c r="GI249" s="2">
        <v>-2</v>
      </c>
      <c r="GJ249" s="2">
        <v>0</v>
      </c>
      <c r="GK249" s="2">
        <f>ROUND(R249*(R12)/100,2)</f>
        <v>0.28000000000000003</v>
      </c>
      <c r="GL249" s="2">
        <f t="shared" si="203"/>
        <v>0</v>
      </c>
      <c r="GM249" s="2">
        <f t="shared" si="204"/>
        <v>4.66</v>
      </c>
      <c r="GN249" s="2">
        <f t="shared" si="205"/>
        <v>4.66</v>
      </c>
      <c r="GO249" s="2">
        <f t="shared" si="206"/>
        <v>0</v>
      </c>
      <c r="GP249" s="2">
        <f t="shared" si="207"/>
        <v>0</v>
      </c>
      <c r="GQ249" s="2"/>
      <c r="GR249" s="2">
        <v>0</v>
      </c>
      <c r="GS249" s="2">
        <v>0</v>
      </c>
      <c r="GT249" s="2">
        <v>0</v>
      </c>
      <c r="GU249" s="2" t="s">
        <v>3</v>
      </c>
      <c r="GV249" s="2">
        <f t="shared" si="208"/>
        <v>0</v>
      </c>
      <c r="GW249" s="2">
        <v>1</v>
      </c>
      <c r="GX249" s="2">
        <f t="shared" si="209"/>
        <v>0</v>
      </c>
      <c r="GY249" s="2"/>
      <c r="GZ249" s="2"/>
      <c r="HA249" s="2">
        <v>0</v>
      </c>
      <c r="HB249" s="2">
        <v>0</v>
      </c>
      <c r="HC249" s="2">
        <f t="shared" si="210"/>
        <v>0</v>
      </c>
      <c r="HD249" s="2"/>
      <c r="HE249" s="2" t="s">
        <v>3</v>
      </c>
      <c r="HF249" s="2" t="s">
        <v>3</v>
      </c>
      <c r="HG249" s="2"/>
      <c r="HH249" s="2"/>
      <c r="HI249" s="2"/>
      <c r="HJ249" s="2"/>
      <c r="HK249" s="2"/>
      <c r="HL249" s="2"/>
      <c r="HM249" s="2" t="s">
        <v>3</v>
      </c>
      <c r="HN249" s="2" t="s">
        <v>3</v>
      </c>
      <c r="HO249" s="2" t="s">
        <v>3</v>
      </c>
      <c r="HP249" s="2" t="s">
        <v>3</v>
      </c>
      <c r="HQ249" s="2" t="s">
        <v>3</v>
      </c>
      <c r="HR249" s="2"/>
      <c r="HS249" s="2">
        <v>0</v>
      </c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>
        <v>0</v>
      </c>
      <c r="IL249" s="2"/>
      <c r="IM249" s="2"/>
      <c r="IN249" s="2"/>
      <c r="IO249" s="2"/>
      <c r="IP249" s="2"/>
      <c r="IQ249" s="2"/>
      <c r="IR249" s="2"/>
      <c r="IS249" s="2"/>
      <c r="IT249" s="2"/>
      <c r="IU249" s="2"/>
    </row>
    <row r="250" spans="1:255" x14ac:dyDescent="0.2">
      <c r="A250">
        <v>17</v>
      </c>
      <c r="B250">
        <v>1</v>
      </c>
      <c r="C250">
        <f>ROW(SmtRes!A186)</f>
        <v>186</v>
      </c>
      <c r="D250">
        <f>ROW(EtalonRes!A410)</f>
        <v>410</v>
      </c>
      <c r="E250" t="s">
        <v>334</v>
      </c>
      <c r="F250" t="s">
        <v>335</v>
      </c>
      <c r="G250" t="s">
        <v>336</v>
      </c>
      <c r="H250" t="s">
        <v>98</v>
      </c>
      <c r="I250">
        <f>ROUND(1.3/100,9)</f>
        <v>1.2999999999999999E-2</v>
      </c>
      <c r="J250">
        <v>0</v>
      </c>
      <c r="K250">
        <f>ROUND(1.3/100,9)</f>
        <v>1.2999999999999999E-2</v>
      </c>
      <c r="O250">
        <f t="shared" si="176"/>
        <v>46.93</v>
      </c>
      <c r="P250">
        <f t="shared" si="177"/>
        <v>0</v>
      </c>
      <c r="Q250">
        <f>(ROUND((ROUND((((ET250*1.1*5))*AV250*I250),2)*BB250),2)+ROUND((ROUND(((AE250-((EU250*1.1*5)))*AV250*I250),2)*BS250),2))</f>
        <v>28.98</v>
      </c>
      <c r="R250">
        <f t="shared" si="179"/>
        <v>5.52</v>
      </c>
      <c r="S250">
        <f t="shared" si="180"/>
        <v>17.95</v>
      </c>
      <c r="T250">
        <f t="shared" si="181"/>
        <v>0</v>
      </c>
      <c r="U250">
        <f t="shared" si="182"/>
        <v>3.9676065000000003E-2</v>
      </c>
      <c r="V250">
        <f t="shared" si="183"/>
        <v>0</v>
      </c>
      <c r="W250">
        <f t="shared" si="184"/>
        <v>0</v>
      </c>
      <c r="X250">
        <f t="shared" si="185"/>
        <v>24.05</v>
      </c>
      <c r="Y250">
        <f t="shared" si="186"/>
        <v>9.8699999999999992</v>
      </c>
      <c r="AA250">
        <v>56611490</v>
      </c>
      <c r="AB250">
        <f t="shared" si="187"/>
        <v>218.73500000000001</v>
      </c>
      <c r="AC250">
        <f t="shared" si="188"/>
        <v>0</v>
      </c>
      <c r="AD250">
        <f>ROUND(((((ET250*1.1*5))-((EU250*1.1*5)))+AE250),6)</f>
        <v>180.62</v>
      </c>
      <c r="AE250">
        <f>ROUND(((EU250*1.1*5)),6)</f>
        <v>11.99</v>
      </c>
      <c r="AF250">
        <f>ROUND(((EV250*1.1*5)),6)</f>
        <v>38.115000000000002</v>
      </c>
      <c r="AG250">
        <f t="shared" si="191"/>
        <v>0</v>
      </c>
      <c r="AH250">
        <f>((EW250*1.1*5))</f>
        <v>2.9150000000000005</v>
      </c>
      <c r="AI250">
        <f>((EX250*1.1*5))</f>
        <v>0</v>
      </c>
      <c r="AJ250">
        <f t="shared" si="193"/>
        <v>0</v>
      </c>
      <c r="AK250">
        <v>39.770000000000003</v>
      </c>
      <c r="AL250">
        <v>0</v>
      </c>
      <c r="AM250">
        <v>32.840000000000003</v>
      </c>
      <c r="AN250">
        <v>2.1800000000000002</v>
      </c>
      <c r="AO250">
        <v>6.93</v>
      </c>
      <c r="AP250">
        <v>0</v>
      </c>
      <c r="AQ250">
        <v>0.53</v>
      </c>
      <c r="AR250">
        <v>0</v>
      </c>
      <c r="AS250">
        <v>0</v>
      </c>
      <c r="AT250">
        <v>134</v>
      </c>
      <c r="AU250">
        <v>55</v>
      </c>
      <c r="AV250">
        <v>1.0469999999999999</v>
      </c>
      <c r="AW250">
        <v>1</v>
      </c>
      <c r="AZ250">
        <v>1</v>
      </c>
      <c r="BA250">
        <v>34.51</v>
      </c>
      <c r="BB250">
        <v>11.78</v>
      </c>
      <c r="BC250">
        <v>1</v>
      </c>
      <c r="BD250" t="s">
        <v>3</v>
      </c>
      <c r="BE250" t="s">
        <v>3</v>
      </c>
      <c r="BF250" t="s">
        <v>3</v>
      </c>
      <c r="BG250" t="s">
        <v>3</v>
      </c>
      <c r="BH250">
        <v>0</v>
      </c>
      <c r="BI250">
        <v>1</v>
      </c>
      <c r="BJ250" t="s">
        <v>337</v>
      </c>
      <c r="BM250">
        <v>158</v>
      </c>
      <c r="BN250">
        <v>0</v>
      </c>
      <c r="BO250" t="s">
        <v>335</v>
      </c>
      <c r="BP250">
        <v>1</v>
      </c>
      <c r="BQ250">
        <v>30</v>
      </c>
      <c r="BR250">
        <v>0</v>
      </c>
      <c r="BS250">
        <v>34.51</v>
      </c>
      <c r="BT250">
        <v>1</v>
      </c>
      <c r="BU250">
        <v>1</v>
      </c>
      <c r="BV250">
        <v>1</v>
      </c>
      <c r="BW250">
        <v>1</v>
      </c>
      <c r="BX250">
        <v>1</v>
      </c>
      <c r="BY250" t="s">
        <v>3</v>
      </c>
      <c r="BZ250">
        <v>134</v>
      </c>
      <c r="CA250">
        <v>55</v>
      </c>
      <c r="CB250" t="s">
        <v>3</v>
      </c>
      <c r="CE250">
        <v>30</v>
      </c>
      <c r="CF250">
        <v>0</v>
      </c>
      <c r="CG250">
        <v>0</v>
      </c>
      <c r="CM250">
        <v>0</v>
      </c>
      <c r="CN250" t="s">
        <v>689</v>
      </c>
      <c r="CO250">
        <v>0</v>
      </c>
      <c r="CP250">
        <f t="shared" si="194"/>
        <v>46.93</v>
      </c>
      <c r="CQ250">
        <f t="shared" si="195"/>
        <v>0</v>
      </c>
      <c r="CR250">
        <f>(ROUND((ROUND((((ET250*1.1*5))*AV250*1),2)*BB250),2)+ROUND((ROUND(((AE250-((EU250*1.1*5)))*AV250*1),2)*BS250),2))</f>
        <v>2227.7199999999998</v>
      </c>
      <c r="CS250">
        <f t="shared" si="197"/>
        <v>433.1</v>
      </c>
      <c r="CT250">
        <f t="shared" si="198"/>
        <v>1377.29</v>
      </c>
      <c r="CU250">
        <f t="shared" si="199"/>
        <v>0</v>
      </c>
      <c r="CV250">
        <f t="shared" si="200"/>
        <v>3.0520050000000003</v>
      </c>
      <c r="CW250">
        <f t="shared" si="201"/>
        <v>0</v>
      </c>
      <c r="CX250">
        <f t="shared" si="202"/>
        <v>0</v>
      </c>
      <c r="CY250">
        <f>S250*(BZ250/100)</f>
        <v>24.053000000000001</v>
      </c>
      <c r="CZ250">
        <f>S250*(CA250/100)</f>
        <v>9.8725000000000005</v>
      </c>
      <c r="DC250" t="s">
        <v>3</v>
      </c>
      <c r="DD250" t="s">
        <v>3</v>
      </c>
      <c r="DE250" t="s">
        <v>338</v>
      </c>
      <c r="DF250" t="s">
        <v>338</v>
      </c>
      <c r="DG250" t="s">
        <v>338</v>
      </c>
      <c r="DH250" t="s">
        <v>3</v>
      </c>
      <c r="DI250" t="s">
        <v>338</v>
      </c>
      <c r="DJ250" t="s">
        <v>338</v>
      </c>
      <c r="DK250" t="s">
        <v>3</v>
      </c>
      <c r="DL250" t="s">
        <v>3</v>
      </c>
      <c r="DM250" t="s">
        <v>3</v>
      </c>
      <c r="DN250">
        <v>161</v>
      </c>
      <c r="DO250">
        <v>107</v>
      </c>
      <c r="DP250">
        <v>1.0469999999999999</v>
      </c>
      <c r="DQ250">
        <v>1</v>
      </c>
      <c r="DU250">
        <v>1013</v>
      </c>
      <c r="DV250" t="s">
        <v>98</v>
      </c>
      <c r="DW250" t="s">
        <v>98</v>
      </c>
      <c r="DX250">
        <v>1</v>
      </c>
      <c r="DZ250" t="s">
        <v>3</v>
      </c>
      <c r="EA250" t="s">
        <v>3</v>
      </c>
      <c r="EB250" t="s">
        <v>3</v>
      </c>
      <c r="EC250" t="s">
        <v>3</v>
      </c>
      <c r="EE250">
        <v>51696197</v>
      </c>
      <c r="EF250">
        <v>30</v>
      </c>
      <c r="EG250" t="s">
        <v>23</v>
      </c>
      <c r="EH250">
        <v>0</v>
      </c>
      <c r="EI250" t="s">
        <v>3</v>
      </c>
      <c r="EJ250">
        <v>1</v>
      </c>
      <c r="EK250">
        <v>158</v>
      </c>
      <c r="EL250" t="s">
        <v>325</v>
      </c>
      <c r="EM250" t="s">
        <v>326</v>
      </c>
      <c r="EO250" t="s">
        <v>26</v>
      </c>
      <c r="EQ250">
        <v>131072</v>
      </c>
      <c r="ER250">
        <v>39.770000000000003</v>
      </c>
      <c r="ES250">
        <v>0</v>
      </c>
      <c r="ET250">
        <v>32.840000000000003</v>
      </c>
      <c r="EU250">
        <v>2.1800000000000002</v>
      </c>
      <c r="EV250">
        <v>6.93</v>
      </c>
      <c r="EW250">
        <v>0.53</v>
      </c>
      <c r="EX250">
        <v>0</v>
      </c>
      <c r="EY250">
        <v>0</v>
      </c>
      <c r="FQ250">
        <v>0</v>
      </c>
      <c r="FR250">
        <v>0</v>
      </c>
      <c r="FS250">
        <v>0</v>
      </c>
      <c r="FX250">
        <v>161</v>
      </c>
      <c r="FY250">
        <v>107</v>
      </c>
      <c r="GA250" t="s">
        <v>3</v>
      </c>
      <c r="GD250">
        <v>0</v>
      </c>
      <c r="GF250">
        <v>-1968364840</v>
      </c>
      <c r="GG250">
        <v>2</v>
      </c>
      <c r="GH250">
        <v>1</v>
      </c>
      <c r="GI250">
        <v>2</v>
      </c>
      <c r="GJ250">
        <v>0</v>
      </c>
      <c r="GK250">
        <f>ROUND(R250*(S12)/100,2)</f>
        <v>8.83</v>
      </c>
      <c r="GL250">
        <f t="shared" si="203"/>
        <v>0</v>
      </c>
      <c r="GM250">
        <f t="shared" si="204"/>
        <v>89.68</v>
      </c>
      <c r="GN250">
        <f t="shared" si="205"/>
        <v>89.68</v>
      </c>
      <c r="GO250">
        <f t="shared" si="206"/>
        <v>0</v>
      </c>
      <c r="GP250">
        <f t="shared" si="207"/>
        <v>0</v>
      </c>
      <c r="GR250">
        <v>0</v>
      </c>
      <c r="GS250">
        <v>3</v>
      </c>
      <c r="GT250">
        <v>0</v>
      </c>
      <c r="GU250" t="s">
        <v>3</v>
      </c>
      <c r="GV250">
        <f t="shared" si="208"/>
        <v>0</v>
      </c>
      <c r="GW250">
        <v>1</v>
      </c>
      <c r="GX250">
        <f t="shared" si="209"/>
        <v>0</v>
      </c>
      <c r="HA250">
        <v>0</v>
      </c>
      <c r="HB250">
        <v>0</v>
      </c>
      <c r="HC250">
        <f t="shared" si="210"/>
        <v>0</v>
      </c>
      <c r="HE250" t="s">
        <v>3</v>
      </c>
      <c r="HF250" t="s">
        <v>3</v>
      </c>
      <c r="HM250" t="s">
        <v>3</v>
      </c>
      <c r="HN250" t="s">
        <v>3</v>
      </c>
      <c r="HO250" t="s">
        <v>3</v>
      </c>
      <c r="HP250" t="s">
        <v>3</v>
      </c>
      <c r="HQ250" t="s">
        <v>3</v>
      </c>
      <c r="HS250">
        <v>0</v>
      </c>
      <c r="IK250">
        <v>0</v>
      </c>
    </row>
    <row r="251" spans="1:255" x14ac:dyDescent="0.2">
      <c r="A251" s="2">
        <v>18</v>
      </c>
      <c r="B251" s="2">
        <v>1</v>
      </c>
      <c r="C251" s="2">
        <v>185</v>
      </c>
      <c r="D251" s="2"/>
      <c r="E251" s="2" t="s">
        <v>339</v>
      </c>
      <c r="F251" s="2" t="s">
        <v>328</v>
      </c>
      <c r="G251" s="2" t="s">
        <v>329</v>
      </c>
      <c r="H251" s="2" t="s">
        <v>330</v>
      </c>
      <c r="I251" s="2">
        <f>I249*J251</f>
        <v>0.15599999999999997</v>
      </c>
      <c r="J251" s="2">
        <v>11.999999999999998</v>
      </c>
      <c r="K251" s="2">
        <v>2.4</v>
      </c>
      <c r="L251" s="2"/>
      <c r="M251" s="2"/>
      <c r="N251" s="2"/>
      <c r="O251" s="2">
        <f t="shared" si="176"/>
        <v>46.29</v>
      </c>
      <c r="P251" s="2">
        <f t="shared" si="177"/>
        <v>46.29</v>
      </c>
      <c r="Q251" s="2">
        <f>(ROUND((ROUND(((ET251)*AV251*I251),2)*BB251),2)+ROUND((ROUND(((AE251-(EU251))*AV251*I251),2)*BS251),2))</f>
        <v>0</v>
      </c>
      <c r="R251" s="2">
        <f t="shared" si="179"/>
        <v>0</v>
      </c>
      <c r="S251" s="2">
        <f t="shared" si="180"/>
        <v>0</v>
      </c>
      <c r="T251" s="2">
        <f t="shared" si="181"/>
        <v>0</v>
      </c>
      <c r="U251" s="2">
        <f t="shared" si="182"/>
        <v>0</v>
      </c>
      <c r="V251" s="2">
        <f t="shared" si="183"/>
        <v>0</v>
      </c>
      <c r="W251" s="2">
        <f t="shared" si="184"/>
        <v>0</v>
      </c>
      <c r="X251" s="2">
        <f t="shared" si="185"/>
        <v>0</v>
      </c>
      <c r="Y251" s="2">
        <f t="shared" si="186"/>
        <v>0</v>
      </c>
      <c r="Z251" s="2"/>
      <c r="AA251" s="2">
        <v>56622523</v>
      </c>
      <c r="AB251" s="2">
        <f t="shared" si="187"/>
        <v>296.7</v>
      </c>
      <c r="AC251" s="2">
        <f t="shared" si="188"/>
        <v>296.7</v>
      </c>
      <c r="AD251" s="2">
        <f>ROUND((((ET251)-(EU251))+AE251),6)</f>
        <v>0</v>
      </c>
      <c r="AE251" s="2">
        <f>ROUND((EU251),6)</f>
        <v>0</v>
      </c>
      <c r="AF251" s="2">
        <f>ROUND((EV251),6)</f>
        <v>0</v>
      </c>
      <c r="AG251" s="2">
        <f t="shared" si="191"/>
        <v>0</v>
      </c>
      <c r="AH251" s="2">
        <f>(EW251)</f>
        <v>0</v>
      </c>
      <c r="AI251" s="2">
        <f>(EX251)</f>
        <v>0</v>
      </c>
      <c r="AJ251" s="2">
        <f t="shared" si="193"/>
        <v>0</v>
      </c>
      <c r="AK251" s="2">
        <v>296.7</v>
      </c>
      <c r="AL251" s="2">
        <v>296.7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161</v>
      </c>
      <c r="AU251" s="2">
        <v>107</v>
      </c>
      <c r="AV251" s="2">
        <v>1.0469999999999999</v>
      </c>
      <c r="AW251" s="2">
        <v>1</v>
      </c>
      <c r="AX251" s="2"/>
      <c r="AY251" s="2"/>
      <c r="AZ251" s="2">
        <v>1</v>
      </c>
      <c r="BA251" s="2">
        <v>1</v>
      </c>
      <c r="BB251" s="2">
        <v>1</v>
      </c>
      <c r="BC251" s="2">
        <v>1</v>
      </c>
      <c r="BD251" s="2" t="s">
        <v>3</v>
      </c>
      <c r="BE251" s="2" t="s">
        <v>3</v>
      </c>
      <c r="BF251" s="2" t="s">
        <v>3</v>
      </c>
      <c r="BG251" s="2" t="s">
        <v>3</v>
      </c>
      <c r="BH251" s="2">
        <v>3</v>
      </c>
      <c r="BI251" s="2">
        <v>1</v>
      </c>
      <c r="BJ251" s="2" t="s">
        <v>331</v>
      </c>
      <c r="BK251" s="2"/>
      <c r="BL251" s="2"/>
      <c r="BM251" s="2">
        <v>158</v>
      </c>
      <c r="BN251" s="2">
        <v>0</v>
      </c>
      <c r="BO251" s="2" t="s">
        <v>3</v>
      </c>
      <c r="BP251" s="2">
        <v>0</v>
      </c>
      <c r="BQ251" s="2">
        <v>30</v>
      </c>
      <c r="BR251" s="2">
        <v>0</v>
      </c>
      <c r="BS251" s="2">
        <v>1</v>
      </c>
      <c r="BT251" s="2">
        <v>1</v>
      </c>
      <c r="BU251" s="2">
        <v>1</v>
      </c>
      <c r="BV251" s="2">
        <v>1</v>
      </c>
      <c r="BW251" s="2">
        <v>1</v>
      </c>
      <c r="BX251" s="2">
        <v>1</v>
      </c>
      <c r="BY251" s="2" t="s">
        <v>3</v>
      </c>
      <c r="BZ251" s="2">
        <v>161</v>
      </c>
      <c r="CA251" s="2">
        <v>107</v>
      </c>
      <c r="CB251" s="2" t="s">
        <v>3</v>
      </c>
      <c r="CC251" s="2"/>
      <c r="CD251" s="2"/>
      <c r="CE251" s="2">
        <v>30</v>
      </c>
      <c r="CF251" s="2">
        <v>0</v>
      </c>
      <c r="CG251" s="2">
        <v>0</v>
      </c>
      <c r="CH251" s="2"/>
      <c r="CI251" s="2"/>
      <c r="CJ251" s="2"/>
      <c r="CK251" s="2"/>
      <c r="CL251" s="2"/>
      <c r="CM251" s="2">
        <v>0</v>
      </c>
      <c r="CN251" s="2" t="s">
        <v>689</v>
      </c>
      <c r="CO251" s="2">
        <v>0</v>
      </c>
      <c r="CP251" s="2">
        <f t="shared" si="194"/>
        <v>46.29</v>
      </c>
      <c r="CQ251" s="2">
        <f t="shared" si="195"/>
        <v>296.7</v>
      </c>
      <c r="CR251" s="2">
        <f>(ROUND((ROUND(((ET251)*AV251*1),2)*BB251),2)+ROUND((ROUND(((AE251-(EU251))*AV251*1),2)*BS251),2))</f>
        <v>0</v>
      </c>
      <c r="CS251" s="2">
        <f t="shared" si="197"/>
        <v>0</v>
      </c>
      <c r="CT251" s="2">
        <f t="shared" si="198"/>
        <v>0</v>
      </c>
      <c r="CU251" s="2">
        <f t="shared" si="199"/>
        <v>0</v>
      </c>
      <c r="CV251" s="2">
        <f t="shared" si="200"/>
        <v>0</v>
      </c>
      <c r="CW251" s="2">
        <f t="shared" si="201"/>
        <v>0</v>
      </c>
      <c r="CX251" s="2">
        <f t="shared" si="202"/>
        <v>0</v>
      </c>
      <c r="CY251" s="2">
        <f>((S251*BZ251)/100)</f>
        <v>0</v>
      </c>
      <c r="CZ251" s="2">
        <f>((S251*CA251)/100)</f>
        <v>0</v>
      </c>
      <c r="DA251" s="2"/>
      <c r="DB251" s="2"/>
      <c r="DC251" s="2" t="s">
        <v>3</v>
      </c>
      <c r="DD251" s="2" t="s">
        <v>3</v>
      </c>
      <c r="DE251" s="2" t="s">
        <v>3</v>
      </c>
      <c r="DF251" s="2" t="s">
        <v>3</v>
      </c>
      <c r="DG251" s="2" t="s">
        <v>3</v>
      </c>
      <c r="DH251" s="2" t="s">
        <v>3</v>
      </c>
      <c r="DI251" s="2" t="s">
        <v>3</v>
      </c>
      <c r="DJ251" s="2" t="s">
        <v>3</v>
      </c>
      <c r="DK251" s="2" t="s">
        <v>3</v>
      </c>
      <c r="DL251" s="2" t="s">
        <v>3</v>
      </c>
      <c r="DM251" s="2" t="s">
        <v>3</v>
      </c>
      <c r="DN251" s="2">
        <v>0</v>
      </c>
      <c r="DO251" s="2">
        <v>0</v>
      </c>
      <c r="DP251" s="2">
        <v>1</v>
      </c>
      <c r="DQ251" s="2">
        <v>1</v>
      </c>
      <c r="DR251" s="2"/>
      <c r="DS251" s="2"/>
      <c r="DT251" s="2"/>
      <c r="DU251" s="2">
        <v>1009</v>
      </c>
      <c r="DV251" s="2" t="s">
        <v>330</v>
      </c>
      <c r="DW251" s="2" t="s">
        <v>330</v>
      </c>
      <c r="DX251" s="2">
        <v>1000</v>
      </c>
      <c r="DY251" s="2"/>
      <c r="DZ251" s="2" t="s">
        <v>3</v>
      </c>
      <c r="EA251" s="2" t="s">
        <v>3</v>
      </c>
      <c r="EB251" s="2" t="s">
        <v>3</v>
      </c>
      <c r="EC251" s="2" t="s">
        <v>3</v>
      </c>
      <c r="ED251" s="2"/>
      <c r="EE251" s="2">
        <v>51696197</v>
      </c>
      <c r="EF251" s="2">
        <v>30</v>
      </c>
      <c r="EG251" s="2" t="s">
        <v>23</v>
      </c>
      <c r="EH251" s="2">
        <v>0</v>
      </c>
      <c r="EI251" s="2" t="s">
        <v>3</v>
      </c>
      <c r="EJ251" s="2">
        <v>1</v>
      </c>
      <c r="EK251" s="2">
        <v>158</v>
      </c>
      <c r="EL251" s="2" t="s">
        <v>325</v>
      </c>
      <c r="EM251" s="2" t="s">
        <v>326</v>
      </c>
      <c r="EN251" s="2"/>
      <c r="EO251" s="2" t="s">
        <v>26</v>
      </c>
      <c r="EP251" s="2"/>
      <c r="EQ251" s="2">
        <v>0</v>
      </c>
      <c r="ER251" s="2">
        <v>296.7</v>
      </c>
      <c r="ES251" s="2">
        <v>296.7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>
        <v>0</v>
      </c>
      <c r="FR251" s="2">
        <v>0</v>
      </c>
      <c r="FS251" s="2">
        <v>0</v>
      </c>
      <c r="FT251" s="2"/>
      <c r="FU251" s="2"/>
      <c r="FV251" s="2"/>
      <c r="FW251" s="2"/>
      <c r="FX251" s="2">
        <v>161</v>
      </c>
      <c r="FY251" s="2">
        <v>107</v>
      </c>
      <c r="FZ251" s="2"/>
      <c r="GA251" s="2" t="s">
        <v>3</v>
      </c>
      <c r="GB251" s="2"/>
      <c r="GC251" s="2"/>
      <c r="GD251" s="2">
        <v>0</v>
      </c>
      <c r="GE251" s="2"/>
      <c r="GF251" s="2">
        <v>1855215121</v>
      </c>
      <c r="GG251" s="2">
        <v>2</v>
      </c>
      <c r="GH251" s="2">
        <v>1</v>
      </c>
      <c r="GI251" s="2">
        <v>-2</v>
      </c>
      <c r="GJ251" s="2">
        <v>0</v>
      </c>
      <c r="GK251" s="2">
        <f>ROUND(R251*(R12)/100,2)</f>
        <v>0</v>
      </c>
      <c r="GL251" s="2">
        <f t="shared" si="203"/>
        <v>0</v>
      </c>
      <c r="GM251" s="2">
        <f t="shared" si="204"/>
        <v>46.29</v>
      </c>
      <c r="GN251" s="2">
        <f t="shared" si="205"/>
        <v>46.29</v>
      </c>
      <c r="GO251" s="2">
        <f t="shared" si="206"/>
        <v>0</v>
      </c>
      <c r="GP251" s="2">
        <f t="shared" si="207"/>
        <v>0</v>
      </c>
      <c r="GQ251" s="2"/>
      <c r="GR251" s="2">
        <v>0</v>
      </c>
      <c r="GS251" s="2">
        <v>0</v>
      </c>
      <c r="GT251" s="2">
        <v>0</v>
      </c>
      <c r="GU251" s="2" t="s">
        <v>3</v>
      </c>
      <c r="GV251" s="2">
        <f t="shared" si="208"/>
        <v>0</v>
      </c>
      <c r="GW251" s="2">
        <v>1</v>
      </c>
      <c r="GX251" s="2">
        <f t="shared" si="209"/>
        <v>0</v>
      </c>
      <c r="GY251" s="2"/>
      <c r="GZ251" s="2"/>
      <c r="HA251" s="2">
        <v>0</v>
      </c>
      <c r="HB251" s="2">
        <v>0</v>
      </c>
      <c r="HC251" s="2">
        <f t="shared" si="210"/>
        <v>0</v>
      </c>
      <c r="HD251" s="2"/>
      <c r="HE251" s="2" t="s">
        <v>3</v>
      </c>
      <c r="HF251" s="2" t="s">
        <v>3</v>
      </c>
      <c r="HG251" s="2"/>
      <c r="HH251" s="2"/>
      <c r="HI251" s="2"/>
      <c r="HJ251" s="2"/>
      <c r="HK251" s="2"/>
      <c r="HL251" s="2"/>
      <c r="HM251" s="2" t="s">
        <v>340</v>
      </c>
      <c r="HN251" s="2" t="s">
        <v>3</v>
      </c>
      <c r="HO251" s="2" t="s">
        <v>3</v>
      </c>
      <c r="HP251" s="2" t="s">
        <v>3</v>
      </c>
      <c r="HQ251" s="2" t="s">
        <v>3</v>
      </c>
      <c r="HR251" s="2"/>
      <c r="HS251" s="2">
        <v>0</v>
      </c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>
        <v>0</v>
      </c>
      <c r="IL251" s="2"/>
      <c r="IM251" s="2"/>
      <c r="IN251" s="2"/>
      <c r="IO251" s="2"/>
      <c r="IP251" s="2"/>
      <c r="IQ251" s="2"/>
      <c r="IR251" s="2"/>
      <c r="IS251" s="2"/>
      <c r="IT251" s="2"/>
      <c r="IU251" s="2"/>
    </row>
    <row r="252" spans="1:255" x14ac:dyDescent="0.2">
      <c r="A252">
        <v>18</v>
      </c>
      <c r="B252">
        <v>1</v>
      </c>
      <c r="C252">
        <v>186</v>
      </c>
      <c r="E252" t="s">
        <v>339</v>
      </c>
      <c r="F252" t="s">
        <v>328</v>
      </c>
      <c r="G252" t="s">
        <v>329</v>
      </c>
      <c r="H252" t="s">
        <v>330</v>
      </c>
      <c r="I252">
        <f>I250*J252</f>
        <v>0.15599999999999997</v>
      </c>
      <c r="J252">
        <v>11.999999999999998</v>
      </c>
      <c r="K252">
        <v>2.4</v>
      </c>
      <c r="O252">
        <f t="shared" si="176"/>
        <v>712.4</v>
      </c>
      <c r="P252">
        <f t="shared" si="177"/>
        <v>712.4</v>
      </c>
      <c r="Q252">
        <f>(ROUND((ROUND(((ET252)*AV252*I252),2)*BB252),2)+ROUND((ROUND(((AE252-(EU252))*AV252*I252),2)*BS252),2))</f>
        <v>0</v>
      </c>
      <c r="R252">
        <f t="shared" si="179"/>
        <v>0</v>
      </c>
      <c r="S252">
        <f t="shared" si="180"/>
        <v>0</v>
      </c>
      <c r="T252">
        <f t="shared" si="181"/>
        <v>0</v>
      </c>
      <c r="U252">
        <f t="shared" si="182"/>
        <v>0</v>
      </c>
      <c r="V252">
        <f t="shared" si="183"/>
        <v>0</v>
      </c>
      <c r="W252">
        <f t="shared" si="184"/>
        <v>0</v>
      </c>
      <c r="X252">
        <f t="shared" si="185"/>
        <v>0</v>
      </c>
      <c r="Y252">
        <f t="shared" si="186"/>
        <v>0</v>
      </c>
      <c r="AA252">
        <v>56611490</v>
      </c>
      <c r="AB252">
        <f t="shared" si="187"/>
        <v>296.7</v>
      </c>
      <c r="AC252">
        <f t="shared" si="188"/>
        <v>296.7</v>
      </c>
      <c r="AD252">
        <f>ROUND((((ET252)-(EU252))+AE252),6)</f>
        <v>0</v>
      </c>
      <c r="AE252">
        <f>ROUND((EU252),6)</f>
        <v>0</v>
      </c>
      <c r="AF252">
        <f>ROUND((EV252),6)</f>
        <v>0</v>
      </c>
      <c r="AG252">
        <f t="shared" si="191"/>
        <v>0</v>
      </c>
      <c r="AH252">
        <f>(EW252)</f>
        <v>0</v>
      </c>
      <c r="AI252">
        <f>(EX252)</f>
        <v>0</v>
      </c>
      <c r="AJ252">
        <f t="shared" si="193"/>
        <v>0</v>
      </c>
      <c r="AK252">
        <v>296.7</v>
      </c>
      <c r="AL252">
        <v>296.7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1</v>
      </c>
      <c r="AZ252">
        <v>1</v>
      </c>
      <c r="BA252">
        <v>1</v>
      </c>
      <c r="BB252">
        <v>1</v>
      </c>
      <c r="BC252">
        <v>15.39</v>
      </c>
      <c r="BD252" t="s">
        <v>3</v>
      </c>
      <c r="BE252" t="s">
        <v>3</v>
      </c>
      <c r="BF252" t="s">
        <v>3</v>
      </c>
      <c r="BG252" t="s">
        <v>3</v>
      </c>
      <c r="BH252">
        <v>3</v>
      </c>
      <c r="BI252">
        <v>1</v>
      </c>
      <c r="BJ252" t="s">
        <v>331</v>
      </c>
      <c r="BM252">
        <v>158</v>
      </c>
      <c r="BN252">
        <v>0</v>
      </c>
      <c r="BO252" t="s">
        <v>328</v>
      </c>
      <c r="BP252">
        <v>1</v>
      </c>
      <c r="BQ252">
        <v>30</v>
      </c>
      <c r="BR252">
        <v>0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 t="s">
        <v>3</v>
      </c>
      <c r="BZ252">
        <v>0</v>
      </c>
      <c r="CA252">
        <v>0</v>
      </c>
      <c r="CB252" t="s">
        <v>3</v>
      </c>
      <c r="CE252">
        <v>30</v>
      </c>
      <c r="CF252">
        <v>0</v>
      </c>
      <c r="CG252">
        <v>0</v>
      </c>
      <c r="CM252">
        <v>0</v>
      </c>
      <c r="CN252" t="s">
        <v>689</v>
      </c>
      <c r="CO252">
        <v>0</v>
      </c>
      <c r="CP252">
        <f t="shared" si="194"/>
        <v>712.4</v>
      </c>
      <c r="CQ252">
        <f t="shared" si="195"/>
        <v>4566.21</v>
      </c>
      <c r="CR252">
        <f>(ROUND((ROUND(((ET252)*AV252*1),2)*BB252),2)+ROUND((ROUND(((AE252-(EU252))*AV252*1),2)*BS252),2))</f>
        <v>0</v>
      </c>
      <c r="CS252">
        <f t="shared" si="197"/>
        <v>0</v>
      </c>
      <c r="CT252">
        <f t="shared" si="198"/>
        <v>0</v>
      </c>
      <c r="CU252">
        <f t="shared" si="199"/>
        <v>0</v>
      </c>
      <c r="CV252">
        <f t="shared" si="200"/>
        <v>0</v>
      </c>
      <c r="CW252">
        <f t="shared" si="201"/>
        <v>0</v>
      </c>
      <c r="CX252">
        <f t="shared" si="202"/>
        <v>0</v>
      </c>
      <c r="CY252">
        <f>S252*(BZ252/100)</f>
        <v>0</v>
      </c>
      <c r="CZ252">
        <f>S252*(CA252/100)</f>
        <v>0</v>
      </c>
      <c r="DC252" t="s">
        <v>3</v>
      </c>
      <c r="DD252" t="s">
        <v>3</v>
      </c>
      <c r="DE252" t="s">
        <v>3</v>
      </c>
      <c r="DF252" t="s">
        <v>3</v>
      </c>
      <c r="DG252" t="s">
        <v>3</v>
      </c>
      <c r="DH252" t="s">
        <v>3</v>
      </c>
      <c r="DI252" t="s">
        <v>3</v>
      </c>
      <c r="DJ252" t="s">
        <v>3</v>
      </c>
      <c r="DK252" t="s">
        <v>3</v>
      </c>
      <c r="DL252" t="s">
        <v>3</v>
      </c>
      <c r="DM252" t="s">
        <v>3</v>
      </c>
      <c r="DN252">
        <v>161</v>
      </c>
      <c r="DO252">
        <v>107</v>
      </c>
      <c r="DP252">
        <v>1.0469999999999999</v>
      </c>
      <c r="DQ252">
        <v>1</v>
      </c>
      <c r="DU252">
        <v>1009</v>
      </c>
      <c r="DV252" t="s">
        <v>330</v>
      </c>
      <c r="DW252" t="s">
        <v>330</v>
      </c>
      <c r="DX252">
        <v>1000</v>
      </c>
      <c r="DZ252" t="s">
        <v>3</v>
      </c>
      <c r="EA252" t="s">
        <v>3</v>
      </c>
      <c r="EB252" t="s">
        <v>3</v>
      </c>
      <c r="EC252" t="s">
        <v>3</v>
      </c>
      <c r="EE252">
        <v>51696197</v>
      </c>
      <c r="EF252">
        <v>30</v>
      </c>
      <c r="EG252" t="s">
        <v>23</v>
      </c>
      <c r="EH252">
        <v>0</v>
      </c>
      <c r="EI252" t="s">
        <v>3</v>
      </c>
      <c r="EJ252">
        <v>1</v>
      </c>
      <c r="EK252">
        <v>158</v>
      </c>
      <c r="EL252" t="s">
        <v>325</v>
      </c>
      <c r="EM252" t="s">
        <v>326</v>
      </c>
      <c r="EO252" t="s">
        <v>26</v>
      </c>
      <c r="EQ252">
        <v>0</v>
      </c>
      <c r="ER252">
        <v>296.7</v>
      </c>
      <c r="ES252">
        <v>296.7</v>
      </c>
      <c r="ET252">
        <v>0</v>
      </c>
      <c r="EU252">
        <v>0</v>
      </c>
      <c r="EV252">
        <v>0</v>
      </c>
      <c r="EW252">
        <v>0</v>
      </c>
      <c r="EX252">
        <v>0</v>
      </c>
      <c r="FQ252">
        <v>0</v>
      </c>
      <c r="FR252">
        <v>0</v>
      </c>
      <c r="FS252">
        <v>0</v>
      </c>
      <c r="FX252">
        <v>161</v>
      </c>
      <c r="FY252">
        <v>107</v>
      </c>
      <c r="GA252" t="s">
        <v>3</v>
      </c>
      <c r="GD252">
        <v>0</v>
      </c>
      <c r="GF252">
        <v>1855215121</v>
      </c>
      <c r="GG252">
        <v>2</v>
      </c>
      <c r="GH252">
        <v>1</v>
      </c>
      <c r="GI252">
        <v>2</v>
      </c>
      <c r="GJ252">
        <v>0</v>
      </c>
      <c r="GK252">
        <f>ROUND(R252*(S12)/100,2)</f>
        <v>0</v>
      </c>
      <c r="GL252">
        <f t="shared" si="203"/>
        <v>0</v>
      </c>
      <c r="GM252">
        <f t="shared" si="204"/>
        <v>712.4</v>
      </c>
      <c r="GN252">
        <f t="shared" si="205"/>
        <v>712.4</v>
      </c>
      <c r="GO252">
        <f t="shared" si="206"/>
        <v>0</v>
      </c>
      <c r="GP252">
        <f t="shared" si="207"/>
        <v>0</v>
      </c>
      <c r="GR252">
        <v>0</v>
      </c>
      <c r="GS252">
        <v>3</v>
      </c>
      <c r="GT252">
        <v>0</v>
      </c>
      <c r="GU252" t="s">
        <v>3</v>
      </c>
      <c r="GV252">
        <f t="shared" si="208"/>
        <v>0</v>
      </c>
      <c r="GW252">
        <v>1</v>
      </c>
      <c r="GX252">
        <f t="shared" si="209"/>
        <v>0</v>
      </c>
      <c r="HA252">
        <v>0</v>
      </c>
      <c r="HB252">
        <v>0</v>
      </c>
      <c r="HC252">
        <f t="shared" si="210"/>
        <v>0</v>
      </c>
      <c r="HE252" t="s">
        <v>3</v>
      </c>
      <c r="HF252" t="s">
        <v>3</v>
      </c>
      <c r="HM252" t="s">
        <v>340</v>
      </c>
      <c r="HN252" t="s">
        <v>3</v>
      </c>
      <c r="HO252" t="s">
        <v>3</v>
      </c>
      <c r="HP252" t="s">
        <v>3</v>
      </c>
      <c r="HQ252" t="s">
        <v>3</v>
      </c>
      <c r="HS252">
        <v>0</v>
      </c>
      <c r="IK252">
        <v>0</v>
      </c>
    </row>
    <row r="253" spans="1:255" x14ac:dyDescent="0.2">
      <c r="A253" s="2">
        <v>17</v>
      </c>
      <c r="B253" s="2">
        <v>1</v>
      </c>
      <c r="C253" s="2">
        <f>ROW(SmtRes!A187)</f>
        <v>187</v>
      </c>
      <c r="D253" s="2">
        <f>ROW(EtalonRes!A421)</f>
        <v>421</v>
      </c>
      <c r="E253" s="2" t="s">
        <v>341</v>
      </c>
      <c r="F253" s="2" t="s">
        <v>322</v>
      </c>
      <c r="G253" s="2" t="s">
        <v>323</v>
      </c>
      <c r="H253" s="2" t="s">
        <v>98</v>
      </c>
      <c r="I253" s="2">
        <f>ROUND(3.5/100,9)</f>
        <v>3.5000000000000003E-2</v>
      </c>
      <c r="J253" s="2">
        <v>0</v>
      </c>
      <c r="K253" s="2">
        <f>ROUND(3.5/100,9)</f>
        <v>3.5000000000000003E-2</v>
      </c>
      <c r="L253" s="2"/>
      <c r="M253" s="2"/>
      <c r="N253" s="2"/>
      <c r="O253" s="2">
        <f t="shared" si="176"/>
        <v>25.58</v>
      </c>
      <c r="P253" s="2">
        <f t="shared" si="177"/>
        <v>2.02</v>
      </c>
      <c r="Q253" s="2">
        <f>(ROUND((ROUND((((ET253*1.1))*AV253*I253),2)*BB253),2)+ROUND((ROUND(((AE253-((EU253*1.1)))*AV253*I253),2)*BS253),2))</f>
        <v>21.46</v>
      </c>
      <c r="R253" s="2">
        <f t="shared" si="179"/>
        <v>1.88</v>
      </c>
      <c r="S253" s="2">
        <f t="shared" si="180"/>
        <v>2.1</v>
      </c>
      <c r="T253" s="2">
        <f t="shared" si="181"/>
        <v>0</v>
      </c>
      <c r="U253" s="2">
        <f t="shared" si="182"/>
        <v>0.17292775500000002</v>
      </c>
      <c r="V253" s="2">
        <f t="shared" si="183"/>
        <v>0</v>
      </c>
      <c r="W253" s="2">
        <f t="shared" si="184"/>
        <v>0</v>
      </c>
      <c r="X253" s="2">
        <f t="shared" si="185"/>
        <v>3.38</v>
      </c>
      <c r="Y253" s="2">
        <f t="shared" si="186"/>
        <v>2.25</v>
      </c>
      <c r="Z253" s="2"/>
      <c r="AA253" s="2">
        <v>56622523</v>
      </c>
      <c r="AB253" s="2">
        <f t="shared" si="187"/>
        <v>700.80200000000002</v>
      </c>
      <c r="AC253" s="2">
        <f t="shared" si="188"/>
        <v>57.83</v>
      </c>
      <c r="AD253" s="2">
        <f>ROUND(((((ET253*1.1))-((EU253*1.1)))+AE253),6)</f>
        <v>585.58500000000004</v>
      </c>
      <c r="AE253" s="2">
        <f>ROUND(((EU253*1.1)),6)</f>
        <v>51.238</v>
      </c>
      <c r="AF253" s="2">
        <f>ROUND(((EV253*1.1)),6)</f>
        <v>57.387</v>
      </c>
      <c r="AG253" s="2">
        <f t="shared" si="191"/>
        <v>0</v>
      </c>
      <c r="AH253" s="2">
        <f>((EW253*1.1))</f>
        <v>4.7190000000000003</v>
      </c>
      <c r="AI253" s="2">
        <f>((EX253*1.1))</f>
        <v>0</v>
      </c>
      <c r="AJ253" s="2">
        <f t="shared" si="193"/>
        <v>0</v>
      </c>
      <c r="AK253" s="2">
        <v>642.35</v>
      </c>
      <c r="AL253" s="2">
        <v>57.83</v>
      </c>
      <c r="AM253" s="2">
        <v>532.35</v>
      </c>
      <c r="AN253" s="2">
        <v>46.58</v>
      </c>
      <c r="AO253" s="2">
        <v>52.17</v>
      </c>
      <c r="AP253" s="2">
        <v>0</v>
      </c>
      <c r="AQ253" s="2">
        <v>4.29</v>
      </c>
      <c r="AR253" s="2">
        <v>0</v>
      </c>
      <c r="AS253" s="2">
        <v>0</v>
      </c>
      <c r="AT253" s="2">
        <v>161</v>
      </c>
      <c r="AU253" s="2">
        <v>107</v>
      </c>
      <c r="AV253" s="2">
        <v>1.0469999999999999</v>
      </c>
      <c r="AW253" s="2">
        <v>1</v>
      </c>
      <c r="AX253" s="2"/>
      <c r="AY253" s="2"/>
      <c r="AZ253" s="2">
        <v>1</v>
      </c>
      <c r="BA253" s="2">
        <v>1</v>
      </c>
      <c r="BB253" s="2">
        <v>1</v>
      </c>
      <c r="BC253" s="2">
        <v>1</v>
      </c>
      <c r="BD253" s="2" t="s">
        <v>3</v>
      </c>
      <c r="BE253" s="2" t="s">
        <v>3</v>
      </c>
      <c r="BF253" s="2" t="s">
        <v>3</v>
      </c>
      <c r="BG253" s="2" t="s">
        <v>3</v>
      </c>
      <c r="BH253" s="2">
        <v>0</v>
      </c>
      <c r="BI253" s="2">
        <v>1</v>
      </c>
      <c r="BJ253" s="2" t="s">
        <v>324</v>
      </c>
      <c r="BK253" s="2"/>
      <c r="BL253" s="2"/>
      <c r="BM253" s="2">
        <v>158</v>
      </c>
      <c r="BN253" s="2">
        <v>0</v>
      </c>
      <c r="BO253" s="2" t="s">
        <v>3</v>
      </c>
      <c r="BP253" s="2">
        <v>0</v>
      </c>
      <c r="BQ253" s="2">
        <v>30</v>
      </c>
      <c r="BR253" s="2">
        <v>0</v>
      </c>
      <c r="BS253" s="2">
        <v>1</v>
      </c>
      <c r="BT253" s="2">
        <v>1</v>
      </c>
      <c r="BU253" s="2">
        <v>1</v>
      </c>
      <c r="BV253" s="2">
        <v>1</v>
      </c>
      <c r="BW253" s="2">
        <v>1</v>
      </c>
      <c r="BX253" s="2">
        <v>1</v>
      </c>
      <c r="BY253" s="2" t="s">
        <v>3</v>
      </c>
      <c r="BZ253" s="2">
        <v>161</v>
      </c>
      <c r="CA253" s="2">
        <v>107</v>
      </c>
      <c r="CB253" s="2" t="s">
        <v>3</v>
      </c>
      <c r="CC253" s="2"/>
      <c r="CD253" s="2"/>
      <c r="CE253" s="2">
        <v>30</v>
      </c>
      <c r="CF253" s="2">
        <v>0</v>
      </c>
      <c r="CG253" s="2">
        <v>0</v>
      </c>
      <c r="CH253" s="2"/>
      <c r="CI253" s="2"/>
      <c r="CJ253" s="2"/>
      <c r="CK253" s="2"/>
      <c r="CL253" s="2"/>
      <c r="CM253" s="2">
        <v>0</v>
      </c>
      <c r="CN253" s="2" t="s">
        <v>689</v>
      </c>
      <c r="CO253" s="2">
        <v>0</v>
      </c>
      <c r="CP253" s="2">
        <f t="shared" si="194"/>
        <v>25.580000000000002</v>
      </c>
      <c r="CQ253" s="2">
        <f t="shared" si="195"/>
        <v>57.83</v>
      </c>
      <c r="CR253" s="2">
        <f>(ROUND((ROUND((((ET253*1.1))*AV253*1),2)*BB253),2)+ROUND((ROUND(((AE253-((EU253*1.1)))*AV253*1),2)*BS253),2))</f>
        <v>613.11</v>
      </c>
      <c r="CS253" s="2">
        <f t="shared" si="197"/>
        <v>53.65</v>
      </c>
      <c r="CT253" s="2">
        <f t="shared" si="198"/>
        <v>60.08</v>
      </c>
      <c r="CU253" s="2">
        <f t="shared" si="199"/>
        <v>0</v>
      </c>
      <c r="CV253" s="2">
        <f t="shared" si="200"/>
        <v>4.9407930000000002</v>
      </c>
      <c r="CW253" s="2">
        <f t="shared" si="201"/>
        <v>0</v>
      </c>
      <c r="CX253" s="2">
        <f t="shared" si="202"/>
        <v>0</v>
      </c>
      <c r="CY253" s="2">
        <f>((S253*BZ253)/100)</f>
        <v>3.3810000000000002</v>
      </c>
      <c r="CZ253" s="2">
        <f>((S253*CA253)/100)</f>
        <v>2.2470000000000003</v>
      </c>
      <c r="DA253" s="2"/>
      <c r="DB253" s="2"/>
      <c r="DC253" s="2" t="s">
        <v>3</v>
      </c>
      <c r="DD253" s="2" t="s">
        <v>3</v>
      </c>
      <c r="DE253" s="2" t="s">
        <v>22</v>
      </c>
      <c r="DF253" s="2" t="s">
        <v>22</v>
      </c>
      <c r="DG253" s="2" t="s">
        <v>22</v>
      </c>
      <c r="DH253" s="2" t="s">
        <v>3</v>
      </c>
      <c r="DI253" s="2" t="s">
        <v>22</v>
      </c>
      <c r="DJ253" s="2" t="s">
        <v>22</v>
      </c>
      <c r="DK253" s="2" t="s">
        <v>3</v>
      </c>
      <c r="DL253" s="2" t="s">
        <v>3</v>
      </c>
      <c r="DM253" s="2" t="s">
        <v>3</v>
      </c>
      <c r="DN253" s="2">
        <v>0</v>
      </c>
      <c r="DO253" s="2">
        <v>0</v>
      </c>
      <c r="DP253" s="2">
        <v>1</v>
      </c>
      <c r="DQ253" s="2">
        <v>1</v>
      </c>
      <c r="DR253" s="2"/>
      <c r="DS253" s="2"/>
      <c r="DT253" s="2"/>
      <c r="DU253" s="2">
        <v>1013</v>
      </c>
      <c r="DV253" s="2" t="s">
        <v>98</v>
      </c>
      <c r="DW253" s="2" t="s">
        <v>98</v>
      </c>
      <c r="DX253" s="2">
        <v>1</v>
      </c>
      <c r="DY253" s="2"/>
      <c r="DZ253" s="2" t="s">
        <v>3</v>
      </c>
      <c r="EA253" s="2" t="s">
        <v>3</v>
      </c>
      <c r="EB253" s="2" t="s">
        <v>3</v>
      </c>
      <c r="EC253" s="2" t="s">
        <v>3</v>
      </c>
      <c r="ED253" s="2"/>
      <c r="EE253" s="2">
        <v>51696197</v>
      </c>
      <c r="EF253" s="2">
        <v>30</v>
      </c>
      <c r="EG253" s="2" t="s">
        <v>23</v>
      </c>
      <c r="EH253" s="2">
        <v>0</v>
      </c>
      <c r="EI253" s="2" t="s">
        <v>3</v>
      </c>
      <c r="EJ253" s="2">
        <v>1</v>
      </c>
      <c r="EK253" s="2">
        <v>158</v>
      </c>
      <c r="EL253" s="2" t="s">
        <v>325</v>
      </c>
      <c r="EM253" s="2" t="s">
        <v>326</v>
      </c>
      <c r="EN253" s="2"/>
      <c r="EO253" s="2" t="s">
        <v>26</v>
      </c>
      <c r="EP253" s="2"/>
      <c r="EQ253" s="2">
        <v>131072</v>
      </c>
      <c r="ER253" s="2">
        <v>642.35</v>
      </c>
      <c r="ES253" s="2">
        <v>57.83</v>
      </c>
      <c r="ET253" s="2">
        <v>532.35</v>
      </c>
      <c r="EU253" s="2">
        <v>46.58</v>
      </c>
      <c r="EV253" s="2">
        <v>52.17</v>
      </c>
      <c r="EW253" s="2">
        <v>4.29</v>
      </c>
      <c r="EX253" s="2">
        <v>0</v>
      </c>
      <c r="EY253" s="2">
        <v>0</v>
      </c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>
        <v>0</v>
      </c>
      <c r="FR253" s="2">
        <v>0</v>
      </c>
      <c r="FS253" s="2">
        <v>0</v>
      </c>
      <c r="FT253" s="2"/>
      <c r="FU253" s="2"/>
      <c r="FV253" s="2"/>
      <c r="FW253" s="2"/>
      <c r="FX253" s="2">
        <v>161</v>
      </c>
      <c r="FY253" s="2">
        <v>107</v>
      </c>
      <c r="FZ253" s="2"/>
      <c r="GA253" s="2" t="s">
        <v>3</v>
      </c>
      <c r="GB253" s="2"/>
      <c r="GC253" s="2"/>
      <c r="GD253" s="2">
        <v>0</v>
      </c>
      <c r="GE253" s="2"/>
      <c r="GF253" s="2">
        <v>-399398241</v>
      </c>
      <c r="GG253" s="2">
        <v>2</v>
      </c>
      <c r="GH253" s="2">
        <v>1</v>
      </c>
      <c r="GI253" s="2">
        <v>-2</v>
      </c>
      <c r="GJ253" s="2">
        <v>0</v>
      </c>
      <c r="GK253" s="2">
        <f>ROUND(R253*(R12)/100,2)</f>
        <v>3.29</v>
      </c>
      <c r="GL253" s="2">
        <f t="shared" si="203"/>
        <v>0</v>
      </c>
      <c r="GM253" s="2">
        <f t="shared" si="204"/>
        <v>34.5</v>
      </c>
      <c r="GN253" s="2">
        <f t="shared" si="205"/>
        <v>34.5</v>
      </c>
      <c r="GO253" s="2">
        <f t="shared" si="206"/>
        <v>0</v>
      </c>
      <c r="GP253" s="2">
        <f t="shared" si="207"/>
        <v>0</v>
      </c>
      <c r="GQ253" s="2"/>
      <c r="GR253" s="2">
        <v>0</v>
      </c>
      <c r="GS253" s="2">
        <v>0</v>
      </c>
      <c r="GT253" s="2">
        <v>0</v>
      </c>
      <c r="GU253" s="2" t="s">
        <v>3</v>
      </c>
      <c r="GV253" s="2">
        <f t="shared" si="208"/>
        <v>0</v>
      </c>
      <c r="GW253" s="2">
        <v>1</v>
      </c>
      <c r="GX253" s="2">
        <f t="shared" si="209"/>
        <v>0</v>
      </c>
      <c r="GY253" s="2"/>
      <c r="GZ253" s="2"/>
      <c r="HA253" s="2">
        <v>0</v>
      </c>
      <c r="HB253" s="2">
        <v>0</v>
      </c>
      <c r="HC253" s="2">
        <f t="shared" si="210"/>
        <v>0</v>
      </c>
      <c r="HD253" s="2"/>
      <c r="HE253" s="2" t="s">
        <v>3</v>
      </c>
      <c r="HF253" s="2" t="s">
        <v>3</v>
      </c>
      <c r="HG253" s="2"/>
      <c r="HH253" s="2"/>
      <c r="HI253" s="2"/>
      <c r="HJ253" s="2"/>
      <c r="HK253" s="2"/>
      <c r="HL253" s="2"/>
      <c r="HM253" s="2" t="s">
        <v>3</v>
      </c>
      <c r="HN253" s="2" t="s">
        <v>3</v>
      </c>
      <c r="HO253" s="2" t="s">
        <v>3</v>
      </c>
      <c r="HP253" s="2" t="s">
        <v>3</v>
      </c>
      <c r="HQ253" s="2" t="s">
        <v>3</v>
      </c>
      <c r="HR253" s="2"/>
      <c r="HS253" s="2">
        <v>0</v>
      </c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>
        <v>0</v>
      </c>
      <c r="IL253" s="2"/>
      <c r="IM253" s="2"/>
      <c r="IN253" s="2"/>
      <c r="IO253" s="2"/>
      <c r="IP253" s="2"/>
      <c r="IQ253" s="2"/>
      <c r="IR253" s="2"/>
      <c r="IS253" s="2"/>
      <c r="IT253" s="2"/>
      <c r="IU253" s="2"/>
    </row>
    <row r="254" spans="1:255" x14ac:dyDescent="0.2">
      <c r="A254">
        <v>17</v>
      </c>
      <c r="B254">
        <v>1</v>
      </c>
      <c r="C254">
        <f>ROW(SmtRes!A188)</f>
        <v>188</v>
      </c>
      <c r="D254">
        <f>ROW(EtalonRes!A432)</f>
        <v>432</v>
      </c>
      <c r="E254" t="s">
        <v>341</v>
      </c>
      <c r="F254" t="s">
        <v>322</v>
      </c>
      <c r="G254" t="s">
        <v>323</v>
      </c>
      <c r="H254" t="s">
        <v>98</v>
      </c>
      <c r="I254">
        <f>ROUND(3.5/100,9)</f>
        <v>3.5000000000000003E-2</v>
      </c>
      <c r="J254">
        <v>0</v>
      </c>
      <c r="K254">
        <f>ROUND(3.5/100,9)</f>
        <v>3.5000000000000003E-2</v>
      </c>
      <c r="O254">
        <f t="shared" si="176"/>
        <v>361.97</v>
      </c>
      <c r="P254">
        <f t="shared" si="177"/>
        <v>33.270000000000003</v>
      </c>
      <c r="Q254">
        <f>(ROUND((ROUND((((ET254*1.1))*AV254*I254),2)*BB254),2)+ROUND((ROUND(((AE254-((EU254*1.1)))*AV254*I254),2)*BS254),2))</f>
        <v>256.23</v>
      </c>
      <c r="R254">
        <f t="shared" si="179"/>
        <v>64.88</v>
      </c>
      <c r="S254">
        <f t="shared" si="180"/>
        <v>72.47</v>
      </c>
      <c r="T254">
        <f t="shared" si="181"/>
        <v>0</v>
      </c>
      <c r="U254">
        <f t="shared" si="182"/>
        <v>0.17292775500000002</v>
      </c>
      <c r="V254">
        <f t="shared" si="183"/>
        <v>0</v>
      </c>
      <c r="W254">
        <f t="shared" si="184"/>
        <v>0</v>
      </c>
      <c r="X254">
        <f t="shared" si="185"/>
        <v>97.11</v>
      </c>
      <c r="Y254">
        <f t="shared" si="186"/>
        <v>39.86</v>
      </c>
      <c r="AA254">
        <v>56611490</v>
      </c>
      <c r="AB254">
        <f t="shared" si="187"/>
        <v>700.80200000000002</v>
      </c>
      <c r="AC254">
        <f t="shared" si="188"/>
        <v>57.83</v>
      </c>
      <c r="AD254">
        <f>ROUND(((((ET254*1.1))-((EU254*1.1)))+AE254),6)</f>
        <v>585.58500000000004</v>
      </c>
      <c r="AE254">
        <f>ROUND(((EU254*1.1)),6)</f>
        <v>51.238</v>
      </c>
      <c r="AF254">
        <f>ROUND(((EV254*1.1)),6)</f>
        <v>57.387</v>
      </c>
      <c r="AG254">
        <f t="shared" si="191"/>
        <v>0</v>
      </c>
      <c r="AH254">
        <f>((EW254*1.1))</f>
        <v>4.7190000000000003</v>
      </c>
      <c r="AI254">
        <f>((EX254*1.1))</f>
        <v>0</v>
      </c>
      <c r="AJ254">
        <f t="shared" si="193"/>
        <v>0</v>
      </c>
      <c r="AK254">
        <v>642.35</v>
      </c>
      <c r="AL254">
        <v>57.83</v>
      </c>
      <c r="AM254">
        <v>532.35</v>
      </c>
      <c r="AN254">
        <v>46.58</v>
      </c>
      <c r="AO254">
        <v>52.17</v>
      </c>
      <c r="AP254">
        <v>0</v>
      </c>
      <c r="AQ254">
        <v>4.29</v>
      </c>
      <c r="AR254">
        <v>0</v>
      </c>
      <c r="AS254">
        <v>0</v>
      </c>
      <c r="AT254">
        <v>134</v>
      </c>
      <c r="AU254">
        <v>55</v>
      </c>
      <c r="AV254">
        <v>1.0469999999999999</v>
      </c>
      <c r="AW254">
        <v>1</v>
      </c>
      <c r="AZ254">
        <v>1</v>
      </c>
      <c r="BA254">
        <v>34.51</v>
      </c>
      <c r="BB254">
        <v>11.94</v>
      </c>
      <c r="BC254">
        <v>16.47</v>
      </c>
      <c r="BD254" t="s">
        <v>3</v>
      </c>
      <c r="BE254" t="s">
        <v>3</v>
      </c>
      <c r="BF254" t="s">
        <v>3</v>
      </c>
      <c r="BG254" t="s">
        <v>3</v>
      </c>
      <c r="BH254">
        <v>0</v>
      </c>
      <c r="BI254">
        <v>1</v>
      </c>
      <c r="BJ254" t="s">
        <v>324</v>
      </c>
      <c r="BM254">
        <v>158</v>
      </c>
      <c r="BN254">
        <v>0</v>
      </c>
      <c r="BO254" t="s">
        <v>322</v>
      </c>
      <c r="BP254">
        <v>1</v>
      </c>
      <c r="BQ254">
        <v>30</v>
      </c>
      <c r="BR254">
        <v>0</v>
      </c>
      <c r="BS254">
        <v>34.51</v>
      </c>
      <c r="BT254">
        <v>1</v>
      </c>
      <c r="BU254">
        <v>1</v>
      </c>
      <c r="BV254">
        <v>1</v>
      </c>
      <c r="BW254">
        <v>1</v>
      </c>
      <c r="BX254">
        <v>1</v>
      </c>
      <c r="BY254" t="s">
        <v>3</v>
      </c>
      <c r="BZ254">
        <v>134</v>
      </c>
      <c r="CA254">
        <v>55</v>
      </c>
      <c r="CB254" t="s">
        <v>3</v>
      </c>
      <c r="CE254">
        <v>30</v>
      </c>
      <c r="CF254">
        <v>0</v>
      </c>
      <c r="CG254">
        <v>0</v>
      </c>
      <c r="CM254">
        <v>0</v>
      </c>
      <c r="CN254" t="s">
        <v>689</v>
      </c>
      <c r="CO254">
        <v>0</v>
      </c>
      <c r="CP254">
        <f t="shared" si="194"/>
        <v>361.97</v>
      </c>
      <c r="CQ254">
        <f t="shared" si="195"/>
        <v>952.46</v>
      </c>
      <c r="CR254">
        <f>(ROUND((ROUND((((ET254*1.1))*AV254*1),2)*BB254),2)+ROUND((ROUND(((AE254-((EU254*1.1)))*AV254*1),2)*BS254),2))</f>
        <v>7320.53</v>
      </c>
      <c r="CS254">
        <f t="shared" si="197"/>
        <v>1851.46</v>
      </c>
      <c r="CT254">
        <f t="shared" si="198"/>
        <v>2073.36</v>
      </c>
      <c r="CU254">
        <f t="shared" si="199"/>
        <v>0</v>
      </c>
      <c r="CV254">
        <f t="shared" si="200"/>
        <v>4.9407930000000002</v>
      </c>
      <c r="CW254">
        <f t="shared" si="201"/>
        <v>0</v>
      </c>
      <c r="CX254">
        <f t="shared" si="202"/>
        <v>0</v>
      </c>
      <c r="CY254">
        <f>S254*(BZ254/100)</f>
        <v>97.109800000000007</v>
      </c>
      <c r="CZ254">
        <f>S254*(CA254/100)</f>
        <v>39.858499999999999</v>
      </c>
      <c r="DC254" t="s">
        <v>3</v>
      </c>
      <c r="DD254" t="s">
        <v>3</v>
      </c>
      <c r="DE254" t="s">
        <v>22</v>
      </c>
      <c r="DF254" t="s">
        <v>22</v>
      </c>
      <c r="DG254" t="s">
        <v>22</v>
      </c>
      <c r="DH254" t="s">
        <v>3</v>
      </c>
      <c r="DI254" t="s">
        <v>22</v>
      </c>
      <c r="DJ254" t="s">
        <v>22</v>
      </c>
      <c r="DK254" t="s">
        <v>3</v>
      </c>
      <c r="DL254" t="s">
        <v>3</v>
      </c>
      <c r="DM254" t="s">
        <v>3</v>
      </c>
      <c r="DN254">
        <v>161</v>
      </c>
      <c r="DO254">
        <v>107</v>
      </c>
      <c r="DP254">
        <v>1.0469999999999999</v>
      </c>
      <c r="DQ254">
        <v>1</v>
      </c>
      <c r="DU254">
        <v>1013</v>
      </c>
      <c r="DV254" t="s">
        <v>98</v>
      </c>
      <c r="DW254" t="s">
        <v>98</v>
      </c>
      <c r="DX254">
        <v>1</v>
      </c>
      <c r="DZ254" t="s">
        <v>3</v>
      </c>
      <c r="EA254" t="s">
        <v>3</v>
      </c>
      <c r="EB254" t="s">
        <v>3</v>
      </c>
      <c r="EC254" t="s">
        <v>3</v>
      </c>
      <c r="EE254">
        <v>51696197</v>
      </c>
      <c r="EF254">
        <v>30</v>
      </c>
      <c r="EG254" t="s">
        <v>23</v>
      </c>
      <c r="EH254">
        <v>0</v>
      </c>
      <c r="EI254" t="s">
        <v>3</v>
      </c>
      <c r="EJ254">
        <v>1</v>
      </c>
      <c r="EK254">
        <v>158</v>
      </c>
      <c r="EL254" t="s">
        <v>325</v>
      </c>
      <c r="EM254" t="s">
        <v>326</v>
      </c>
      <c r="EO254" t="s">
        <v>26</v>
      </c>
      <c r="EQ254">
        <v>131072</v>
      </c>
      <c r="ER254">
        <v>642.35</v>
      </c>
      <c r="ES254">
        <v>57.83</v>
      </c>
      <c r="ET254">
        <v>532.35</v>
      </c>
      <c r="EU254">
        <v>46.58</v>
      </c>
      <c r="EV254">
        <v>52.17</v>
      </c>
      <c r="EW254">
        <v>4.29</v>
      </c>
      <c r="EX254">
        <v>0</v>
      </c>
      <c r="EY254">
        <v>0</v>
      </c>
      <c r="FQ254">
        <v>0</v>
      </c>
      <c r="FR254">
        <v>0</v>
      </c>
      <c r="FS254">
        <v>0</v>
      </c>
      <c r="FX254">
        <v>161</v>
      </c>
      <c r="FY254">
        <v>107</v>
      </c>
      <c r="GA254" t="s">
        <v>3</v>
      </c>
      <c r="GD254">
        <v>0</v>
      </c>
      <c r="GF254">
        <v>-399398241</v>
      </c>
      <c r="GG254">
        <v>2</v>
      </c>
      <c r="GH254">
        <v>1</v>
      </c>
      <c r="GI254">
        <v>2</v>
      </c>
      <c r="GJ254">
        <v>0</v>
      </c>
      <c r="GK254">
        <f>ROUND(R254*(S12)/100,2)</f>
        <v>103.81</v>
      </c>
      <c r="GL254">
        <f t="shared" si="203"/>
        <v>0</v>
      </c>
      <c r="GM254">
        <f t="shared" si="204"/>
        <v>602.75</v>
      </c>
      <c r="GN254">
        <f t="shared" si="205"/>
        <v>602.75</v>
      </c>
      <c r="GO254">
        <f t="shared" si="206"/>
        <v>0</v>
      </c>
      <c r="GP254">
        <f t="shared" si="207"/>
        <v>0</v>
      </c>
      <c r="GR254">
        <v>0</v>
      </c>
      <c r="GS254">
        <v>3</v>
      </c>
      <c r="GT254">
        <v>0</v>
      </c>
      <c r="GU254" t="s">
        <v>3</v>
      </c>
      <c r="GV254">
        <f t="shared" si="208"/>
        <v>0</v>
      </c>
      <c r="GW254">
        <v>1</v>
      </c>
      <c r="GX254">
        <f t="shared" si="209"/>
        <v>0</v>
      </c>
      <c r="HA254">
        <v>0</v>
      </c>
      <c r="HB254">
        <v>0</v>
      </c>
      <c r="HC254">
        <f t="shared" si="210"/>
        <v>0</v>
      </c>
      <c r="HE254" t="s">
        <v>3</v>
      </c>
      <c r="HF254" t="s">
        <v>3</v>
      </c>
      <c r="HM254" t="s">
        <v>3</v>
      </c>
      <c r="HN254" t="s">
        <v>3</v>
      </c>
      <c r="HO254" t="s">
        <v>3</v>
      </c>
      <c r="HP254" t="s">
        <v>3</v>
      </c>
      <c r="HQ254" t="s">
        <v>3</v>
      </c>
      <c r="HS254">
        <v>0</v>
      </c>
      <c r="IK254">
        <v>0</v>
      </c>
    </row>
    <row r="255" spans="1:255" x14ac:dyDescent="0.2">
      <c r="A255" s="2">
        <v>18</v>
      </c>
      <c r="B255" s="2">
        <v>1</v>
      </c>
      <c r="C255" s="2">
        <v>187</v>
      </c>
      <c r="D255" s="2"/>
      <c r="E255" s="2" t="s">
        <v>342</v>
      </c>
      <c r="F255" s="2" t="s">
        <v>343</v>
      </c>
      <c r="G255" s="2" t="s">
        <v>344</v>
      </c>
      <c r="H255" s="2" t="s">
        <v>330</v>
      </c>
      <c r="I255" s="2">
        <f>I253*J255</f>
        <v>0.33810000000000001</v>
      </c>
      <c r="J255" s="2">
        <v>9.66</v>
      </c>
      <c r="K255" s="2">
        <v>9.66</v>
      </c>
      <c r="L255" s="2"/>
      <c r="M255" s="2"/>
      <c r="N255" s="2"/>
      <c r="O255" s="2">
        <f t="shared" si="176"/>
        <v>104</v>
      </c>
      <c r="P255" s="2">
        <f t="shared" si="177"/>
        <v>104</v>
      </c>
      <c r="Q255" s="2">
        <f>(ROUND((ROUND(((ET255)*AV255*I255),2)*BB255),2)+ROUND((ROUND(((AE255-(EU255))*AV255*I255),2)*BS255),2))</f>
        <v>0</v>
      </c>
      <c r="R255" s="2">
        <f t="shared" si="179"/>
        <v>0</v>
      </c>
      <c r="S255" s="2">
        <f t="shared" si="180"/>
        <v>0</v>
      </c>
      <c r="T255" s="2">
        <f t="shared" si="181"/>
        <v>0</v>
      </c>
      <c r="U255" s="2">
        <f t="shared" si="182"/>
        <v>0</v>
      </c>
      <c r="V255" s="2">
        <f t="shared" si="183"/>
        <v>0</v>
      </c>
      <c r="W255" s="2">
        <f t="shared" si="184"/>
        <v>0</v>
      </c>
      <c r="X255" s="2">
        <f t="shared" si="185"/>
        <v>0</v>
      </c>
      <c r="Y255" s="2">
        <f t="shared" si="186"/>
        <v>0</v>
      </c>
      <c r="Z255" s="2"/>
      <c r="AA255" s="2">
        <v>56622523</v>
      </c>
      <c r="AB255" s="2">
        <f t="shared" si="187"/>
        <v>307.58999999999997</v>
      </c>
      <c r="AC255" s="2">
        <f t="shared" si="188"/>
        <v>307.58999999999997</v>
      </c>
      <c r="AD255" s="2">
        <f>ROUND((((ET255)-(EU255))+AE255),6)</f>
        <v>0</v>
      </c>
      <c r="AE255" s="2">
        <f>ROUND((EU255),6)</f>
        <v>0</v>
      </c>
      <c r="AF255" s="2">
        <f>ROUND((EV255),6)</f>
        <v>0</v>
      </c>
      <c r="AG255" s="2">
        <f t="shared" si="191"/>
        <v>0</v>
      </c>
      <c r="AH255" s="2">
        <f>(EW255)</f>
        <v>0</v>
      </c>
      <c r="AI255" s="2">
        <f>(EX255)</f>
        <v>0</v>
      </c>
      <c r="AJ255" s="2">
        <f t="shared" si="193"/>
        <v>0</v>
      </c>
      <c r="AK255" s="2">
        <v>307.58999999999997</v>
      </c>
      <c r="AL255" s="2">
        <v>307.58999999999997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161</v>
      </c>
      <c r="AU255" s="2">
        <v>107</v>
      </c>
      <c r="AV255" s="2">
        <v>1.0469999999999999</v>
      </c>
      <c r="AW255" s="2">
        <v>1</v>
      </c>
      <c r="AX255" s="2"/>
      <c r="AY255" s="2"/>
      <c r="AZ255" s="2">
        <v>1</v>
      </c>
      <c r="BA255" s="2">
        <v>1</v>
      </c>
      <c r="BB255" s="2">
        <v>1</v>
      </c>
      <c r="BC255" s="2">
        <v>1</v>
      </c>
      <c r="BD255" s="2" t="s">
        <v>3</v>
      </c>
      <c r="BE255" s="2" t="s">
        <v>3</v>
      </c>
      <c r="BF255" s="2" t="s">
        <v>3</v>
      </c>
      <c r="BG255" s="2" t="s">
        <v>3</v>
      </c>
      <c r="BH255" s="2">
        <v>3</v>
      </c>
      <c r="BI255" s="2">
        <v>1</v>
      </c>
      <c r="BJ255" s="2" t="s">
        <v>345</v>
      </c>
      <c r="BK255" s="2"/>
      <c r="BL255" s="2"/>
      <c r="BM255" s="2">
        <v>158</v>
      </c>
      <c r="BN255" s="2">
        <v>0</v>
      </c>
      <c r="BO255" s="2" t="s">
        <v>3</v>
      </c>
      <c r="BP255" s="2">
        <v>0</v>
      </c>
      <c r="BQ255" s="2">
        <v>30</v>
      </c>
      <c r="BR255" s="2">
        <v>0</v>
      </c>
      <c r="BS255" s="2">
        <v>1</v>
      </c>
      <c r="BT255" s="2">
        <v>1</v>
      </c>
      <c r="BU255" s="2">
        <v>1</v>
      </c>
      <c r="BV255" s="2">
        <v>1</v>
      </c>
      <c r="BW255" s="2">
        <v>1</v>
      </c>
      <c r="BX255" s="2">
        <v>1</v>
      </c>
      <c r="BY255" s="2" t="s">
        <v>3</v>
      </c>
      <c r="BZ255" s="2">
        <v>161</v>
      </c>
      <c r="CA255" s="2">
        <v>107</v>
      </c>
      <c r="CB255" s="2" t="s">
        <v>3</v>
      </c>
      <c r="CC255" s="2"/>
      <c r="CD255" s="2"/>
      <c r="CE255" s="2">
        <v>30</v>
      </c>
      <c r="CF255" s="2">
        <v>0</v>
      </c>
      <c r="CG255" s="2">
        <v>0</v>
      </c>
      <c r="CH255" s="2"/>
      <c r="CI255" s="2"/>
      <c r="CJ255" s="2"/>
      <c r="CK255" s="2"/>
      <c r="CL255" s="2"/>
      <c r="CM255" s="2">
        <v>0</v>
      </c>
      <c r="CN255" s="2" t="s">
        <v>3</v>
      </c>
      <c r="CO255" s="2">
        <v>0</v>
      </c>
      <c r="CP255" s="2">
        <f t="shared" si="194"/>
        <v>104</v>
      </c>
      <c r="CQ255" s="2">
        <f t="shared" si="195"/>
        <v>307.58999999999997</v>
      </c>
      <c r="CR255" s="2">
        <f>(ROUND((ROUND(((ET255)*AV255*1),2)*BB255),2)+ROUND((ROUND(((AE255-(EU255))*AV255*1),2)*BS255),2))</f>
        <v>0</v>
      </c>
      <c r="CS255" s="2">
        <f t="shared" si="197"/>
        <v>0</v>
      </c>
      <c r="CT255" s="2">
        <f t="shared" si="198"/>
        <v>0</v>
      </c>
      <c r="CU255" s="2">
        <f t="shared" si="199"/>
        <v>0</v>
      </c>
      <c r="CV255" s="2">
        <f t="shared" si="200"/>
        <v>0</v>
      </c>
      <c r="CW255" s="2">
        <f t="shared" si="201"/>
        <v>0</v>
      </c>
      <c r="CX255" s="2">
        <f t="shared" si="202"/>
        <v>0</v>
      </c>
      <c r="CY255" s="2">
        <f>((S255*BZ255)/100)</f>
        <v>0</v>
      </c>
      <c r="CZ255" s="2">
        <f>((S255*CA255)/100)</f>
        <v>0</v>
      </c>
      <c r="DA255" s="2"/>
      <c r="DB255" s="2"/>
      <c r="DC255" s="2" t="s">
        <v>3</v>
      </c>
      <c r="DD255" s="2" t="s">
        <v>3</v>
      </c>
      <c r="DE255" s="2" t="s">
        <v>3</v>
      </c>
      <c r="DF255" s="2" t="s">
        <v>3</v>
      </c>
      <c r="DG255" s="2" t="s">
        <v>3</v>
      </c>
      <c r="DH255" s="2" t="s">
        <v>3</v>
      </c>
      <c r="DI255" s="2" t="s">
        <v>3</v>
      </c>
      <c r="DJ255" s="2" t="s">
        <v>3</v>
      </c>
      <c r="DK255" s="2" t="s">
        <v>3</v>
      </c>
      <c r="DL255" s="2" t="s">
        <v>3</v>
      </c>
      <c r="DM255" s="2" t="s">
        <v>3</v>
      </c>
      <c r="DN255" s="2">
        <v>0</v>
      </c>
      <c r="DO255" s="2">
        <v>0</v>
      </c>
      <c r="DP255" s="2">
        <v>1</v>
      </c>
      <c r="DQ255" s="2">
        <v>1</v>
      </c>
      <c r="DR255" s="2"/>
      <c r="DS255" s="2"/>
      <c r="DT255" s="2"/>
      <c r="DU255" s="2">
        <v>1009</v>
      </c>
      <c r="DV255" s="2" t="s">
        <v>330</v>
      </c>
      <c r="DW255" s="2" t="s">
        <v>330</v>
      </c>
      <c r="DX255" s="2">
        <v>1000</v>
      </c>
      <c r="DY255" s="2"/>
      <c r="DZ255" s="2" t="s">
        <v>3</v>
      </c>
      <c r="EA255" s="2" t="s">
        <v>3</v>
      </c>
      <c r="EB255" s="2" t="s">
        <v>3</v>
      </c>
      <c r="EC255" s="2" t="s">
        <v>3</v>
      </c>
      <c r="ED255" s="2"/>
      <c r="EE255" s="2">
        <v>51696197</v>
      </c>
      <c r="EF255" s="2">
        <v>30</v>
      </c>
      <c r="EG255" s="2" t="s">
        <v>23</v>
      </c>
      <c r="EH255" s="2">
        <v>0</v>
      </c>
      <c r="EI255" s="2" t="s">
        <v>3</v>
      </c>
      <c r="EJ255" s="2">
        <v>1</v>
      </c>
      <c r="EK255" s="2">
        <v>158</v>
      </c>
      <c r="EL255" s="2" t="s">
        <v>325</v>
      </c>
      <c r="EM255" s="2" t="s">
        <v>326</v>
      </c>
      <c r="EN255" s="2"/>
      <c r="EO255" s="2" t="s">
        <v>3</v>
      </c>
      <c r="EP255" s="2"/>
      <c r="EQ255" s="2">
        <v>0</v>
      </c>
      <c r="ER255" s="2">
        <v>307.58999999999997</v>
      </c>
      <c r="ES255" s="2">
        <v>307.58999999999997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>
        <v>0</v>
      </c>
      <c r="FR255" s="2">
        <v>0</v>
      </c>
      <c r="FS255" s="2">
        <v>0</v>
      </c>
      <c r="FT255" s="2"/>
      <c r="FU255" s="2"/>
      <c r="FV255" s="2"/>
      <c r="FW255" s="2"/>
      <c r="FX255" s="2">
        <v>161</v>
      </c>
      <c r="FY255" s="2">
        <v>107</v>
      </c>
      <c r="FZ255" s="2"/>
      <c r="GA255" s="2" t="s">
        <v>3</v>
      </c>
      <c r="GB255" s="2"/>
      <c r="GC255" s="2"/>
      <c r="GD255" s="2">
        <v>0</v>
      </c>
      <c r="GE255" s="2"/>
      <c r="GF255" s="2">
        <v>-1899420918</v>
      </c>
      <c r="GG255" s="2">
        <v>2</v>
      </c>
      <c r="GH255" s="2">
        <v>1</v>
      </c>
      <c r="GI255" s="2">
        <v>-2</v>
      </c>
      <c r="GJ255" s="2">
        <v>0</v>
      </c>
      <c r="GK255" s="2">
        <f>ROUND(R255*(R12)/100,2)</f>
        <v>0</v>
      </c>
      <c r="GL255" s="2">
        <f t="shared" si="203"/>
        <v>0</v>
      </c>
      <c r="GM255" s="2">
        <f t="shared" si="204"/>
        <v>104</v>
      </c>
      <c r="GN255" s="2">
        <f t="shared" si="205"/>
        <v>104</v>
      </c>
      <c r="GO255" s="2">
        <f t="shared" si="206"/>
        <v>0</v>
      </c>
      <c r="GP255" s="2">
        <f t="shared" si="207"/>
        <v>0</v>
      </c>
      <c r="GQ255" s="2"/>
      <c r="GR255" s="2">
        <v>0</v>
      </c>
      <c r="GS255" s="2">
        <v>0</v>
      </c>
      <c r="GT255" s="2">
        <v>0</v>
      </c>
      <c r="GU255" s="2" t="s">
        <v>3</v>
      </c>
      <c r="GV255" s="2">
        <f t="shared" si="208"/>
        <v>0</v>
      </c>
      <c r="GW255" s="2">
        <v>1</v>
      </c>
      <c r="GX255" s="2">
        <f t="shared" si="209"/>
        <v>0</v>
      </c>
      <c r="GY255" s="2"/>
      <c r="GZ255" s="2"/>
      <c r="HA255" s="2">
        <v>0</v>
      </c>
      <c r="HB255" s="2">
        <v>0</v>
      </c>
      <c r="HC255" s="2">
        <f t="shared" si="210"/>
        <v>0</v>
      </c>
      <c r="HD255" s="2"/>
      <c r="HE255" s="2" t="s">
        <v>3</v>
      </c>
      <c r="HF255" s="2" t="s">
        <v>3</v>
      </c>
      <c r="HG255" s="2"/>
      <c r="HH255" s="2"/>
      <c r="HI255" s="2"/>
      <c r="HJ255" s="2"/>
      <c r="HK255" s="2"/>
      <c r="HL255" s="2"/>
      <c r="HM255" s="2" t="s">
        <v>3</v>
      </c>
      <c r="HN255" s="2" t="s">
        <v>3</v>
      </c>
      <c r="HO255" s="2" t="s">
        <v>3</v>
      </c>
      <c r="HP255" s="2" t="s">
        <v>3</v>
      </c>
      <c r="HQ255" s="2" t="s">
        <v>3</v>
      </c>
      <c r="HR255" s="2"/>
      <c r="HS255" s="2">
        <v>0</v>
      </c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>
        <v>0</v>
      </c>
      <c r="IL255" s="2"/>
      <c r="IM255" s="2"/>
      <c r="IN255" s="2"/>
      <c r="IO255" s="2"/>
      <c r="IP255" s="2"/>
      <c r="IQ255" s="2"/>
      <c r="IR255" s="2"/>
      <c r="IS255" s="2"/>
      <c r="IT255" s="2"/>
      <c r="IU255" s="2"/>
    </row>
    <row r="256" spans="1:255" x14ac:dyDescent="0.2">
      <c r="A256">
        <v>18</v>
      </c>
      <c r="B256">
        <v>1</v>
      </c>
      <c r="C256">
        <v>188</v>
      </c>
      <c r="E256" t="s">
        <v>342</v>
      </c>
      <c r="F256" t="s">
        <v>343</v>
      </c>
      <c r="G256" t="s">
        <v>344</v>
      </c>
      <c r="H256" t="s">
        <v>330</v>
      </c>
      <c r="I256">
        <f>I254*J256</f>
        <v>0.33810000000000001</v>
      </c>
      <c r="J256">
        <v>9.66</v>
      </c>
      <c r="K256">
        <v>9.66</v>
      </c>
      <c r="O256">
        <f t="shared" si="176"/>
        <v>1593.28</v>
      </c>
      <c r="P256">
        <f t="shared" si="177"/>
        <v>1593.28</v>
      </c>
      <c r="Q256">
        <f>(ROUND((ROUND(((ET256)*AV256*I256),2)*BB256),2)+ROUND((ROUND(((AE256-(EU256))*AV256*I256),2)*BS256),2))</f>
        <v>0</v>
      </c>
      <c r="R256">
        <f t="shared" si="179"/>
        <v>0</v>
      </c>
      <c r="S256">
        <f t="shared" si="180"/>
        <v>0</v>
      </c>
      <c r="T256">
        <f t="shared" si="181"/>
        <v>0</v>
      </c>
      <c r="U256">
        <f t="shared" si="182"/>
        <v>0</v>
      </c>
      <c r="V256">
        <f t="shared" si="183"/>
        <v>0</v>
      </c>
      <c r="W256">
        <f t="shared" si="184"/>
        <v>0</v>
      </c>
      <c r="X256">
        <f t="shared" si="185"/>
        <v>0</v>
      </c>
      <c r="Y256">
        <f t="shared" si="186"/>
        <v>0</v>
      </c>
      <c r="AA256">
        <v>56611490</v>
      </c>
      <c r="AB256">
        <f t="shared" si="187"/>
        <v>307.58999999999997</v>
      </c>
      <c r="AC256">
        <f t="shared" si="188"/>
        <v>307.58999999999997</v>
      </c>
      <c r="AD256">
        <f>ROUND((((ET256)-(EU256))+AE256),6)</f>
        <v>0</v>
      </c>
      <c r="AE256">
        <f>ROUND((EU256),6)</f>
        <v>0</v>
      </c>
      <c r="AF256">
        <f>ROUND((EV256),6)</f>
        <v>0</v>
      </c>
      <c r="AG256">
        <f t="shared" si="191"/>
        <v>0</v>
      </c>
      <c r="AH256">
        <f>(EW256)</f>
        <v>0</v>
      </c>
      <c r="AI256">
        <f>(EX256)</f>
        <v>0</v>
      </c>
      <c r="AJ256">
        <f t="shared" si="193"/>
        <v>0</v>
      </c>
      <c r="AK256">
        <v>307.58999999999997</v>
      </c>
      <c r="AL256">
        <v>307.58999999999997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1</v>
      </c>
      <c r="AZ256">
        <v>1</v>
      </c>
      <c r="BA256">
        <v>1</v>
      </c>
      <c r="BB256">
        <v>1</v>
      </c>
      <c r="BC256">
        <v>15.32</v>
      </c>
      <c r="BD256" t="s">
        <v>3</v>
      </c>
      <c r="BE256" t="s">
        <v>3</v>
      </c>
      <c r="BF256" t="s">
        <v>3</v>
      </c>
      <c r="BG256" t="s">
        <v>3</v>
      </c>
      <c r="BH256">
        <v>3</v>
      </c>
      <c r="BI256">
        <v>1</v>
      </c>
      <c r="BJ256" t="s">
        <v>345</v>
      </c>
      <c r="BM256">
        <v>158</v>
      </c>
      <c r="BN256">
        <v>0</v>
      </c>
      <c r="BO256" t="s">
        <v>343</v>
      </c>
      <c r="BP256">
        <v>1</v>
      </c>
      <c r="BQ256">
        <v>30</v>
      </c>
      <c r="BR256">
        <v>0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 t="s">
        <v>3</v>
      </c>
      <c r="BZ256">
        <v>0</v>
      </c>
      <c r="CA256">
        <v>0</v>
      </c>
      <c r="CB256" t="s">
        <v>3</v>
      </c>
      <c r="CE256">
        <v>30</v>
      </c>
      <c r="CF256">
        <v>0</v>
      </c>
      <c r="CG256">
        <v>0</v>
      </c>
      <c r="CM256">
        <v>0</v>
      </c>
      <c r="CN256" t="s">
        <v>3</v>
      </c>
      <c r="CO256">
        <v>0</v>
      </c>
      <c r="CP256">
        <f t="shared" si="194"/>
        <v>1593.28</v>
      </c>
      <c r="CQ256">
        <f t="shared" si="195"/>
        <v>4712.28</v>
      </c>
      <c r="CR256">
        <f>(ROUND((ROUND(((ET256)*AV256*1),2)*BB256),2)+ROUND((ROUND(((AE256-(EU256))*AV256*1),2)*BS256),2))</f>
        <v>0</v>
      </c>
      <c r="CS256">
        <f t="shared" si="197"/>
        <v>0</v>
      </c>
      <c r="CT256">
        <f t="shared" si="198"/>
        <v>0</v>
      </c>
      <c r="CU256">
        <f t="shared" si="199"/>
        <v>0</v>
      </c>
      <c r="CV256">
        <f t="shared" si="200"/>
        <v>0</v>
      </c>
      <c r="CW256">
        <f t="shared" si="201"/>
        <v>0</v>
      </c>
      <c r="CX256">
        <f t="shared" si="202"/>
        <v>0</v>
      </c>
      <c r="CY256">
        <f>S256*(BZ256/100)</f>
        <v>0</v>
      </c>
      <c r="CZ256">
        <f>S256*(CA256/100)</f>
        <v>0</v>
      </c>
      <c r="DC256" t="s">
        <v>3</v>
      </c>
      <c r="DD256" t="s">
        <v>3</v>
      </c>
      <c r="DE256" t="s">
        <v>3</v>
      </c>
      <c r="DF256" t="s">
        <v>3</v>
      </c>
      <c r="DG256" t="s">
        <v>3</v>
      </c>
      <c r="DH256" t="s">
        <v>3</v>
      </c>
      <c r="DI256" t="s">
        <v>3</v>
      </c>
      <c r="DJ256" t="s">
        <v>3</v>
      </c>
      <c r="DK256" t="s">
        <v>3</v>
      </c>
      <c r="DL256" t="s">
        <v>3</v>
      </c>
      <c r="DM256" t="s">
        <v>3</v>
      </c>
      <c r="DN256">
        <v>161</v>
      </c>
      <c r="DO256">
        <v>107</v>
      </c>
      <c r="DP256">
        <v>1.0469999999999999</v>
      </c>
      <c r="DQ256">
        <v>1</v>
      </c>
      <c r="DU256">
        <v>1009</v>
      </c>
      <c r="DV256" t="s">
        <v>330</v>
      </c>
      <c r="DW256" t="s">
        <v>330</v>
      </c>
      <c r="DX256">
        <v>1000</v>
      </c>
      <c r="DZ256" t="s">
        <v>3</v>
      </c>
      <c r="EA256" t="s">
        <v>3</v>
      </c>
      <c r="EB256" t="s">
        <v>3</v>
      </c>
      <c r="EC256" t="s">
        <v>3</v>
      </c>
      <c r="EE256">
        <v>51696197</v>
      </c>
      <c r="EF256">
        <v>30</v>
      </c>
      <c r="EG256" t="s">
        <v>23</v>
      </c>
      <c r="EH256">
        <v>0</v>
      </c>
      <c r="EI256" t="s">
        <v>3</v>
      </c>
      <c r="EJ256">
        <v>1</v>
      </c>
      <c r="EK256">
        <v>158</v>
      </c>
      <c r="EL256" t="s">
        <v>325</v>
      </c>
      <c r="EM256" t="s">
        <v>326</v>
      </c>
      <c r="EO256" t="s">
        <v>3</v>
      </c>
      <c r="EQ256">
        <v>0</v>
      </c>
      <c r="ER256">
        <v>307.58999999999997</v>
      </c>
      <c r="ES256">
        <v>307.58999999999997</v>
      </c>
      <c r="ET256">
        <v>0</v>
      </c>
      <c r="EU256">
        <v>0</v>
      </c>
      <c r="EV256">
        <v>0</v>
      </c>
      <c r="EW256">
        <v>0</v>
      </c>
      <c r="EX256">
        <v>0</v>
      </c>
      <c r="FQ256">
        <v>0</v>
      </c>
      <c r="FR256">
        <v>0</v>
      </c>
      <c r="FS256">
        <v>0</v>
      </c>
      <c r="FX256">
        <v>161</v>
      </c>
      <c r="FY256">
        <v>107</v>
      </c>
      <c r="GA256" t="s">
        <v>3</v>
      </c>
      <c r="GD256">
        <v>0</v>
      </c>
      <c r="GF256">
        <v>-1899420918</v>
      </c>
      <c r="GG256">
        <v>2</v>
      </c>
      <c r="GH256">
        <v>1</v>
      </c>
      <c r="GI256">
        <v>2</v>
      </c>
      <c r="GJ256">
        <v>0</v>
      </c>
      <c r="GK256">
        <f>ROUND(R256*(S12)/100,2)</f>
        <v>0</v>
      </c>
      <c r="GL256">
        <f t="shared" si="203"/>
        <v>0</v>
      </c>
      <c r="GM256">
        <f t="shared" si="204"/>
        <v>1593.28</v>
      </c>
      <c r="GN256">
        <f t="shared" si="205"/>
        <v>1593.28</v>
      </c>
      <c r="GO256">
        <f t="shared" si="206"/>
        <v>0</v>
      </c>
      <c r="GP256">
        <f t="shared" si="207"/>
        <v>0</v>
      </c>
      <c r="GR256">
        <v>0</v>
      </c>
      <c r="GS256">
        <v>3</v>
      </c>
      <c r="GT256">
        <v>0</v>
      </c>
      <c r="GU256" t="s">
        <v>3</v>
      </c>
      <c r="GV256">
        <f t="shared" si="208"/>
        <v>0</v>
      </c>
      <c r="GW256">
        <v>1</v>
      </c>
      <c r="GX256">
        <f t="shared" si="209"/>
        <v>0</v>
      </c>
      <c r="HA256">
        <v>0</v>
      </c>
      <c r="HB256">
        <v>0</v>
      </c>
      <c r="HC256">
        <f t="shared" si="210"/>
        <v>0</v>
      </c>
      <c r="HE256" t="s">
        <v>3</v>
      </c>
      <c r="HF256" t="s">
        <v>3</v>
      </c>
      <c r="HM256" t="s">
        <v>3</v>
      </c>
      <c r="HN256" t="s">
        <v>3</v>
      </c>
      <c r="HO256" t="s">
        <v>3</v>
      </c>
      <c r="HP256" t="s">
        <v>3</v>
      </c>
      <c r="HQ256" t="s">
        <v>3</v>
      </c>
      <c r="HS256">
        <v>0</v>
      </c>
      <c r="IK256">
        <v>0</v>
      </c>
    </row>
    <row r="258" spans="1:206" x14ac:dyDescent="0.2">
      <c r="A258" s="3">
        <v>51</v>
      </c>
      <c r="B258" s="3">
        <f>B219</f>
        <v>1</v>
      </c>
      <c r="C258" s="3">
        <f>A219</f>
        <v>5</v>
      </c>
      <c r="D258" s="3">
        <f>ROW(A219)</f>
        <v>219</v>
      </c>
      <c r="E258" s="3"/>
      <c r="F258" s="3" t="str">
        <f>IF(F219&lt;&gt;"",F219,"")</f>
        <v>Новый подраздел</v>
      </c>
      <c r="G258" s="3" t="str">
        <f>IF(G219&lt;&gt;"",G219,"")</f>
        <v>Дорога</v>
      </c>
      <c r="H258" s="3">
        <v>0</v>
      </c>
      <c r="I258" s="3"/>
      <c r="J258" s="3"/>
      <c r="K258" s="3"/>
      <c r="L258" s="3"/>
      <c r="M258" s="3"/>
      <c r="N258" s="3"/>
      <c r="O258" s="3">
        <f t="shared" ref="O258:T258" si="211">ROUND(AB258,2)</f>
        <v>497.15</v>
      </c>
      <c r="P258" s="3">
        <f t="shared" si="211"/>
        <v>405.38</v>
      </c>
      <c r="Q258" s="3">
        <f t="shared" si="211"/>
        <v>74.52</v>
      </c>
      <c r="R258" s="3">
        <f t="shared" si="211"/>
        <v>8.51</v>
      </c>
      <c r="S258" s="3">
        <f t="shared" si="211"/>
        <v>17.25</v>
      </c>
      <c r="T258" s="3">
        <f t="shared" si="211"/>
        <v>0</v>
      </c>
      <c r="U258" s="3">
        <f>AH258</f>
        <v>1.5016164042</v>
      </c>
      <c r="V258" s="3">
        <f>AI258</f>
        <v>0</v>
      </c>
      <c r="W258" s="3">
        <f>ROUND(AJ258,2)</f>
        <v>0</v>
      </c>
      <c r="X258" s="3">
        <f>ROUND(AK258,2)</f>
        <v>21.62</v>
      </c>
      <c r="Y258" s="3">
        <f>ROUND(AL258,2)</f>
        <v>14.51</v>
      </c>
      <c r="Z258" s="3"/>
      <c r="AA258" s="3"/>
      <c r="AB258" s="3">
        <f>ROUND(SUMIF(AA223:AA256,"=56622523",O223:O256),2)</f>
        <v>497.15</v>
      </c>
      <c r="AC258" s="3">
        <f>ROUND(SUMIF(AA223:AA256,"=56622523",P223:P256),2)</f>
        <v>405.38</v>
      </c>
      <c r="AD258" s="3">
        <f>ROUND(SUMIF(AA223:AA256,"=56622523",Q223:Q256),2)</f>
        <v>74.52</v>
      </c>
      <c r="AE258" s="3">
        <f>ROUND(SUMIF(AA223:AA256,"=56622523",R223:R256),2)</f>
        <v>8.51</v>
      </c>
      <c r="AF258" s="3">
        <f>ROUND(SUMIF(AA223:AA256,"=56622523",S223:S256),2)</f>
        <v>17.25</v>
      </c>
      <c r="AG258" s="3">
        <f>ROUND(SUMIF(AA223:AA256,"=56622523",T223:T256),2)</f>
        <v>0</v>
      </c>
      <c r="AH258" s="3">
        <f>SUMIF(AA223:AA256,"=56622523",U223:U256)</f>
        <v>1.5016164042</v>
      </c>
      <c r="AI258" s="3">
        <f>SUMIF(AA223:AA256,"=56622523",V223:V256)</f>
        <v>0</v>
      </c>
      <c r="AJ258" s="3">
        <f>ROUND(SUMIF(AA223:AA256,"=56622523",W223:W256),2)</f>
        <v>0</v>
      </c>
      <c r="AK258" s="3">
        <f>ROUND(SUMIF(AA223:AA256,"=56622523",X223:X256),2)</f>
        <v>21.62</v>
      </c>
      <c r="AL258" s="3">
        <f>ROUND(SUMIF(AA223:AA256,"=56622523",Y223:Y256),2)</f>
        <v>14.51</v>
      </c>
      <c r="AM258" s="3"/>
      <c r="AN258" s="3"/>
      <c r="AO258" s="3">
        <f t="shared" ref="AO258:BD258" si="212">ROUND(BX258,2)</f>
        <v>0</v>
      </c>
      <c r="AP258" s="3">
        <f t="shared" si="212"/>
        <v>0</v>
      </c>
      <c r="AQ258" s="3">
        <f t="shared" si="212"/>
        <v>0</v>
      </c>
      <c r="AR258" s="3">
        <f t="shared" si="212"/>
        <v>548.19000000000005</v>
      </c>
      <c r="AS258" s="3">
        <f t="shared" si="212"/>
        <v>548.19000000000005</v>
      </c>
      <c r="AT258" s="3">
        <f t="shared" si="212"/>
        <v>0</v>
      </c>
      <c r="AU258" s="3">
        <f t="shared" si="212"/>
        <v>0</v>
      </c>
      <c r="AV258" s="3">
        <f t="shared" si="212"/>
        <v>405.38</v>
      </c>
      <c r="AW258" s="3">
        <f t="shared" si="212"/>
        <v>405.38</v>
      </c>
      <c r="AX258" s="3">
        <f t="shared" si="212"/>
        <v>0</v>
      </c>
      <c r="AY258" s="3">
        <f t="shared" si="212"/>
        <v>405.38</v>
      </c>
      <c r="AZ258" s="3">
        <f t="shared" si="212"/>
        <v>0</v>
      </c>
      <c r="BA258" s="3">
        <f t="shared" si="212"/>
        <v>0</v>
      </c>
      <c r="BB258" s="3">
        <f t="shared" si="212"/>
        <v>0</v>
      </c>
      <c r="BC258" s="3">
        <f t="shared" si="212"/>
        <v>0</v>
      </c>
      <c r="BD258" s="3">
        <f t="shared" si="212"/>
        <v>0</v>
      </c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>
        <f>ROUND(SUMIF(AA223:AA256,"=56622523",FQ223:FQ256),2)</f>
        <v>0</v>
      </c>
      <c r="BY258" s="3">
        <f>ROUND(SUMIF(AA223:AA256,"=56622523",FR223:FR256),2)</f>
        <v>0</v>
      </c>
      <c r="BZ258" s="3">
        <f>ROUND(SUMIF(AA223:AA256,"=56622523",GL223:GL256),2)</f>
        <v>0</v>
      </c>
      <c r="CA258" s="3">
        <f>ROUND(SUMIF(AA223:AA256,"=56622523",GM223:GM256),2)</f>
        <v>548.19000000000005</v>
      </c>
      <c r="CB258" s="3">
        <f>ROUND(SUMIF(AA223:AA256,"=56622523",GN223:GN256),2)</f>
        <v>548.19000000000005</v>
      </c>
      <c r="CC258" s="3">
        <f>ROUND(SUMIF(AA223:AA256,"=56622523",GO223:GO256),2)</f>
        <v>0</v>
      </c>
      <c r="CD258" s="3">
        <f>ROUND(SUMIF(AA223:AA256,"=56622523",GP223:GP256),2)</f>
        <v>0</v>
      </c>
      <c r="CE258" s="3">
        <f>AC258-BX258</f>
        <v>405.38</v>
      </c>
      <c r="CF258" s="3">
        <f>AC258-BY258</f>
        <v>405.38</v>
      </c>
      <c r="CG258" s="3">
        <f>BX258-BZ258</f>
        <v>0</v>
      </c>
      <c r="CH258" s="3">
        <f>AC258-BX258-BY258+BZ258</f>
        <v>405.38</v>
      </c>
      <c r="CI258" s="3">
        <f>BY258-BZ258</f>
        <v>0</v>
      </c>
      <c r="CJ258" s="3">
        <f>ROUND(SUMIF(AA223:AA256,"=56622523",GX223:GX256),2)</f>
        <v>0</v>
      </c>
      <c r="CK258" s="3">
        <f>ROUND(SUMIF(AA223:AA256,"=56622523",GY223:GY256),2)</f>
        <v>0</v>
      </c>
      <c r="CL258" s="3">
        <f>ROUND(SUMIF(AA223:AA256,"=56622523",GZ223:GZ256),2)</f>
        <v>0</v>
      </c>
      <c r="CM258" s="3">
        <f>ROUND(SUMIF(AA223:AA256,"=56622523",HD223:HD256),2)</f>
        <v>0</v>
      </c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4">
        <f t="shared" ref="DG258:DL258" si="213">ROUND(DT258,2)</f>
        <v>6778.75</v>
      </c>
      <c r="DH258" s="4">
        <f t="shared" si="213"/>
        <v>5249.35</v>
      </c>
      <c r="DI258" s="4">
        <f t="shared" si="213"/>
        <v>934.09</v>
      </c>
      <c r="DJ258" s="4">
        <f t="shared" si="213"/>
        <v>293.69</v>
      </c>
      <c r="DK258" s="4">
        <f t="shared" si="213"/>
        <v>595.30999999999995</v>
      </c>
      <c r="DL258" s="4">
        <f t="shared" si="213"/>
        <v>0</v>
      </c>
      <c r="DM258" s="4">
        <f>DZ258</f>
        <v>1.5016164042</v>
      </c>
      <c r="DN258" s="4">
        <f>EA258</f>
        <v>0</v>
      </c>
      <c r="DO258" s="4">
        <f>ROUND(EB258,2)</f>
        <v>0</v>
      </c>
      <c r="DP258" s="4">
        <f>ROUND(EC258,2)</f>
        <v>629.86</v>
      </c>
      <c r="DQ258" s="4">
        <f>ROUND(ED258,2)</f>
        <v>290.70999999999998</v>
      </c>
      <c r="DR258" s="4"/>
      <c r="DS258" s="4"/>
      <c r="DT258" s="4">
        <f>ROUND(SUMIF(AA223:AA256,"=56611490",O223:O256),2)</f>
        <v>6778.75</v>
      </c>
      <c r="DU258" s="4">
        <f>ROUND(SUMIF(AA223:AA256,"=56611490",P223:P256),2)</f>
        <v>5249.35</v>
      </c>
      <c r="DV258" s="4">
        <f>ROUND(SUMIF(AA223:AA256,"=56611490",Q223:Q256),2)</f>
        <v>934.09</v>
      </c>
      <c r="DW258" s="4">
        <f>ROUND(SUMIF(AA223:AA256,"=56611490",R223:R256),2)</f>
        <v>293.69</v>
      </c>
      <c r="DX258" s="4">
        <f>ROUND(SUMIF(AA223:AA256,"=56611490",S223:S256),2)</f>
        <v>595.30999999999995</v>
      </c>
      <c r="DY258" s="4">
        <f>ROUND(SUMIF(AA223:AA256,"=56611490",T223:T256),2)</f>
        <v>0</v>
      </c>
      <c r="DZ258" s="4">
        <f>SUMIF(AA223:AA256,"=56611490",U223:U256)</f>
        <v>1.5016164042</v>
      </c>
      <c r="EA258" s="4">
        <f>SUMIF(AA223:AA256,"=56611490",V223:V256)</f>
        <v>0</v>
      </c>
      <c r="EB258" s="4">
        <f>ROUND(SUMIF(AA223:AA256,"=56611490",W223:W256),2)</f>
        <v>0</v>
      </c>
      <c r="EC258" s="4">
        <f>ROUND(SUMIF(AA223:AA256,"=56611490",X223:X256),2)</f>
        <v>629.86</v>
      </c>
      <c r="ED258" s="4">
        <f>ROUND(SUMIF(AA223:AA256,"=56611490",Y223:Y256),2)</f>
        <v>290.70999999999998</v>
      </c>
      <c r="EE258" s="4"/>
      <c r="EF258" s="4"/>
      <c r="EG258" s="4">
        <f t="shared" ref="EG258:EV258" si="214">ROUND(FP258,2)</f>
        <v>0</v>
      </c>
      <c r="EH258" s="4">
        <f t="shared" si="214"/>
        <v>0</v>
      </c>
      <c r="EI258" s="4">
        <f t="shared" si="214"/>
        <v>0</v>
      </c>
      <c r="EJ258" s="4">
        <f t="shared" si="214"/>
        <v>8169.24</v>
      </c>
      <c r="EK258" s="4">
        <f t="shared" si="214"/>
        <v>8169.24</v>
      </c>
      <c r="EL258" s="4">
        <f t="shared" si="214"/>
        <v>0</v>
      </c>
      <c r="EM258" s="4">
        <f t="shared" si="214"/>
        <v>0</v>
      </c>
      <c r="EN258" s="4">
        <f t="shared" si="214"/>
        <v>5249.35</v>
      </c>
      <c r="EO258" s="4">
        <f t="shared" si="214"/>
        <v>5249.35</v>
      </c>
      <c r="EP258" s="4">
        <f t="shared" si="214"/>
        <v>0</v>
      </c>
      <c r="EQ258" s="4">
        <f t="shared" si="214"/>
        <v>5249.35</v>
      </c>
      <c r="ER258" s="4">
        <f t="shared" si="214"/>
        <v>0</v>
      </c>
      <c r="ES258" s="4">
        <f t="shared" si="214"/>
        <v>0</v>
      </c>
      <c r="ET258" s="4">
        <f t="shared" si="214"/>
        <v>0</v>
      </c>
      <c r="EU258" s="4">
        <f t="shared" si="214"/>
        <v>0</v>
      </c>
      <c r="EV258" s="4">
        <f t="shared" si="214"/>
        <v>0</v>
      </c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>
        <f>ROUND(SUMIF(AA223:AA256,"=56611490",FQ223:FQ256),2)</f>
        <v>0</v>
      </c>
      <c r="FQ258" s="4">
        <f>ROUND(SUMIF(AA223:AA256,"=56611490",FR223:FR256),2)</f>
        <v>0</v>
      </c>
      <c r="FR258" s="4">
        <f>ROUND(SUMIF(AA223:AA256,"=56611490",GL223:GL256),2)</f>
        <v>0</v>
      </c>
      <c r="FS258" s="4">
        <f>ROUND(SUMIF(AA223:AA256,"=56611490",GM223:GM256),2)</f>
        <v>8169.24</v>
      </c>
      <c r="FT258" s="4">
        <f>ROUND(SUMIF(AA223:AA256,"=56611490",GN223:GN256),2)</f>
        <v>8169.24</v>
      </c>
      <c r="FU258" s="4">
        <f>ROUND(SUMIF(AA223:AA256,"=56611490",GO223:GO256),2)</f>
        <v>0</v>
      </c>
      <c r="FV258" s="4">
        <f>ROUND(SUMIF(AA223:AA256,"=56611490",GP223:GP256),2)</f>
        <v>0</v>
      </c>
      <c r="FW258" s="4">
        <f>DU258-FP258</f>
        <v>5249.35</v>
      </c>
      <c r="FX258" s="4">
        <f>DU258-FQ258</f>
        <v>5249.35</v>
      </c>
      <c r="FY258" s="4">
        <f>FP258-FR258</f>
        <v>0</v>
      </c>
      <c r="FZ258" s="4">
        <f>DU258-FP258-FQ258+FR258</f>
        <v>5249.35</v>
      </c>
      <c r="GA258" s="4">
        <f>FQ258-FR258</f>
        <v>0</v>
      </c>
      <c r="GB258" s="4">
        <f>ROUND(SUMIF(AA223:AA256,"=56611490",GX223:GX256),2)</f>
        <v>0</v>
      </c>
      <c r="GC258" s="4">
        <f>ROUND(SUMIF(AA223:AA256,"=56611490",GY223:GY256),2)</f>
        <v>0</v>
      </c>
      <c r="GD258" s="4">
        <f>ROUND(SUMIF(AA223:AA256,"=56611490",GZ223:GZ256),2)</f>
        <v>0</v>
      </c>
      <c r="GE258" s="4">
        <f>ROUND(SUMIF(AA223:AA256,"=56611490",HD223:HD256),2)</f>
        <v>0</v>
      </c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>
        <v>0</v>
      </c>
    </row>
    <row r="260" spans="1:206" x14ac:dyDescent="0.2">
      <c r="A260" s="5">
        <v>50</v>
      </c>
      <c r="B260" s="5">
        <v>0</v>
      </c>
      <c r="C260" s="5">
        <v>0</v>
      </c>
      <c r="D260" s="5">
        <v>1</v>
      </c>
      <c r="E260" s="5">
        <v>201</v>
      </c>
      <c r="F260" s="5">
        <f>ROUND(Source!O258,O260)</f>
        <v>497.15</v>
      </c>
      <c r="G260" s="5" t="s">
        <v>106</v>
      </c>
      <c r="H260" s="5" t="s">
        <v>107</v>
      </c>
      <c r="I260" s="5"/>
      <c r="J260" s="5"/>
      <c r="K260" s="5">
        <v>201</v>
      </c>
      <c r="L260" s="5">
        <v>1</v>
      </c>
      <c r="M260" s="5">
        <v>3</v>
      </c>
      <c r="N260" s="5" t="s">
        <v>3</v>
      </c>
      <c r="O260" s="5">
        <v>2</v>
      </c>
      <c r="P260" s="5">
        <f>ROUND(Source!DG258,O260)</f>
        <v>6778.75</v>
      </c>
      <c r="Q260" s="5"/>
      <c r="R260" s="5"/>
      <c r="S260" s="5"/>
      <c r="T260" s="5"/>
      <c r="U260" s="5"/>
      <c r="V260" s="5"/>
      <c r="W260" s="5">
        <v>497.15</v>
      </c>
      <c r="X260" s="5">
        <v>1</v>
      </c>
      <c r="Y260" s="5">
        <v>497.15</v>
      </c>
      <c r="Z260" s="5">
        <v>6778.75</v>
      </c>
      <c r="AA260" s="5">
        <v>1</v>
      </c>
      <c r="AB260" s="5">
        <v>6778.75</v>
      </c>
    </row>
    <row r="261" spans="1:206" x14ac:dyDescent="0.2">
      <c r="A261" s="5">
        <v>50</v>
      </c>
      <c r="B261" s="5">
        <v>0</v>
      </c>
      <c r="C261" s="5">
        <v>0</v>
      </c>
      <c r="D261" s="5">
        <v>1</v>
      </c>
      <c r="E261" s="5">
        <v>202</v>
      </c>
      <c r="F261" s="5">
        <f>ROUND(Source!P258,O261)</f>
        <v>405.38</v>
      </c>
      <c r="G261" s="5" t="s">
        <v>108</v>
      </c>
      <c r="H261" s="5" t="s">
        <v>109</v>
      </c>
      <c r="I261" s="5"/>
      <c r="J261" s="5"/>
      <c r="K261" s="5">
        <v>202</v>
      </c>
      <c r="L261" s="5">
        <v>2</v>
      </c>
      <c r="M261" s="5">
        <v>3</v>
      </c>
      <c r="N261" s="5" t="s">
        <v>3</v>
      </c>
      <c r="O261" s="5">
        <v>2</v>
      </c>
      <c r="P261" s="5">
        <f>ROUND(Source!DH258,O261)</f>
        <v>5249.35</v>
      </c>
      <c r="Q261" s="5"/>
      <c r="R261" s="5"/>
      <c r="S261" s="5"/>
      <c r="T261" s="5"/>
      <c r="U261" s="5"/>
      <c r="V261" s="5"/>
      <c r="W261" s="5">
        <v>405.38</v>
      </c>
      <c r="X261" s="5">
        <v>1</v>
      </c>
      <c r="Y261" s="5">
        <v>405.38</v>
      </c>
      <c r="Z261" s="5">
        <v>5249.35</v>
      </c>
      <c r="AA261" s="5">
        <v>1</v>
      </c>
      <c r="AB261" s="5">
        <v>5249.35</v>
      </c>
    </row>
    <row r="262" spans="1:206" x14ac:dyDescent="0.2">
      <c r="A262" s="5">
        <v>50</v>
      </c>
      <c r="B262" s="5">
        <v>0</v>
      </c>
      <c r="C262" s="5">
        <v>0</v>
      </c>
      <c r="D262" s="5">
        <v>1</v>
      </c>
      <c r="E262" s="5">
        <v>222</v>
      </c>
      <c r="F262" s="5">
        <f>ROUND(Source!AO258,O262)</f>
        <v>0</v>
      </c>
      <c r="G262" s="5" t="s">
        <v>110</v>
      </c>
      <c r="H262" s="5" t="s">
        <v>111</v>
      </c>
      <c r="I262" s="5"/>
      <c r="J262" s="5"/>
      <c r="K262" s="5">
        <v>222</v>
      </c>
      <c r="L262" s="5">
        <v>3</v>
      </c>
      <c r="M262" s="5">
        <v>3</v>
      </c>
      <c r="N262" s="5" t="s">
        <v>3</v>
      </c>
      <c r="O262" s="5">
        <v>2</v>
      </c>
      <c r="P262" s="5">
        <f>ROUND(Source!EG258,O262)</f>
        <v>0</v>
      </c>
      <c r="Q262" s="5"/>
      <c r="R262" s="5"/>
      <c r="S262" s="5"/>
      <c r="T262" s="5"/>
      <c r="U262" s="5"/>
      <c r="V262" s="5"/>
      <c r="W262" s="5">
        <v>0</v>
      </c>
      <c r="X262" s="5">
        <v>1</v>
      </c>
      <c r="Y262" s="5">
        <v>0</v>
      </c>
      <c r="Z262" s="5">
        <v>0</v>
      </c>
      <c r="AA262" s="5">
        <v>1</v>
      </c>
      <c r="AB262" s="5">
        <v>0</v>
      </c>
    </row>
    <row r="263" spans="1:206" x14ac:dyDescent="0.2">
      <c r="A263" s="5">
        <v>50</v>
      </c>
      <c r="B263" s="5">
        <v>0</v>
      </c>
      <c r="C263" s="5">
        <v>0</v>
      </c>
      <c r="D263" s="5">
        <v>1</v>
      </c>
      <c r="E263" s="5">
        <v>225</v>
      </c>
      <c r="F263" s="5">
        <f>ROUND(Source!AV258,O263)</f>
        <v>405.38</v>
      </c>
      <c r="G263" s="5" t="s">
        <v>112</v>
      </c>
      <c r="H263" s="5" t="s">
        <v>113</v>
      </c>
      <c r="I263" s="5"/>
      <c r="J263" s="5"/>
      <c r="K263" s="5">
        <v>225</v>
      </c>
      <c r="L263" s="5">
        <v>4</v>
      </c>
      <c r="M263" s="5">
        <v>3</v>
      </c>
      <c r="N263" s="5" t="s">
        <v>3</v>
      </c>
      <c r="O263" s="5">
        <v>2</v>
      </c>
      <c r="P263" s="5">
        <f>ROUND(Source!EN258,O263)</f>
        <v>5249.35</v>
      </c>
      <c r="Q263" s="5"/>
      <c r="R263" s="5"/>
      <c r="S263" s="5"/>
      <c r="T263" s="5"/>
      <c r="U263" s="5"/>
      <c r="V263" s="5"/>
      <c r="W263" s="5">
        <v>405.38</v>
      </c>
      <c r="X263" s="5">
        <v>1</v>
      </c>
      <c r="Y263" s="5">
        <v>405.38</v>
      </c>
      <c r="Z263" s="5">
        <v>5249.35</v>
      </c>
      <c r="AA263" s="5">
        <v>1</v>
      </c>
      <c r="AB263" s="5">
        <v>5249.35</v>
      </c>
    </row>
    <row r="264" spans="1:206" x14ac:dyDescent="0.2">
      <c r="A264" s="5">
        <v>50</v>
      </c>
      <c r="B264" s="5">
        <v>0</v>
      </c>
      <c r="C264" s="5">
        <v>0</v>
      </c>
      <c r="D264" s="5">
        <v>1</v>
      </c>
      <c r="E264" s="5">
        <v>226</v>
      </c>
      <c r="F264" s="5">
        <f>ROUND(Source!AW258,O264)</f>
        <v>405.38</v>
      </c>
      <c r="G264" s="5" t="s">
        <v>114</v>
      </c>
      <c r="H264" s="5" t="s">
        <v>115</v>
      </c>
      <c r="I264" s="5"/>
      <c r="J264" s="5"/>
      <c r="K264" s="5">
        <v>226</v>
      </c>
      <c r="L264" s="5">
        <v>5</v>
      </c>
      <c r="M264" s="5">
        <v>3</v>
      </c>
      <c r="N264" s="5" t="s">
        <v>3</v>
      </c>
      <c r="O264" s="5">
        <v>2</v>
      </c>
      <c r="P264" s="5">
        <f>ROUND(Source!EO258,O264)</f>
        <v>5249.35</v>
      </c>
      <c r="Q264" s="5"/>
      <c r="R264" s="5"/>
      <c r="S264" s="5"/>
      <c r="T264" s="5"/>
      <c r="U264" s="5"/>
      <c r="V264" s="5"/>
      <c r="W264" s="5">
        <v>405.38</v>
      </c>
      <c r="X264" s="5">
        <v>1</v>
      </c>
      <c r="Y264" s="5">
        <v>405.38</v>
      </c>
      <c r="Z264" s="5">
        <v>5249.35</v>
      </c>
      <c r="AA264" s="5">
        <v>1</v>
      </c>
      <c r="AB264" s="5">
        <v>5249.35</v>
      </c>
    </row>
    <row r="265" spans="1:206" x14ac:dyDescent="0.2">
      <c r="A265" s="5">
        <v>50</v>
      </c>
      <c r="B265" s="5">
        <v>0</v>
      </c>
      <c r="C265" s="5">
        <v>0</v>
      </c>
      <c r="D265" s="5">
        <v>1</v>
      </c>
      <c r="E265" s="5">
        <v>227</v>
      </c>
      <c r="F265" s="5">
        <f>ROUND(Source!AX258,O265)</f>
        <v>0</v>
      </c>
      <c r="G265" s="5" t="s">
        <v>116</v>
      </c>
      <c r="H265" s="5" t="s">
        <v>117</v>
      </c>
      <c r="I265" s="5"/>
      <c r="J265" s="5"/>
      <c r="K265" s="5">
        <v>227</v>
      </c>
      <c r="L265" s="5">
        <v>6</v>
      </c>
      <c r="M265" s="5">
        <v>3</v>
      </c>
      <c r="N265" s="5" t="s">
        <v>3</v>
      </c>
      <c r="O265" s="5">
        <v>2</v>
      </c>
      <c r="P265" s="5">
        <f>ROUND(Source!EP258,O265)</f>
        <v>0</v>
      </c>
      <c r="Q265" s="5"/>
      <c r="R265" s="5"/>
      <c r="S265" s="5"/>
      <c r="T265" s="5"/>
      <c r="U265" s="5"/>
      <c r="V265" s="5"/>
      <c r="W265" s="5">
        <v>0</v>
      </c>
      <c r="X265" s="5">
        <v>1</v>
      </c>
      <c r="Y265" s="5">
        <v>0</v>
      </c>
      <c r="Z265" s="5">
        <v>0</v>
      </c>
      <c r="AA265" s="5">
        <v>1</v>
      </c>
      <c r="AB265" s="5">
        <v>0</v>
      </c>
    </row>
    <row r="266" spans="1:206" x14ac:dyDescent="0.2">
      <c r="A266" s="5">
        <v>50</v>
      </c>
      <c r="B266" s="5">
        <v>0</v>
      </c>
      <c r="C266" s="5">
        <v>0</v>
      </c>
      <c r="D266" s="5">
        <v>1</v>
      </c>
      <c r="E266" s="5">
        <v>228</v>
      </c>
      <c r="F266" s="5">
        <f>ROUND(Source!AY258,O266)</f>
        <v>405.38</v>
      </c>
      <c r="G266" s="5" t="s">
        <v>118</v>
      </c>
      <c r="H266" s="5" t="s">
        <v>119</v>
      </c>
      <c r="I266" s="5"/>
      <c r="J266" s="5"/>
      <c r="K266" s="5">
        <v>228</v>
      </c>
      <c r="L266" s="5">
        <v>7</v>
      </c>
      <c r="M266" s="5">
        <v>3</v>
      </c>
      <c r="N266" s="5" t="s">
        <v>3</v>
      </c>
      <c r="O266" s="5">
        <v>2</v>
      </c>
      <c r="P266" s="5">
        <f>ROUND(Source!EQ258,O266)</f>
        <v>5249.35</v>
      </c>
      <c r="Q266" s="5"/>
      <c r="R266" s="5"/>
      <c r="S266" s="5"/>
      <c r="T266" s="5"/>
      <c r="U266" s="5"/>
      <c r="V266" s="5"/>
      <c r="W266" s="5">
        <v>405.38</v>
      </c>
      <c r="X266" s="5">
        <v>1</v>
      </c>
      <c r="Y266" s="5">
        <v>405.38</v>
      </c>
      <c r="Z266" s="5">
        <v>5249.35</v>
      </c>
      <c r="AA266" s="5">
        <v>1</v>
      </c>
      <c r="AB266" s="5">
        <v>5249.35</v>
      </c>
    </row>
    <row r="267" spans="1:206" x14ac:dyDescent="0.2">
      <c r="A267" s="5">
        <v>50</v>
      </c>
      <c r="B267" s="5">
        <v>0</v>
      </c>
      <c r="C267" s="5">
        <v>0</v>
      </c>
      <c r="D267" s="5">
        <v>1</v>
      </c>
      <c r="E267" s="5">
        <v>216</v>
      </c>
      <c r="F267" s="5">
        <f>ROUND(Source!AP258,O267)</f>
        <v>0</v>
      </c>
      <c r="G267" s="5" t="s">
        <v>120</v>
      </c>
      <c r="H267" s="5" t="s">
        <v>121</v>
      </c>
      <c r="I267" s="5"/>
      <c r="J267" s="5"/>
      <c r="K267" s="5">
        <v>216</v>
      </c>
      <c r="L267" s="5">
        <v>8</v>
      </c>
      <c r="M267" s="5">
        <v>3</v>
      </c>
      <c r="N267" s="5" t="s">
        <v>3</v>
      </c>
      <c r="O267" s="5">
        <v>2</v>
      </c>
      <c r="P267" s="5">
        <f>ROUND(Source!EH258,O267)</f>
        <v>0</v>
      </c>
      <c r="Q267" s="5"/>
      <c r="R267" s="5"/>
      <c r="S267" s="5"/>
      <c r="T267" s="5"/>
      <c r="U267" s="5"/>
      <c r="V267" s="5"/>
      <c r="W267" s="5">
        <v>0</v>
      </c>
      <c r="X267" s="5">
        <v>1</v>
      </c>
      <c r="Y267" s="5">
        <v>0</v>
      </c>
      <c r="Z267" s="5">
        <v>0</v>
      </c>
      <c r="AA267" s="5">
        <v>1</v>
      </c>
      <c r="AB267" s="5">
        <v>0</v>
      </c>
    </row>
    <row r="268" spans="1:206" x14ac:dyDescent="0.2">
      <c r="A268" s="5">
        <v>50</v>
      </c>
      <c r="B268" s="5">
        <v>0</v>
      </c>
      <c r="C268" s="5">
        <v>0</v>
      </c>
      <c r="D268" s="5">
        <v>1</v>
      </c>
      <c r="E268" s="5">
        <v>223</v>
      </c>
      <c r="F268" s="5">
        <f>ROUND(Source!AQ258,O268)</f>
        <v>0</v>
      </c>
      <c r="G268" s="5" t="s">
        <v>122</v>
      </c>
      <c r="H268" s="5" t="s">
        <v>123</v>
      </c>
      <c r="I268" s="5"/>
      <c r="J268" s="5"/>
      <c r="K268" s="5">
        <v>223</v>
      </c>
      <c r="L268" s="5">
        <v>9</v>
      </c>
      <c r="M268" s="5">
        <v>3</v>
      </c>
      <c r="N268" s="5" t="s">
        <v>3</v>
      </c>
      <c r="O268" s="5">
        <v>2</v>
      </c>
      <c r="P268" s="5">
        <f>ROUND(Source!EI258,O268)</f>
        <v>0</v>
      </c>
      <c r="Q268" s="5"/>
      <c r="R268" s="5"/>
      <c r="S268" s="5"/>
      <c r="T268" s="5"/>
      <c r="U268" s="5"/>
      <c r="V268" s="5"/>
      <c r="W268" s="5">
        <v>0</v>
      </c>
      <c r="X268" s="5">
        <v>1</v>
      </c>
      <c r="Y268" s="5">
        <v>0</v>
      </c>
      <c r="Z268" s="5">
        <v>0</v>
      </c>
      <c r="AA268" s="5">
        <v>1</v>
      </c>
      <c r="AB268" s="5">
        <v>0</v>
      </c>
    </row>
    <row r="269" spans="1:206" x14ac:dyDescent="0.2">
      <c r="A269" s="5">
        <v>50</v>
      </c>
      <c r="B269" s="5">
        <v>0</v>
      </c>
      <c r="C269" s="5">
        <v>0</v>
      </c>
      <c r="D269" s="5">
        <v>1</v>
      </c>
      <c r="E269" s="5">
        <v>229</v>
      </c>
      <c r="F269" s="5">
        <f>ROUND(Source!AZ258,O269)</f>
        <v>0</v>
      </c>
      <c r="G269" s="5" t="s">
        <v>124</v>
      </c>
      <c r="H269" s="5" t="s">
        <v>125</v>
      </c>
      <c r="I269" s="5"/>
      <c r="J269" s="5"/>
      <c r="K269" s="5">
        <v>229</v>
      </c>
      <c r="L269" s="5">
        <v>10</v>
      </c>
      <c r="M269" s="5">
        <v>3</v>
      </c>
      <c r="N269" s="5" t="s">
        <v>3</v>
      </c>
      <c r="O269" s="5">
        <v>2</v>
      </c>
      <c r="P269" s="5">
        <f>ROUND(Source!ER258,O269)</f>
        <v>0</v>
      </c>
      <c r="Q269" s="5"/>
      <c r="R269" s="5"/>
      <c r="S269" s="5"/>
      <c r="T269" s="5"/>
      <c r="U269" s="5"/>
      <c r="V269" s="5"/>
      <c r="W269" s="5">
        <v>0</v>
      </c>
      <c r="X269" s="5">
        <v>1</v>
      </c>
      <c r="Y269" s="5">
        <v>0</v>
      </c>
      <c r="Z269" s="5">
        <v>0</v>
      </c>
      <c r="AA269" s="5">
        <v>1</v>
      </c>
      <c r="AB269" s="5">
        <v>0</v>
      </c>
    </row>
    <row r="270" spans="1:206" x14ac:dyDescent="0.2">
      <c r="A270" s="5">
        <v>50</v>
      </c>
      <c r="B270" s="5">
        <v>0</v>
      </c>
      <c r="C270" s="5">
        <v>0</v>
      </c>
      <c r="D270" s="5">
        <v>1</v>
      </c>
      <c r="E270" s="5">
        <v>203</v>
      </c>
      <c r="F270" s="5">
        <f>ROUND(Source!Q258,O270)</f>
        <v>74.52</v>
      </c>
      <c r="G270" s="5" t="s">
        <v>126</v>
      </c>
      <c r="H270" s="5" t="s">
        <v>127</v>
      </c>
      <c r="I270" s="5"/>
      <c r="J270" s="5"/>
      <c r="K270" s="5">
        <v>203</v>
      </c>
      <c r="L270" s="5">
        <v>11</v>
      </c>
      <c r="M270" s="5">
        <v>3</v>
      </c>
      <c r="N270" s="5" t="s">
        <v>3</v>
      </c>
      <c r="O270" s="5">
        <v>2</v>
      </c>
      <c r="P270" s="5">
        <f>ROUND(Source!DI258,O270)</f>
        <v>934.09</v>
      </c>
      <c r="Q270" s="5"/>
      <c r="R270" s="5"/>
      <c r="S270" s="5"/>
      <c r="T270" s="5"/>
      <c r="U270" s="5"/>
      <c r="V270" s="5"/>
      <c r="W270" s="5">
        <v>74.52</v>
      </c>
      <c r="X270" s="5">
        <v>1</v>
      </c>
      <c r="Y270" s="5">
        <v>74.52</v>
      </c>
      <c r="Z270" s="5">
        <v>934.09</v>
      </c>
      <c r="AA270" s="5">
        <v>1</v>
      </c>
      <c r="AB270" s="5">
        <v>934.09</v>
      </c>
    </row>
    <row r="271" spans="1:206" x14ac:dyDescent="0.2">
      <c r="A271" s="5">
        <v>50</v>
      </c>
      <c r="B271" s="5">
        <v>0</v>
      </c>
      <c r="C271" s="5">
        <v>0</v>
      </c>
      <c r="D271" s="5">
        <v>1</v>
      </c>
      <c r="E271" s="5">
        <v>231</v>
      </c>
      <c r="F271" s="5">
        <f>ROUND(Source!BB258,O271)</f>
        <v>0</v>
      </c>
      <c r="G271" s="5" t="s">
        <v>128</v>
      </c>
      <c r="H271" s="5" t="s">
        <v>129</v>
      </c>
      <c r="I271" s="5"/>
      <c r="J271" s="5"/>
      <c r="K271" s="5">
        <v>231</v>
      </c>
      <c r="L271" s="5">
        <v>12</v>
      </c>
      <c r="M271" s="5">
        <v>3</v>
      </c>
      <c r="N271" s="5" t="s">
        <v>3</v>
      </c>
      <c r="O271" s="5">
        <v>2</v>
      </c>
      <c r="P271" s="5">
        <f>ROUND(Source!ET258,O271)</f>
        <v>0</v>
      </c>
      <c r="Q271" s="5"/>
      <c r="R271" s="5"/>
      <c r="S271" s="5"/>
      <c r="T271" s="5"/>
      <c r="U271" s="5"/>
      <c r="V271" s="5"/>
      <c r="W271" s="5">
        <v>0</v>
      </c>
      <c r="X271" s="5">
        <v>1</v>
      </c>
      <c r="Y271" s="5">
        <v>0</v>
      </c>
      <c r="Z271" s="5">
        <v>0</v>
      </c>
      <c r="AA271" s="5">
        <v>1</v>
      </c>
      <c r="AB271" s="5">
        <v>0</v>
      </c>
    </row>
    <row r="272" spans="1:206" x14ac:dyDescent="0.2">
      <c r="A272" s="5">
        <v>50</v>
      </c>
      <c r="B272" s="5">
        <v>0</v>
      </c>
      <c r="C272" s="5">
        <v>0</v>
      </c>
      <c r="D272" s="5">
        <v>1</v>
      </c>
      <c r="E272" s="5">
        <v>204</v>
      </c>
      <c r="F272" s="5">
        <f>ROUND(Source!R258,O272)</f>
        <v>8.51</v>
      </c>
      <c r="G272" s="5" t="s">
        <v>130</v>
      </c>
      <c r="H272" s="5" t="s">
        <v>131</v>
      </c>
      <c r="I272" s="5"/>
      <c r="J272" s="5"/>
      <c r="K272" s="5">
        <v>204</v>
      </c>
      <c r="L272" s="5">
        <v>13</v>
      </c>
      <c r="M272" s="5">
        <v>3</v>
      </c>
      <c r="N272" s="5" t="s">
        <v>3</v>
      </c>
      <c r="O272" s="5">
        <v>2</v>
      </c>
      <c r="P272" s="5">
        <f>ROUND(Source!DJ258,O272)</f>
        <v>293.69</v>
      </c>
      <c r="Q272" s="5"/>
      <c r="R272" s="5"/>
      <c r="S272" s="5"/>
      <c r="T272" s="5"/>
      <c r="U272" s="5"/>
      <c r="V272" s="5"/>
      <c r="W272" s="5">
        <v>8.51</v>
      </c>
      <c r="X272" s="5">
        <v>1</v>
      </c>
      <c r="Y272" s="5">
        <v>8.51</v>
      </c>
      <c r="Z272" s="5">
        <v>293.69</v>
      </c>
      <c r="AA272" s="5">
        <v>1</v>
      </c>
      <c r="AB272" s="5">
        <v>293.69</v>
      </c>
    </row>
    <row r="273" spans="1:88" x14ac:dyDescent="0.2">
      <c r="A273" s="5">
        <v>50</v>
      </c>
      <c r="B273" s="5">
        <v>0</v>
      </c>
      <c r="C273" s="5">
        <v>0</v>
      </c>
      <c r="D273" s="5">
        <v>1</v>
      </c>
      <c r="E273" s="5">
        <v>205</v>
      </c>
      <c r="F273" s="5">
        <f>ROUND(Source!S258,O273)</f>
        <v>17.25</v>
      </c>
      <c r="G273" s="5" t="s">
        <v>132</v>
      </c>
      <c r="H273" s="5" t="s">
        <v>133</v>
      </c>
      <c r="I273" s="5"/>
      <c r="J273" s="5"/>
      <c r="K273" s="5">
        <v>205</v>
      </c>
      <c r="L273" s="5">
        <v>14</v>
      </c>
      <c r="M273" s="5">
        <v>3</v>
      </c>
      <c r="N273" s="5" t="s">
        <v>3</v>
      </c>
      <c r="O273" s="5">
        <v>2</v>
      </c>
      <c r="P273" s="5">
        <f>ROUND(Source!DK258,O273)</f>
        <v>595.30999999999995</v>
      </c>
      <c r="Q273" s="5"/>
      <c r="R273" s="5"/>
      <c r="S273" s="5"/>
      <c r="T273" s="5"/>
      <c r="U273" s="5"/>
      <c r="V273" s="5"/>
      <c r="W273" s="5">
        <v>17.25</v>
      </c>
      <c r="X273" s="5">
        <v>1</v>
      </c>
      <c r="Y273" s="5">
        <v>17.25</v>
      </c>
      <c r="Z273" s="5">
        <v>595.30999999999995</v>
      </c>
      <c r="AA273" s="5">
        <v>1</v>
      </c>
      <c r="AB273" s="5">
        <v>595.30999999999995</v>
      </c>
    </row>
    <row r="274" spans="1:88" x14ac:dyDescent="0.2">
      <c r="A274" s="5">
        <v>50</v>
      </c>
      <c r="B274" s="5">
        <v>0</v>
      </c>
      <c r="C274" s="5">
        <v>0</v>
      </c>
      <c r="D274" s="5">
        <v>1</v>
      </c>
      <c r="E274" s="5">
        <v>232</v>
      </c>
      <c r="F274" s="5">
        <f>ROUND(Source!BC258,O274)</f>
        <v>0</v>
      </c>
      <c r="G274" s="5" t="s">
        <v>134</v>
      </c>
      <c r="H274" s="5" t="s">
        <v>135</v>
      </c>
      <c r="I274" s="5"/>
      <c r="J274" s="5"/>
      <c r="K274" s="5">
        <v>232</v>
      </c>
      <c r="L274" s="5">
        <v>15</v>
      </c>
      <c r="M274" s="5">
        <v>3</v>
      </c>
      <c r="N274" s="5" t="s">
        <v>3</v>
      </c>
      <c r="O274" s="5">
        <v>2</v>
      </c>
      <c r="P274" s="5">
        <f>ROUND(Source!EU258,O274)</f>
        <v>0</v>
      </c>
      <c r="Q274" s="5"/>
      <c r="R274" s="5"/>
      <c r="S274" s="5"/>
      <c r="T274" s="5"/>
      <c r="U274" s="5"/>
      <c r="V274" s="5"/>
      <c r="W274" s="5">
        <v>0</v>
      </c>
      <c r="X274" s="5">
        <v>1</v>
      </c>
      <c r="Y274" s="5">
        <v>0</v>
      </c>
      <c r="Z274" s="5">
        <v>0</v>
      </c>
      <c r="AA274" s="5">
        <v>1</v>
      </c>
      <c r="AB274" s="5">
        <v>0</v>
      </c>
    </row>
    <row r="275" spans="1:88" x14ac:dyDescent="0.2">
      <c r="A275" s="5">
        <v>50</v>
      </c>
      <c r="B275" s="5">
        <v>0</v>
      </c>
      <c r="C275" s="5">
        <v>0</v>
      </c>
      <c r="D275" s="5">
        <v>1</v>
      </c>
      <c r="E275" s="5">
        <v>214</v>
      </c>
      <c r="F275" s="5">
        <f>ROUND(Source!AS258,O275)</f>
        <v>548.19000000000005</v>
      </c>
      <c r="G275" s="5" t="s">
        <v>136</v>
      </c>
      <c r="H275" s="5" t="s">
        <v>137</v>
      </c>
      <c r="I275" s="5"/>
      <c r="J275" s="5"/>
      <c r="K275" s="5">
        <v>214</v>
      </c>
      <c r="L275" s="5">
        <v>16</v>
      </c>
      <c r="M275" s="5">
        <v>3</v>
      </c>
      <c r="N275" s="5" t="s">
        <v>3</v>
      </c>
      <c r="O275" s="5">
        <v>2</v>
      </c>
      <c r="P275" s="5">
        <f>ROUND(Source!EK258,O275)</f>
        <v>8169.24</v>
      </c>
      <c r="Q275" s="5"/>
      <c r="R275" s="5"/>
      <c r="S275" s="5"/>
      <c r="T275" s="5"/>
      <c r="U275" s="5"/>
      <c r="V275" s="5"/>
      <c r="W275" s="5">
        <v>548.19000000000005</v>
      </c>
      <c r="X275" s="5">
        <v>1</v>
      </c>
      <c r="Y275" s="5">
        <v>548.19000000000005</v>
      </c>
      <c r="Z275" s="5">
        <v>8169.24</v>
      </c>
      <c r="AA275" s="5">
        <v>1</v>
      </c>
      <c r="AB275" s="5">
        <v>8169.24</v>
      </c>
    </row>
    <row r="276" spans="1:88" x14ac:dyDescent="0.2">
      <c r="A276" s="5">
        <v>50</v>
      </c>
      <c r="B276" s="5">
        <v>0</v>
      </c>
      <c r="C276" s="5">
        <v>0</v>
      </c>
      <c r="D276" s="5">
        <v>1</v>
      </c>
      <c r="E276" s="5">
        <v>215</v>
      </c>
      <c r="F276" s="5">
        <f>ROUND(Source!AT258,O276)</f>
        <v>0</v>
      </c>
      <c r="G276" s="5" t="s">
        <v>138</v>
      </c>
      <c r="H276" s="5" t="s">
        <v>139</v>
      </c>
      <c r="I276" s="5"/>
      <c r="J276" s="5"/>
      <c r="K276" s="5">
        <v>215</v>
      </c>
      <c r="L276" s="5">
        <v>17</v>
      </c>
      <c r="M276" s="5">
        <v>3</v>
      </c>
      <c r="N276" s="5" t="s">
        <v>3</v>
      </c>
      <c r="O276" s="5">
        <v>2</v>
      </c>
      <c r="P276" s="5">
        <f>ROUND(Source!EL258,O276)</f>
        <v>0</v>
      </c>
      <c r="Q276" s="5"/>
      <c r="R276" s="5"/>
      <c r="S276" s="5"/>
      <c r="T276" s="5"/>
      <c r="U276" s="5"/>
      <c r="V276" s="5"/>
      <c r="W276" s="5">
        <v>0</v>
      </c>
      <c r="X276" s="5">
        <v>1</v>
      </c>
      <c r="Y276" s="5">
        <v>0</v>
      </c>
      <c r="Z276" s="5">
        <v>0</v>
      </c>
      <c r="AA276" s="5">
        <v>1</v>
      </c>
      <c r="AB276" s="5">
        <v>0</v>
      </c>
    </row>
    <row r="277" spans="1:88" x14ac:dyDescent="0.2">
      <c r="A277" s="5">
        <v>50</v>
      </c>
      <c r="B277" s="5">
        <v>0</v>
      </c>
      <c r="C277" s="5">
        <v>0</v>
      </c>
      <c r="D277" s="5">
        <v>1</v>
      </c>
      <c r="E277" s="5">
        <v>217</v>
      </c>
      <c r="F277" s="5">
        <f>ROUND(Source!AU258,O277)</f>
        <v>0</v>
      </c>
      <c r="G277" s="5" t="s">
        <v>140</v>
      </c>
      <c r="H277" s="5" t="s">
        <v>141</v>
      </c>
      <c r="I277" s="5"/>
      <c r="J277" s="5"/>
      <c r="K277" s="5">
        <v>217</v>
      </c>
      <c r="L277" s="5">
        <v>18</v>
      </c>
      <c r="M277" s="5">
        <v>3</v>
      </c>
      <c r="N277" s="5" t="s">
        <v>3</v>
      </c>
      <c r="O277" s="5">
        <v>2</v>
      </c>
      <c r="P277" s="5">
        <f>ROUND(Source!EM258,O277)</f>
        <v>0</v>
      </c>
      <c r="Q277" s="5"/>
      <c r="R277" s="5"/>
      <c r="S277" s="5"/>
      <c r="T277" s="5"/>
      <c r="U277" s="5"/>
      <c r="V277" s="5"/>
      <c r="W277" s="5">
        <v>0</v>
      </c>
      <c r="X277" s="5">
        <v>1</v>
      </c>
      <c r="Y277" s="5">
        <v>0</v>
      </c>
      <c r="Z277" s="5">
        <v>0</v>
      </c>
      <c r="AA277" s="5">
        <v>1</v>
      </c>
      <c r="AB277" s="5">
        <v>0</v>
      </c>
    </row>
    <row r="278" spans="1:88" x14ac:dyDescent="0.2">
      <c r="A278" s="5">
        <v>50</v>
      </c>
      <c r="B278" s="5">
        <v>0</v>
      </c>
      <c r="C278" s="5">
        <v>0</v>
      </c>
      <c r="D278" s="5">
        <v>1</v>
      </c>
      <c r="E278" s="5">
        <v>230</v>
      </c>
      <c r="F278" s="5">
        <f>ROUND(Source!BA258,O278)</f>
        <v>0</v>
      </c>
      <c r="G278" s="5" t="s">
        <v>142</v>
      </c>
      <c r="H278" s="5" t="s">
        <v>143</v>
      </c>
      <c r="I278" s="5"/>
      <c r="J278" s="5"/>
      <c r="K278" s="5">
        <v>230</v>
      </c>
      <c r="L278" s="5">
        <v>19</v>
      </c>
      <c r="M278" s="5">
        <v>3</v>
      </c>
      <c r="N278" s="5" t="s">
        <v>3</v>
      </c>
      <c r="O278" s="5">
        <v>2</v>
      </c>
      <c r="P278" s="5">
        <f>ROUND(Source!ES258,O278)</f>
        <v>0</v>
      </c>
      <c r="Q278" s="5"/>
      <c r="R278" s="5"/>
      <c r="S278" s="5"/>
      <c r="T278" s="5"/>
      <c r="U278" s="5"/>
      <c r="V278" s="5"/>
      <c r="W278" s="5">
        <v>0</v>
      </c>
      <c r="X278" s="5">
        <v>1</v>
      </c>
      <c r="Y278" s="5">
        <v>0</v>
      </c>
      <c r="Z278" s="5">
        <v>0</v>
      </c>
      <c r="AA278" s="5">
        <v>1</v>
      </c>
      <c r="AB278" s="5">
        <v>0</v>
      </c>
    </row>
    <row r="279" spans="1:88" x14ac:dyDescent="0.2">
      <c r="A279" s="5">
        <v>50</v>
      </c>
      <c r="B279" s="5">
        <v>0</v>
      </c>
      <c r="C279" s="5">
        <v>0</v>
      </c>
      <c r="D279" s="5">
        <v>1</v>
      </c>
      <c r="E279" s="5">
        <v>206</v>
      </c>
      <c r="F279" s="5">
        <f>ROUND(Source!T258,O279)</f>
        <v>0</v>
      </c>
      <c r="G279" s="5" t="s">
        <v>144</v>
      </c>
      <c r="H279" s="5" t="s">
        <v>145</v>
      </c>
      <c r="I279" s="5"/>
      <c r="J279" s="5"/>
      <c r="K279" s="5">
        <v>206</v>
      </c>
      <c r="L279" s="5">
        <v>20</v>
      </c>
      <c r="M279" s="5">
        <v>3</v>
      </c>
      <c r="N279" s="5" t="s">
        <v>3</v>
      </c>
      <c r="O279" s="5">
        <v>2</v>
      </c>
      <c r="P279" s="5">
        <f>ROUND(Source!DL258,O279)</f>
        <v>0</v>
      </c>
      <c r="Q279" s="5"/>
      <c r="R279" s="5"/>
      <c r="S279" s="5"/>
      <c r="T279" s="5"/>
      <c r="U279" s="5"/>
      <c r="V279" s="5"/>
      <c r="W279" s="5">
        <v>0</v>
      </c>
      <c r="X279" s="5">
        <v>1</v>
      </c>
      <c r="Y279" s="5">
        <v>0</v>
      </c>
      <c r="Z279" s="5">
        <v>0</v>
      </c>
      <c r="AA279" s="5">
        <v>1</v>
      </c>
      <c r="AB279" s="5">
        <v>0</v>
      </c>
    </row>
    <row r="280" spans="1:88" x14ac:dyDescent="0.2">
      <c r="A280" s="5">
        <v>50</v>
      </c>
      <c r="B280" s="5">
        <v>0</v>
      </c>
      <c r="C280" s="5">
        <v>0</v>
      </c>
      <c r="D280" s="5">
        <v>1</v>
      </c>
      <c r="E280" s="5">
        <v>207</v>
      </c>
      <c r="F280" s="5">
        <f>Source!U258</f>
        <v>1.5016164042</v>
      </c>
      <c r="G280" s="5" t="s">
        <v>146</v>
      </c>
      <c r="H280" s="5" t="s">
        <v>147</v>
      </c>
      <c r="I280" s="5"/>
      <c r="J280" s="5"/>
      <c r="K280" s="5">
        <v>207</v>
      </c>
      <c r="L280" s="5">
        <v>21</v>
      </c>
      <c r="M280" s="5">
        <v>3</v>
      </c>
      <c r="N280" s="5" t="s">
        <v>3</v>
      </c>
      <c r="O280" s="5">
        <v>-1</v>
      </c>
      <c r="P280" s="5">
        <f>Source!DM258</f>
        <v>1.5016164042</v>
      </c>
      <c r="Q280" s="5"/>
      <c r="R280" s="5"/>
      <c r="S280" s="5"/>
      <c r="T280" s="5"/>
      <c r="U280" s="5"/>
      <c r="V280" s="5"/>
      <c r="W280" s="5">
        <v>1.5016164042000002</v>
      </c>
      <c r="X280" s="5">
        <v>1</v>
      </c>
      <c r="Y280" s="5">
        <v>1.5016164042000002</v>
      </c>
      <c r="Z280" s="5">
        <v>1.5016164042000002</v>
      </c>
      <c r="AA280" s="5">
        <v>1</v>
      </c>
      <c r="AB280" s="5">
        <v>1.5016164042000002</v>
      </c>
    </row>
    <row r="281" spans="1:88" x14ac:dyDescent="0.2">
      <c r="A281" s="5">
        <v>50</v>
      </c>
      <c r="B281" s="5">
        <v>0</v>
      </c>
      <c r="C281" s="5">
        <v>0</v>
      </c>
      <c r="D281" s="5">
        <v>1</v>
      </c>
      <c r="E281" s="5">
        <v>208</v>
      </c>
      <c r="F281" s="5">
        <f>Source!V258</f>
        <v>0</v>
      </c>
      <c r="G281" s="5" t="s">
        <v>148</v>
      </c>
      <c r="H281" s="5" t="s">
        <v>149</v>
      </c>
      <c r="I281" s="5"/>
      <c r="J281" s="5"/>
      <c r="K281" s="5">
        <v>208</v>
      </c>
      <c r="L281" s="5">
        <v>22</v>
      </c>
      <c r="M281" s="5">
        <v>3</v>
      </c>
      <c r="N281" s="5" t="s">
        <v>3</v>
      </c>
      <c r="O281" s="5">
        <v>-1</v>
      </c>
      <c r="P281" s="5">
        <f>Source!DN258</f>
        <v>0</v>
      </c>
      <c r="Q281" s="5"/>
      <c r="R281" s="5"/>
      <c r="S281" s="5"/>
      <c r="T281" s="5"/>
      <c r="U281" s="5"/>
      <c r="V281" s="5"/>
      <c r="W281" s="5">
        <v>0</v>
      </c>
      <c r="X281" s="5">
        <v>1</v>
      </c>
      <c r="Y281" s="5">
        <v>0</v>
      </c>
      <c r="Z281" s="5">
        <v>0</v>
      </c>
      <c r="AA281" s="5">
        <v>1</v>
      </c>
      <c r="AB281" s="5">
        <v>0</v>
      </c>
    </row>
    <row r="282" spans="1:88" x14ac:dyDescent="0.2">
      <c r="A282" s="5">
        <v>50</v>
      </c>
      <c r="B282" s="5">
        <v>0</v>
      </c>
      <c r="C282" s="5">
        <v>0</v>
      </c>
      <c r="D282" s="5">
        <v>1</v>
      </c>
      <c r="E282" s="5">
        <v>209</v>
      </c>
      <c r="F282" s="5">
        <f>ROUND(Source!W258,O282)</f>
        <v>0</v>
      </c>
      <c r="G282" s="5" t="s">
        <v>150</v>
      </c>
      <c r="H282" s="5" t="s">
        <v>151</v>
      </c>
      <c r="I282" s="5"/>
      <c r="J282" s="5"/>
      <c r="K282" s="5">
        <v>209</v>
      </c>
      <c r="L282" s="5">
        <v>23</v>
      </c>
      <c r="M282" s="5">
        <v>3</v>
      </c>
      <c r="N282" s="5" t="s">
        <v>3</v>
      </c>
      <c r="O282" s="5">
        <v>2</v>
      </c>
      <c r="P282" s="5">
        <f>ROUND(Source!DO258,O282)</f>
        <v>0</v>
      </c>
      <c r="Q282" s="5"/>
      <c r="R282" s="5"/>
      <c r="S282" s="5"/>
      <c r="T282" s="5"/>
      <c r="U282" s="5"/>
      <c r="V282" s="5"/>
      <c r="W282" s="5">
        <v>0</v>
      </c>
      <c r="X282" s="5">
        <v>1</v>
      </c>
      <c r="Y282" s="5">
        <v>0</v>
      </c>
      <c r="Z282" s="5">
        <v>0</v>
      </c>
      <c r="AA282" s="5">
        <v>1</v>
      </c>
      <c r="AB282" s="5">
        <v>0</v>
      </c>
    </row>
    <row r="283" spans="1:88" x14ac:dyDescent="0.2">
      <c r="A283" s="5">
        <v>50</v>
      </c>
      <c r="B283" s="5">
        <v>0</v>
      </c>
      <c r="C283" s="5">
        <v>0</v>
      </c>
      <c r="D283" s="5">
        <v>1</v>
      </c>
      <c r="E283" s="5">
        <v>233</v>
      </c>
      <c r="F283" s="5">
        <f>ROUND(Source!BD258,O283)</f>
        <v>0</v>
      </c>
      <c r="G283" s="5" t="s">
        <v>152</v>
      </c>
      <c r="H283" s="5" t="s">
        <v>153</v>
      </c>
      <c r="I283" s="5"/>
      <c r="J283" s="5"/>
      <c r="K283" s="5">
        <v>233</v>
      </c>
      <c r="L283" s="5">
        <v>24</v>
      </c>
      <c r="M283" s="5">
        <v>3</v>
      </c>
      <c r="N283" s="5" t="s">
        <v>3</v>
      </c>
      <c r="O283" s="5">
        <v>2</v>
      </c>
      <c r="P283" s="5">
        <f>ROUND(Source!EV258,O283)</f>
        <v>0</v>
      </c>
      <c r="Q283" s="5"/>
      <c r="R283" s="5"/>
      <c r="S283" s="5"/>
      <c r="T283" s="5"/>
      <c r="U283" s="5"/>
      <c r="V283" s="5"/>
      <c r="W283" s="5">
        <v>0</v>
      </c>
      <c r="X283" s="5">
        <v>1</v>
      </c>
      <c r="Y283" s="5">
        <v>0</v>
      </c>
      <c r="Z283" s="5">
        <v>0</v>
      </c>
      <c r="AA283" s="5">
        <v>1</v>
      </c>
      <c r="AB283" s="5">
        <v>0</v>
      </c>
    </row>
    <row r="284" spans="1:88" x14ac:dyDescent="0.2">
      <c r="A284" s="5">
        <v>50</v>
      </c>
      <c r="B284" s="5">
        <v>0</v>
      </c>
      <c r="C284" s="5">
        <v>0</v>
      </c>
      <c r="D284" s="5">
        <v>1</v>
      </c>
      <c r="E284" s="5">
        <v>210</v>
      </c>
      <c r="F284" s="5">
        <f>ROUND(Source!X258,O284)</f>
        <v>21.62</v>
      </c>
      <c r="G284" s="5" t="s">
        <v>154</v>
      </c>
      <c r="H284" s="5" t="s">
        <v>155</v>
      </c>
      <c r="I284" s="5"/>
      <c r="J284" s="5"/>
      <c r="K284" s="5">
        <v>210</v>
      </c>
      <c r="L284" s="5">
        <v>25</v>
      </c>
      <c r="M284" s="5">
        <v>3</v>
      </c>
      <c r="N284" s="5" t="s">
        <v>3</v>
      </c>
      <c r="O284" s="5">
        <v>2</v>
      </c>
      <c r="P284" s="5">
        <f>ROUND(Source!DP258,O284)</f>
        <v>629.86</v>
      </c>
      <c r="Q284" s="5"/>
      <c r="R284" s="5"/>
      <c r="S284" s="5"/>
      <c r="T284" s="5"/>
      <c r="U284" s="5"/>
      <c r="V284" s="5"/>
      <c r="W284" s="5">
        <v>21.62</v>
      </c>
      <c r="X284" s="5">
        <v>1</v>
      </c>
      <c r="Y284" s="5">
        <v>21.62</v>
      </c>
      <c r="Z284" s="5">
        <v>629.86</v>
      </c>
      <c r="AA284" s="5">
        <v>1</v>
      </c>
      <c r="AB284" s="5">
        <v>629.86</v>
      </c>
    </row>
    <row r="285" spans="1:88" x14ac:dyDescent="0.2">
      <c r="A285" s="5">
        <v>50</v>
      </c>
      <c r="B285" s="5">
        <v>0</v>
      </c>
      <c r="C285" s="5">
        <v>0</v>
      </c>
      <c r="D285" s="5">
        <v>1</v>
      </c>
      <c r="E285" s="5">
        <v>211</v>
      </c>
      <c r="F285" s="5">
        <f>ROUND(Source!Y258,O285)</f>
        <v>14.51</v>
      </c>
      <c r="G285" s="5" t="s">
        <v>156</v>
      </c>
      <c r="H285" s="5" t="s">
        <v>157</v>
      </c>
      <c r="I285" s="5"/>
      <c r="J285" s="5"/>
      <c r="K285" s="5">
        <v>211</v>
      </c>
      <c r="L285" s="5">
        <v>26</v>
      </c>
      <c r="M285" s="5">
        <v>3</v>
      </c>
      <c r="N285" s="5" t="s">
        <v>3</v>
      </c>
      <c r="O285" s="5">
        <v>2</v>
      </c>
      <c r="P285" s="5">
        <f>ROUND(Source!DQ258,O285)</f>
        <v>290.70999999999998</v>
      </c>
      <c r="Q285" s="5"/>
      <c r="R285" s="5"/>
      <c r="S285" s="5"/>
      <c r="T285" s="5"/>
      <c r="U285" s="5"/>
      <c r="V285" s="5"/>
      <c r="W285" s="5">
        <v>14.51</v>
      </c>
      <c r="X285" s="5">
        <v>1</v>
      </c>
      <c r="Y285" s="5">
        <v>14.51</v>
      </c>
      <c r="Z285" s="5">
        <v>290.70999999999998</v>
      </c>
      <c r="AA285" s="5">
        <v>1</v>
      </c>
      <c r="AB285" s="5">
        <v>290.70999999999998</v>
      </c>
    </row>
    <row r="286" spans="1:88" x14ac:dyDescent="0.2">
      <c r="A286" s="5">
        <v>50</v>
      </c>
      <c r="B286" s="5">
        <v>0</v>
      </c>
      <c r="C286" s="5">
        <v>0</v>
      </c>
      <c r="D286" s="5">
        <v>1</v>
      </c>
      <c r="E286" s="5">
        <v>224</v>
      </c>
      <c r="F286" s="5">
        <f>ROUND(Source!AR258,O286)</f>
        <v>548.19000000000005</v>
      </c>
      <c r="G286" s="5" t="s">
        <v>158</v>
      </c>
      <c r="H286" s="5" t="s">
        <v>159</v>
      </c>
      <c r="I286" s="5"/>
      <c r="J286" s="5"/>
      <c r="K286" s="5">
        <v>224</v>
      </c>
      <c r="L286" s="5">
        <v>27</v>
      </c>
      <c r="M286" s="5">
        <v>3</v>
      </c>
      <c r="N286" s="5" t="s">
        <v>3</v>
      </c>
      <c r="O286" s="5">
        <v>2</v>
      </c>
      <c r="P286" s="5">
        <f>ROUND(Source!EJ258,O286)</f>
        <v>8169.24</v>
      </c>
      <c r="Q286" s="5"/>
      <c r="R286" s="5"/>
      <c r="S286" s="5"/>
      <c r="T286" s="5"/>
      <c r="U286" s="5"/>
      <c r="V286" s="5"/>
      <c r="W286" s="5">
        <v>548.19000000000005</v>
      </c>
      <c r="X286" s="5">
        <v>1</v>
      </c>
      <c r="Y286" s="5">
        <v>548.19000000000005</v>
      </c>
      <c r="Z286" s="5">
        <v>8169.24</v>
      </c>
      <c r="AA286" s="5">
        <v>1</v>
      </c>
      <c r="AB286" s="5">
        <v>8169.24</v>
      </c>
    </row>
    <row r="288" spans="1:88" x14ac:dyDescent="0.2">
      <c r="A288" s="1">
        <v>5</v>
      </c>
      <c r="B288" s="1">
        <v>1</v>
      </c>
      <c r="C288" s="1"/>
      <c r="D288" s="1">
        <f>ROW(A319)</f>
        <v>319</v>
      </c>
      <c r="E288" s="1"/>
      <c r="F288" s="1" t="s">
        <v>245</v>
      </c>
      <c r="G288" s="1" t="s">
        <v>346</v>
      </c>
      <c r="H288" s="1" t="s">
        <v>3</v>
      </c>
      <c r="I288" s="1">
        <v>0</v>
      </c>
      <c r="J288" s="1"/>
      <c r="K288" s="1">
        <v>0</v>
      </c>
      <c r="L288" s="1"/>
      <c r="M288" s="1" t="s">
        <v>3</v>
      </c>
      <c r="N288" s="1"/>
      <c r="O288" s="1"/>
      <c r="P288" s="1"/>
      <c r="Q288" s="1"/>
      <c r="R288" s="1"/>
      <c r="S288" s="1">
        <v>0</v>
      </c>
      <c r="T288" s="1">
        <v>0</v>
      </c>
      <c r="U288" s="1" t="s">
        <v>3</v>
      </c>
      <c r="V288" s="1">
        <v>0</v>
      </c>
      <c r="W288" s="1"/>
      <c r="X288" s="1"/>
      <c r="Y288" s="1"/>
      <c r="Z288" s="1"/>
      <c r="AA288" s="1"/>
      <c r="AB288" s="1" t="s">
        <v>3</v>
      </c>
      <c r="AC288" s="1" t="s">
        <v>3</v>
      </c>
      <c r="AD288" s="1" t="s">
        <v>3</v>
      </c>
      <c r="AE288" s="1" t="s">
        <v>3</v>
      </c>
      <c r="AF288" s="1" t="s">
        <v>3</v>
      </c>
      <c r="AG288" s="1" t="s">
        <v>3</v>
      </c>
      <c r="AH288" s="1"/>
      <c r="AI288" s="1"/>
      <c r="AJ288" s="1"/>
      <c r="AK288" s="1"/>
      <c r="AL288" s="1"/>
      <c r="AM288" s="1"/>
      <c r="AN288" s="1"/>
      <c r="AO288" s="1"/>
      <c r="AP288" s="1" t="s">
        <v>3</v>
      </c>
      <c r="AQ288" s="1" t="s">
        <v>3</v>
      </c>
      <c r="AR288" s="1" t="s">
        <v>3</v>
      </c>
      <c r="AS288" s="1"/>
      <c r="AT288" s="1"/>
      <c r="AU288" s="1"/>
      <c r="AV288" s="1"/>
      <c r="AW288" s="1"/>
      <c r="AX288" s="1"/>
      <c r="AY288" s="1"/>
      <c r="AZ288" s="1" t="s">
        <v>3</v>
      </c>
      <c r="BA288" s="1"/>
      <c r="BB288" s="1" t="s">
        <v>3</v>
      </c>
      <c r="BC288" s="1" t="s">
        <v>3</v>
      </c>
      <c r="BD288" s="1" t="s">
        <v>3</v>
      </c>
      <c r="BE288" s="1" t="s">
        <v>3</v>
      </c>
      <c r="BF288" s="1" t="s">
        <v>3</v>
      </c>
      <c r="BG288" s="1" t="s">
        <v>3</v>
      </c>
      <c r="BH288" s="1" t="s">
        <v>3</v>
      </c>
      <c r="BI288" s="1" t="s">
        <v>3</v>
      </c>
      <c r="BJ288" s="1" t="s">
        <v>3</v>
      </c>
      <c r="BK288" s="1" t="s">
        <v>3</v>
      </c>
      <c r="BL288" s="1" t="s">
        <v>3</v>
      </c>
      <c r="BM288" s="1" t="s">
        <v>3</v>
      </c>
      <c r="BN288" s="1" t="s">
        <v>3</v>
      </c>
      <c r="BO288" s="1" t="s">
        <v>3</v>
      </c>
      <c r="BP288" s="1" t="s">
        <v>3</v>
      </c>
      <c r="BQ288" s="1"/>
      <c r="BR288" s="1"/>
      <c r="BS288" s="1"/>
      <c r="BT288" s="1"/>
      <c r="BU288" s="1"/>
      <c r="BV288" s="1"/>
      <c r="BW288" s="1"/>
      <c r="BX288" s="1">
        <v>0</v>
      </c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>
        <v>0</v>
      </c>
    </row>
    <row r="290" spans="1:255" x14ac:dyDescent="0.2">
      <c r="A290" s="3">
        <v>52</v>
      </c>
      <c r="B290" s="3">
        <f t="shared" ref="B290:G290" si="215">B319</f>
        <v>1</v>
      </c>
      <c r="C290" s="3">
        <f t="shared" si="215"/>
        <v>5</v>
      </c>
      <c r="D290" s="3">
        <f t="shared" si="215"/>
        <v>288</v>
      </c>
      <c r="E290" s="3">
        <f t="shared" si="215"/>
        <v>0</v>
      </c>
      <c r="F290" s="3" t="str">
        <f t="shared" si="215"/>
        <v>Новый подраздел</v>
      </c>
      <c r="G290" s="3" t="str">
        <f t="shared" si="215"/>
        <v>Тротуар</v>
      </c>
      <c r="H290" s="3"/>
      <c r="I290" s="3"/>
      <c r="J290" s="3"/>
      <c r="K290" s="3"/>
      <c r="L290" s="3"/>
      <c r="M290" s="3"/>
      <c r="N290" s="3"/>
      <c r="O290" s="3">
        <f t="shared" ref="O290:AT290" si="216">O319</f>
        <v>0</v>
      </c>
      <c r="P290" s="3">
        <f t="shared" si="216"/>
        <v>0</v>
      </c>
      <c r="Q290" s="3">
        <f t="shared" si="216"/>
        <v>0</v>
      </c>
      <c r="R290" s="3">
        <f t="shared" si="216"/>
        <v>0</v>
      </c>
      <c r="S290" s="3">
        <f t="shared" si="216"/>
        <v>0</v>
      </c>
      <c r="T290" s="3">
        <f t="shared" si="216"/>
        <v>0</v>
      </c>
      <c r="U290" s="3">
        <f t="shared" si="216"/>
        <v>0</v>
      </c>
      <c r="V290" s="3">
        <f t="shared" si="216"/>
        <v>0</v>
      </c>
      <c r="W290" s="3">
        <f t="shared" si="216"/>
        <v>0</v>
      </c>
      <c r="X290" s="3">
        <f t="shared" si="216"/>
        <v>0</v>
      </c>
      <c r="Y290" s="3">
        <f t="shared" si="216"/>
        <v>0</v>
      </c>
      <c r="Z290" s="3">
        <f t="shared" si="216"/>
        <v>0</v>
      </c>
      <c r="AA290" s="3">
        <f t="shared" si="216"/>
        <v>0</v>
      </c>
      <c r="AB290" s="3">
        <f t="shared" si="216"/>
        <v>0</v>
      </c>
      <c r="AC290" s="3">
        <f t="shared" si="216"/>
        <v>0</v>
      </c>
      <c r="AD290" s="3">
        <f t="shared" si="216"/>
        <v>0</v>
      </c>
      <c r="AE290" s="3">
        <f t="shared" si="216"/>
        <v>0</v>
      </c>
      <c r="AF290" s="3">
        <f t="shared" si="216"/>
        <v>0</v>
      </c>
      <c r="AG290" s="3">
        <f t="shared" si="216"/>
        <v>0</v>
      </c>
      <c r="AH290" s="3">
        <f t="shared" si="216"/>
        <v>0</v>
      </c>
      <c r="AI290" s="3">
        <f t="shared" si="216"/>
        <v>0</v>
      </c>
      <c r="AJ290" s="3">
        <f t="shared" si="216"/>
        <v>0</v>
      </c>
      <c r="AK290" s="3">
        <f t="shared" si="216"/>
        <v>0</v>
      </c>
      <c r="AL290" s="3">
        <f t="shared" si="216"/>
        <v>0</v>
      </c>
      <c r="AM290" s="3">
        <f t="shared" si="216"/>
        <v>0</v>
      </c>
      <c r="AN290" s="3">
        <f t="shared" si="216"/>
        <v>0</v>
      </c>
      <c r="AO290" s="3">
        <f t="shared" si="216"/>
        <v>0</v>
      </c>
      <c r="AP290" s="3">
        <f t="shared" si="216"/>
        <v>0</v>
      </c>
      <c r="AQ290" s="3">
        <f t="shared" si="216"/>
        <v>0</v>
      </c>
      <c r="AR290" s="3">
        <f t="shared" si="216"/>
        <v>0</v>
      </c>
      <c r="AS290" s="3">
        <f t="shared" si="216"/>
        <v>0</v>
      </c>
      <c r="AT290" s="3">
        <f t="shared" si="216"/>
        <v>0</v>
      </c>
      <c r="AU290" s="3">
        <f t="shared" ref="AU290:BZ290" si="217">AU319</f>
        <v>0</v>
      </c>
      <c r="AV290" s="3">
        <f t="shared" si="217"/>
        <v>0</v>
      </c>
      <c r="AW290" s="3">
        <f t="shared" si="217"/>
        <v>0</v>
      </c>
      <c r="AX290" s="3">
        <f t="shared" si="217"/>
        <v>0</v>
      </c>
      <c r="AY290" s="3">
        <f t="shared" si="217"/>
        <v>0</v>
      </c>
      <c r="AZ290" s="3">
        <f t="shared" si="217"/>
        <v>0</v>
      </c>
      <c r="BA290" s="3">
        <f t="shared" si="217"/>
        <v>0</v>
      </c>
      <c r="BB290" s="3">
        <f t="shared" si="217"/>
        <v>0</v>
      </c>
      <c r="BC290" s="3">
        <f t="shared" si="217"/>
        <v>0</v>
      </c>
      <c r="BD290" s="3">
        <f t="shared" si="217"/>
        <v>0</v>
      </c>
      <c r="BE290" s="3">
        <f t="shared" si="217"/>
        <v>0</v>
      </c>
      <c r="BF290" s="3">
        <f t="shared" si="217"/>
        <v>0</v>
      </c>
      <c r="BG290" s="3">
        <f t="shared" si="217"/>
        <v>0</v>
      </c>
      <c r="BH290" s="3">
        <f t="shared" si="217"/>
        <v>0</v>
      </c>
      <c r="BI290" s="3">
        <f t="shared" si="217"/>
        <v>0</v>
      </c>
      <c r="BJ290" s="3">
        <f t="shared" si="217"/>
        <v>0</v>
      </c>
      <c r="BK290" s="3">
        <f t="shared" si="217"/>
        <v>0</v>
      </c>
      <c r="BL290" s="3">
        <f t="shared" si="217"/>
        <v>0</v>
      </c>
      <c r="BM290" s="3">
        <f t="shared" si="217"/>
        <v>0</v>
      </c>
      <c r="BN290" s="3">
        <f t="shared" si="217"/>
        <v>0</v>
      </c>
      <c r="BO290" s="3">
        <f t="shared" si="217"/>
        <v>0</v>
      </c>
      <c r="BP290" s="3">
        <f t="shared" si="217"/>
        <v>0</v>
      </c>
      <c r="BQ290" s="3">
        <f t="shared" si="217"/>
        <v>0</v>
      </c>
      <c r="BR290" s="3">
        <f t="shared" si="217"/>
        <v>0</v>
      </c>
      <c r="BS290" s="3">
        <f t="shared" si="217"/>
        <v>0</v>
      </c>
      <c r="BT290" s="3">
        <f t="shared" si="217"/>
        <v>0</v>
      </c>
      <c r="BU290" s="3">
        <f t="shared" si="217"/>
        <v>0</v>
      </c>
      <c r="BV290" s="3">
        <f t="shared" si="217"/>
        <v>0</v>
      </c>
      <c r="BW290" s="3">
        <f t="shared" si="217"/>
        <v>0</v>
      </c>
      <c r="BX290" s="3">
        <f t="shared" si="217"/>
        <v>0</v>
      </c>
      <c r="BY290" s="3">
        <f t="shared" si="217"/>
        <v>0</v>
      </c>
      <c r="BZ290" s="3">
        <f t="shared" si="217"/>
        <v>0</v>
      </c>
      <c r="CA290" s="3">
        <f t="shared" ref="CA290:DF290" si="218">CA319</f>
        <v>0</v>
      </c>
      <c r="CB290" s="3">
        <f t="shared" si="218"/>
        <v>0</v>
      </c>
      <c r="CC290" s="3">
        <f t="shared" si="218"/>
        <v>0</v>
      </c>
      <c r="CD290" s="3">
        <f t="shared" si="218"/>
        <v>0</v>
      </c>
      <c r="CE290" s="3">
        <f t="shared" si="218"/>
        <v>0</v>
      </c>
      <c r="CF290" s="3">
        <f t="shared" si="218"/>
        <v>0</v>
      </c>
      <c r="CG290" s="3">
        <f t="shared" si="218"/>
        <v>0</v>
      </c>
      <c r="CH290" s="3">
        <f t="shared" si="218"/>
        <v>0</v>
      </c>
      <c r="CI290" s="3">
        <f t="shared" si="218"/>
        <v>0</v>
      </c>
      <c r="CJ290" s="3">
        <f t="shared" si="218"/>
        <v>0</v>
      </c>
      <c r="CK290" s="3">
        <f t="shared" si="218"/>
        <v>0</v>
      </c>
      <c r="CL290" s="3">
        <f t="shared" si="218"/>
        <v>0</v>
      </c>
      <c r="CM290" s="3">
        <f t="shared" si="218"/>
        <v>0</v>
      </c>
      <c r="CN290" s="3">
        <f t="shared" si="218"/>
        <v>0</v>
      </c>
      <c r="CO290" s="3">
        <f t="shared" si="218"/>
        <v>0</v>
      </c>
      <c r="CP290" s="3">
        <f t="shared" si="218"/>
        <v>0</v>
      </c>
      <c r="CQ290" s="3">
        <f t="shared" si="218"/>
        <v>0</v>
      </c>
      <c r="CR290" s="3">
        <f t="shared" si="218"/>
        <v>0</v>
      </c>
      <c r="CS290" s="3">
        <f t="shared" si="218"/>
        <v>0</v>
      </c>
      <c r="CT290" s="3">
        <f t="shared" si="218"/>
        <v>0</v>
      </c>
      <c r="CU290" s="3">
        <f t="shared" si="218"/>
        <v>0</v>
      </c>
      <c r="CV290" s="3">
        <f t="shared" si="218"/>
        <v>0</v>
      </c>
      <c r="CW290" s="3">
        <f t="shared" si="218"/>
        <v>0</v>
      </c>
      <c r="CX290" s="3">
        <f t="shared" si="218"/>
        <v>0</v>
      </c>
      <c r="CY290" s="3">
        <f t="shared" si="218"/>
        <v>0</v>
      </c>
      <c r="CZ290" s="3">
        <f t="shared" si="218"/>
        <v>0</v>
      </c>
      <c r="DA290" s="3">
        <f t="shared" si="218"/>
        <v>0</v>
      </c>
      <c r="DB290" s="3">
        <f t="shared" si="218"/>
        <v>0</v>
      </c>
      <c r="DC290" s="3">
        <f t="shared" si="218"/>
        <v>0</v>
      </c>
      <c r="DD290" s="3">
        <f t="shared" si="218"/>
        <v>0</v>
      </c>
      <c r="DE290" s="3">
        <f t="shared" si="218"/>
        <v>0</v>
      </c>
      <c r="DF290" s="3">
        <f t="shared" si="218"/>
        <v>0</v>
      </c>
      <c r="DG290" s="4">
        <f t="shared" ref="DG290:EL290" si="219">DG319</f>
        <v>0</v>
      </c>
      <c r="DH290" s="4">
        <f t="shared" si="219"/>
        <v>0</v>
      </c>
      <c r="DI290" s="4">
        <f t="shared" si="219"/>
        <v>0</v>
      </c>
      <c r="DJ290" s="4">
        <f t="shared" si="219"/>
        <v>0</v>
      </c>
      <c r="DK290" s="4">
        <f t="shared" si="219"/>
        <v>0</v>
      </c>
      <c r="DL290" s="4">
        <f t="shared" si="219"/>
        <v>0</v>
      </c>
      <c r="DM290" s="4">
        <f t="shared" si="219"/>
        <v>0</v>
      </c>
      <c r="DN290" s="4">
        <f t="shared" si="219"/>
        <v>0</v>
      </c>
      <c r="DO290" s="4">
        <f t="shared" si="219"/>
        <v>0</v>
      </c>
      <c r="DP290" s="4">
        <f t="shared" si="219"/>
        <v>0</v>
      </c>
      <c r="DQ290" s="4">
        <f t="shared" si="219"/>
        <v>0</v>
      </c>
      <c r="DR290" s="4">
        <f t="shared" si="219"/>
        <v>0</v>
      </c>
      <c r="DS290" s="4">
        <f t="shared" si="219"/>
        <v>0</v>
      </c>
      <c r="DT290" s="4">
        <f t="shared" si="219"/>
        <v>0</v>
      </c>
      <c r="DU290" s="4">
        <f t="shared" si="219"/>
        <v>0</v>
      </c>
      <c r="DV290" s="4">
        <f t="shared" si="219"/>
        <v>0</v>
      </c>
      <c r="DW290" s="4">
        <f t="shared" si="219"/>
        <v>0</v>
      </c>
      <c r="DX290" s="4">
        <f t="shared" si="219"/>
        <v>0</v>
      </c>
      <c r="DY290" s="4">
        <f t="shared" si="219"/>
        <v>0</v>
      </c>
      <c r="DZ290" s="4">
        <f t="shared" si="219"/>
        <v>0</v>
      </c>
      <c r="EA290" s="4">
        <f t="shared" si="219"/>
        <v>0</v>
      </c>
      <c r="EB290" s="4">
        <f t="shared" si="219"/>
        <v>0</v>
      </c>
      <c r="EC290" s="4">
        <f t="shared" si="219"/>
        <v>0</v>
      </c>
      <c r="ED290" s="4">
        <f t="shared" si="219"/>
        <v>0</v>
      </c>
      <c r="EE290" s="4">
        <f t="shared" si="219"/>
        <v>0</v>
      </c>
      <c r="EF290" s="4">
        <f t="shared" si="219"/>
        <v>0</v>
      </c>
      <c r="EG290" s="4">
        <f t="shared" si="219"/>
        <v>0</v>
      </c>
      <c r="EH290" s="4">
        <f t="shared" si="219"/>
        <v>0</v>
      </c>
      <c r="EI290" s="4">
        <f t="shared" si="219"/>
        <v>0</v>
      </c>
      <c r="EJ290" s="4">
        <f t="shared" si="219"/>
        <v>0</v>
      </c>
      <c r="EK290" s="4">
        <f t="shared" si="219"/>
        <v>0</v>
      </c>
      <c r="EL290" s="4">
        <f t="shared" si="219"/>
        <v>0</v>
      </c>
      <c r="EM290" s="4">
        <f t="shared" ref="EM290:FR290" si="220">EM319</f>
        <v>0</v>
      </c>
      <c r="EN290" s="4">
        <f t="shared" si="220"/>
        <v>0</v>
      </c>
      <c r="EO290" s="4">
        <f t="shared" si="220"/>
        <v>0</v>
      </c>
      <c r="EP290" s="4">
        <f t="shared" si="220"/>
        <v>0</v>
      </c>
      <c r="EQ290" s="4">
        <f t="shared" si="220"/>
        <v>0</v>
      </c>
      <c r="ER290" s="4">
        <f t="shared" si="220"/>
        <v>0</v>
      </c>
      <c r="ES290" s="4">
        <f t="shared" si="220"/>
        <v>0</v>
      </c>
      <c r="ET290" s="4">
        <f t="shared" si="220"/>
        <v>0</v>
      </c>
      <c r="EU290" s="4">
        <f t="shared" si="220"/>
        <v>0</v>
      </c>
      <c r="EV290" s="4">
        <f t="shared" si="220"/>
        <v>0</v>
      </c>
      <c r="EW290" s="4">
        <f t="shared" si="220"/>
        <v>0</v>
      </c>
      <c r="EX290" s="4">
        <f t="shared" si="220"/>
        <v>0</v>
      </c>
      <c r="EY290" s="4">
        <f t="shared" si="220"/>
        <v>0</v>
      </c>
      <c r="EZ290" s="4">
        <f t="shared" si="220"/>
        <v>0</v>
      </c>
      <c r="FA290" s="4">
        <f t="shared" si="220"/>
        <v>0</v>
      </c>
      <c r="FB290" s="4">
        <f t="shared" si="220"/>
        <v>0</v>
      </c>
      <c r="FC290" s="4">
        <f t="shared" si="220"/>
        <v>0</v>
      </c>
      <c r="FD290" s="4">
        <f t="shared" si="220"/>
        <v>0</v>
      </c>
      <c r="FE290" s="4">
        <f t="shared" si="220"/>
        <v>0</v>
      </c>
      <c r="FF290" s="4">
        <f t="shared" si="220"/>
        <v>0</v>
      </c>
      <c r="FG290" s="4">
        <f t="shared" si="220"/>
        <v>0</v>
      </c>
      <c r="FH290" s="4">
        <f t="shared" si="220"/>
        <v>0</v>
      </c>
      <c r="FI290" s="4">
        <f t="shared" si="220"/>
        <v>0</v>
      </c>
      <c r="FJ290" s="4">
        <f t="shared" si="220"/>
        <v>0</v>
      </c>
      <c r="FK290" s="4">
        <f t="shared" si="220"/>
        <v>0</v>
      </c>
      <c r="FL290" s="4">
        <f t="shared" si="220"/>
        <v>0</v>
      </c>
      <c r="FM290" s="4">
        <f t="shared" si="220"/>
        <v>0</v>
      </c>
      <c r="FN290" s="4">
        <f t="shared" si="220"/>
        <v>0</v>
      </c>
      <c r="FO290" s="4">
        <f t="shared" si="220"/>
        <v>0</v>
      </c>
      <c r="FP290" s="4">
        <f t="shared" si="220"/>
        <v>0</v>
      </c>
      <c r="FQ290" s="4">
        <f t="shared" si="220"/>
        <v>0</v>
      </c>
      <c r="FR290" s="4">
        <f t="shared" si="220"/>
        <v>0</v>
      </c>
      <c r="FS290" s="4">
        <f t="shared" ref="FS290:GX290" si="221">FS319</f>
        <v>0</v>
      </c>
      <c r="FT290" s="4">
        <f t="shared" si="221"/>
        <v>0</v>
      </c>
      <c r="FU290" s="4">
        <f t="shared" si="221"/>
        <v>0</v>
      </c>
      <c r="FV290" s="4">
        <f t="shared" si="221"/>
        <v>0</v>
      </c>
      <c r="FW290" s="4">
        <f t="shared" si="221"/>
        <v>0</v>
      </c>
      <c r="FX290" s="4">
        <f t="shared" si="221"/>
        <v>0</v>
      </c>
      <c r="FY290" s="4">
        <f t="shared" si="221"/>
        <v>0</v>
      </c>
      <c r="FZ290" s="4">
        <f t="shared" si="221"/>
        <v>0</v>
      </c>
      <c r="GA290" s="4">
        <f t="shared" si="221"/>
        <v>0</v>
      </c>
      <c r="GB290" s="4">
        <f t="shared" si="221"/>
        <v>0</v>
      </c>
      <c r="GC290" s="4">
        <f t="shared" si="221"/>
        <v>0</v>
      </c>
      <c r="GD290" s="4">
        <f t="shared" si="221"/>
        <v>0</v>
      </c>
      <c r="GE290" s="4">
        <f t="shared" si="221"/>
        <v>0</v>
      </c>
      <c r="GF290" s="4">
        <f t="shared" si="221"/>
        <v>0</v>
      </c>
      <c r="GG290" s="4">
        <f t="shared" si="221"/>
        <v>0</v>
      </c>
      <c r="GH290" s="4">
        <f t="shared" si="221"/>
        <v>0</v>
      </c>
      <c r="GI290" s="4">
        <f t="shared" si="221"/>
        <v>0</v>
      </c>
      <c r="GJ290" s="4">
        <f t="shared" si="221"/>
        <v>0</v>
      </c>
      <c r="GK290" s="4">
        <f t="shared" si="221"/>
        <v>0</v>
      </c>
      <c r="GL290" s="4">
        <f t="shared" si="221"/>
        <v>0</v>
      </c>
      <c r="GM290" s="4">
        <f t="shared" si="221"/>
        <v>0</v>
      </c>
      <c r="GN290" s="4">
        <f t="shared" si="221"/>
        <v>0</v>
      </c>
      <c r="GO290" s="4">
        <f t="shared" si="221"/>
        <v>0</v>
      </c>
      <c r="GP290" s="4">
        <f t="shared" si="221"/>
        <v>0</v>
      </c>
      <c r="GQ290" s="4">
        <f t="shared" si="221"/>
        <v>0</v>
      </c>
      <c r="GR290" s="4">
        <f t="shared" si="221"/>
        <v>0</v>
      </c>
      <c r="GS290" s="4">
        <f t="shared" si="221"/>
        <v>0</v>
      </c>
      <c r="GT290" s="4">
        <f t="shared" si="221"/>
        <v>0</v>
      </c>
      <c r="GU290" s="4">
        <f t="shared" si="221"/>
        <v>0</v>
      </c>
      <c r="GV290" s="4">
        <f t="shared" si="221"/>
        <v>0</v>
      </c>
      <c r="GW290" s="4">
        <f t="shared" si="221"/>
        <v>0</v>
      </c>
      <c r="GX290" s="4">
        <f t="shared" si="221"/>
        <v>0</v>
      </c>
    </row>
    <row r="292" spans="1:255" x14ac:dyDescent="0.2">
      <c r="A292" s="2">
        <v>17</v>
      </c>
      <c r="B292" s="2">
        <v>1</v>
      </c>
      <c r="C292" s="2"/>
      <c r="D292" s="2">
        <f>ROW(EtalonRes!A437)</f>
        <v>437</v>
      </c>
      <c r="E292" s="2" t="s">
        <v>347</v>
      </c>
      <c r="F292" s="2" t="s">
        <v>278</v>
      </c>
      <c r="G292" s="2" t="s">
        <v>279</v>
      </c>
      <c r="H292" s="2" t="s">
        <v>280</v>
      </c>
      <c r="I292" s="2">
        <v>0</v>
      </c>
      <c r="J292" s="2">
        <v>0</v>
      </c>
      <c r="K292" s="2">
        <v>0</v>
      </c>
      <c r="L292" s="2"/>
      <c r="M292" s="2"/>
      <c r="N292" s="2"/>
      <c r="O292" s="2">
        <f t="shared" ref="O292:O317" si="222">ROUND(CP292,2)</f>
        <v>0</v>
      </c>
      <c r="P292" s="2">
        <f t="shared" ref="P292:P317" si="223">ROUND((ROUND((AC292*AW292*I292),2)*BC292),2)</f>
        <v>0</v>
      </c>
      <c r="Q292" s="2">
        <f t="shared" ref="Q292:Q299" si="224">(ROUND((ROUND((((ET292*1.1))*AV292*I292),2)*BB292),2)+ROUND((ROUND(((AE292-((EU292*1.1)))*AV292*I292),2)*BS292),2))</f>
        <v>0</v>
      </c>
      <c r="R292" s="2">
        <f t="shared" ref="R292:R317" si="225">ROUND((ROUND((AE292*AV292*I292),2)*BS292),2)</f>
        <v>0</v>
      </c>
      <c r="S292" s="2">
        <f t="shared" ref="S292:S317" si="226">ROUND((ROUND((AF292*AV292*I292),2)*BA292),2)</f>
        <v>0</v>
      </c>
      <c r="T292" s="2">
        <f t="shared" ref="T292:T317" si="227">ROUND(CU292*I292,2)</f>
        <v>0</v>
      </c>
      <c r="U292" s="2">
        <f t="shared" ref="U292:U317" si="228">CV292*I292</f>
        <v>0</v>
      </c>
      <c r="V292" s="2">
        <f t="shared" ref="V292:V317" si="229">CW292*I292</f>
        <v>0</v>
      </c>
      <c r="W292" s="2">
        <f t="shared" ref="W292:W317" si="230">ROUND(CX292*I292,2)</f>
        <v>0</v>
      </c>
      <c r="X292" s="2">
        <f t="shared" ref="X292:X317" si="231">ROUND(CY292,2)</f>
        <v>0</v>
      </c>
      <c r="Y292" s="2">
        <f t="shared" ref="Y292:Y317" si="232">ROUND(CZ292,2)</f>
        <v>0</v>
      </c>
      <c r="Z292" s="2"/>
      <c r="AA292" s="2">
        <v>56622523</v>
      </c>
      <c r="AB292" s="2">
        <f t="shared" ref="AB292:AB317" si="233">ROUND((AC292+AD292+AF292),6)</f>
        <v>3986.268</v>
      </c>
      <c r="AC292" s="2">
        <f t="shared" ref="AC292:AC317" si="234">ROUND((ES292),6)</f>
        <v>0</v>
      </c>
      <c r="AD292" s="2">
        <f t="shared" ref="AD292:AD299" si="235">ROUND(((((ET292*1.1))-((EU292*1.1)))+AE292),6)</f>
        <v>2129.5230000000001</v>
      </c>
      <c r="AE292" s="2">
        <f t="shared" ref="AE292:AF299" si="236">ROUND(((EU292*1.1)),6)</f>
        <v>553.28899999999999</v>
      </c>
      <c r="AF292" s="2">
        <f t="shared" si="236"/>
        <v>1856.7449999999999</v>
      </c>
      <c r="AG292" s="2">
        <f t="shared" ref="AG292:AG317" si="237">ROUND((AP292),6)</f>
        <v>0</v>
      </c>
      <c r="AH292" s="2">
        <f t="shared" ref="AH292:AI299" si="238">((EW292*1.1))</f>
        <v>170.5</v>
      </c>
      <c r="AI292" s="2">
        <f t="shared" si="238"/>
        <v>0</v>
      </c>
      <c r="AJ292" s="2">
        <f t="shared" ref="AJ292:AJ317" si="239">(AS292)</f>
        <v>0</v>
      </c>
      <c r="AK292" s="2">
        <v>3623.88</v>
      </c>
      <c r="AL292" s="2">
        <v>0</v>
      </c>
      <c r="AM292" s="2">
        <v>1935.93</v>
      </c>
      <c r="AN292" s="2">
        <v>502.99</v>
      </c>
      <c r="AO292" s="2">
        <v>1687.95</v>
      </c>
      <c r="AP292" s="2">
        <v>0</v>
      </c>
      <c r="AQ292" s="2">
        <v>155</v>
      </c>
      <c r="AR292" s="2">
        <v>0</v>
      </c>
      <c r="AS292" s="2">
        <v>0</v>
      </c>
      <c r="AT292" s="2">
        <v>80</v>
      </c>
      <c r="AU292" s="2">
        <v>55</v>
      </c>
      <c r="AV292" s="2">
        <v>1.0469999999999999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0</v>
      </c>
      <c r="BI292" s="2">
        <v>1</v>
      </c>
      <c r="BJ292" s="2" t="s">
        <v>281</v>
      </c>
      <c r="BK292" s="2"/>
      <c r="BL292" s="2"/>
      <c r="BM292" s="2">
        <v>674</v>
      </c>
      <c r="BN292" s="2">
        <v>0</v>
      </c>
      <c r="BO292" s="2" t="s">
        <v>3</v>
      </c>
      <c r="BP292" s="2">
        <v>0</v>
      </c>
      <c r="BQ292" s="2">
        <v>60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80</v>
      </c>
      <c r="CA292" s="2">
        <v>55</v>
      </c>
      <c r="CB292" s="2" t="s">
        <v>3</v>
      </c>
      <c r="CC292" s="2"/>
      <c r="CD292" s="2"/>
      <c r="CE292" s="2">
        <v>30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689</v>
      </c>
      <c r="CO292" s="2">
        <v>0</v>
      </c>
      <c r="CP292" s="2">
        <f t="shared" ref="CP292:CP317" si="240">(P292+Q292+S292)</f>
        <v>0</v>
      </c>
      <c r="CQ292" s="2">
        <f t="shared" ref="CQ292:CQ317" si="241">ROUND((ROUND((AC292*AW292*1),2)*BC292),2)</f>
        <v>0</v>
      </c>
      <c r="CR292" s="2">
        <f t="shared" ref="CR292:CR299" si="242">(ROUND((ROUND((((ET292*1.1))*AV292*1),2)*BB292),2)+ROUND((ROUND(((AE292-((EU292*1.1)))*AV292*1),2)*BS292),2))</f>
        <v>2229.61</v>
      </c>
      <c r="CS292" s="2">
        <f t="shared" ref="CS292:CS317" si="243">ROUND((ROUND((AE292*AV292*1),2)*BS292),2)</f>
        <v>579.29</v>
      </c>
      <c r="CT292" s="2">
        <f t="shared" ref="CT292:CT317" si="244">ROUND((ROUND((AF292*AV292*1),2)*BA292),2)</f>
        <v>1944.01</v>
      </c>
      <c r="CU292" s="2">
        <f t="shared" ref="CU292:CU317" si="245">AG292</f>
        <v>0</v>
      </c>
      <c r="CV292" s="2">
        <f t="shared" ref="CV292:CV317" si="246">(AH292*AV292)</f>
        <v>178.51349999999999</v>
      </c>
      <c r="CW292" s="2">
        <f t="shared" ref="CW292:CW317" si="247">AI292</f>
        <v>0</v>
      </c>
      <c r="CX292" s="2">
        <f t="shared" ref="CX292:CX317" si="248">AJ292</f>
        <v>0</v>
      </c>
      <c r="CY292" s="2">
        <f>((S292*BZ292)/100)</f>
        <v>0</v>
      </c>
      <c r="CZ292" s="2">
        <f>((S292*CA292)/100)</f>
        <v>0</v>
      </c>
      <c r="DA292" s="2"/>
      <c r="DB292" s="2"/>
      <c r="DC292" s="2" t="s">
        <v>3</v>
      </c>
      <c r="DD292" s="2" t="s">
        <v>3</v>
      </c>
      <c r="DE292" s="2" t="s">
        <v>22</v>
      </c>
      <c r="DF292" s="2" t="s">
        <v>22</v>
      </c>
      <c r="DG292" s="2" t="s">
        <v>22</v>
      </c>
      <c r="DH292" s="2" t="s">
        <v>3</v>
      </c>
      <c r="DI292" s="2" t="s">
        <v>22</v>
      </c>
      <c r="DJ292" s="2" t="s">
        <v>22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1007</v>
      </c>
      <c r="DV292" s="2" t="s">
        <v>280</v>
      </c>
      <c r="DW292" s="2" t="s">
        <v>280</v>
      </c>
      <c r="DX292" s="2">
        <v>100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51696713</v>
      </c>
      <c r="EF292" s="2">
        <v>60</v>
      </c>
      <c r="EG292" s="2" t="s">
        <v>282</v>
      </c>
      <c r="EH292" s="2">
        <v>0</v>
      </c>
      <c r="EI292" s="2" t="s">
        <v>3</v>
      </c>
      <c r="EJ292" s="2">
        <v>1</v>
      </c>
      <c r="EK292" s="2">
        <v>674</v>
      </c>
      <c r="EL292" s="2" t="s">
        <v>283</v>
      </c>
      <c r="EM292" s="2" t="s">
        <v>284</v>
      </c>
      <c r="EN292" s="2"/>
      <c r="EO292" s="2" t="s">
        <v>26</v>
      </c>
      <c r="EP292" s="2"/>
      <c r="EQ292" s="2">
        <v>131072</v>
      </c>
      <c r="ER292" s="2">
        <v>3623.88</v>
      </c>
      <c r="ES292" s="2">
        <v>0</v>
      </c>
      <c r="ET292" s="2">
        <v>1935.93</v>
      </c>
      <c r="EU292" s="2">
        <v>502.99</v>
      </c>
      <c r="EV292" s="2">
        <v>1687.95</v>
      </c>
      <c r="EW292" s="2">
        <v>155</v>
      </c>
      <c r="EX292" s="2">
        <v>0</v>
      </c>
      <c r="EY292" s="2">
        <v>0</v>
      </c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80</v>
      </c>
      <c r="FY292" s="2">
        <v>55</v>
      </c>
      <c r="FZ292" s="2"/>
      <c r="GA292" s="2" t="s">
        <v>3</v>
      </c>
      <c r="GB292" s="2"/>
      <c r="GC292" s="2"/>
      <c r="GD292" s="2">
        <v>0</v>
      </c>
      <c r="GE292" s="2"/>
      <c r="GF292" s="2">
        <v>854491468</v>
      </c>
      <c r="GG292" s="2">
        <v>2</v>
      </c>
      <c r="GH292" s="2">
        <v>1</v>
      </c>
      <c r="GI292" s="2">
        <v>-2</v>
      </c>
      <c r="GJ292" s="2">
        <v>0</v>
      </c>
      <c r="GK292" s="2">
        <f>ROUND(R292*(R12)/100,2)</f>
        <v>0</v>
      </c>
      <c r="GL292" s="2">
        <f t="shared" ref="GL292:GL317" si="249">ROUND(IF(AND(BH292=3,BI292=3,FS292&lt;&gt;0),P292,0),2)</f>
        <v>0</v>
      </c>
      <c r="GM292" s="2">
        <f t="shared" ref="GM292:GM317" si="250">ROUND(O292+X292+Y292+GK292,2)+GX292</f>
        <v>0</v>
      </c>
      <c r="GN292" s="2">
        <f t="shared" ref="GN292:GN317" si="251">IF(OR(BI292=0,BI292=1),GM292-GX292,0)</f>
        <v>0</v>
      </c>
      <c r="GO292" s="2">
        <f t="shared" ref="GO292:GO317" si="252">IF(BI292=2,GM292-GX292,0)</f>
        <v>0</v>
      </c>
      <c r="GP292" s="2">
        <f t="shared" ref="GP292:GP317" si="253">IF(BI292=4,GM292-GX292,0)</f>
        <v>0</v>
      </c>
      <c r="GQ292" s="2"/>
      <c r="GR292" s="2">
        <v>0</v>
      </c>
      <c r="GS292" s="2">
        <v>0</v>
      </c>
      <c r="GT292" s="2">
        <v>0</v>
      </c>
      <c r="GU292" s="2" t="s">
        <v>3</v>
      </c>
      <c r="GV292" s="2">
        <f t="shared" ref="GV292:GV317" si="254">ROUND((GT292),6)</f>
        <v>0</v>
      </c>
      <c r="GW292" s="2">
        <v>1</v>
      </c>
      <c r="GX292" s="2">
        <f t="shared" ref="GX292:GX317" si="255">ROUND(HC292*I292,2)</f>
        <v>0</v>
      </c>
      <c r="GY292" s="2"/>
      <c r="GZ292" s="2"/>
      <c r="HA292" s="2">
        <v>0</v>
      </c>
      <c r="HB292" s="2">
        <v>0</v>
      </c>
      <c r="HC292" s="2">
        <f t="shared" ref="HC292:HC317" si="256">GV292*GW292</f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">
      <c r="A293">
        <v>17</v>
      </c>
      <c r="B293">
        <v>1</v>
      </c>
      <c r="D293">
        <f>ROW(EtalonRes!A442)</f>
        <v>442</v>
      </c>
      <c r="E293" t="s">
        <v>347</v>
      </c>
      <c r="F293" t="s">
        <v>278</v>
      </c>
      <c r="G293" t="s">
        <v>279</v>
      </c>
      <c r="H293" t="s">
        <v>280</v>
      </c>
      <c r="I293">
        <v>0</v>
      </c>
      <c r="J293">
        <v>0</v>
      </c>
      <c r="K293">
        <v>0</v>
      </c>
      <c r="O293">
        <f t="shared" si="222"/>
        <v>0</v>
      </c>
      <c r="P293">
        <f t="shared" si="223"/>
        <v>0</v>
      </c>
      <c r="Q293">
        <f t="shared" si="224"/>
        <v>0</v>
      </c>
      <c r="R293">
        <f t="shared" si="225"/>
        <v>0</v>
      </c>
      <c r="S293">
        <f t="shared" si="226"/>
        <v>0</v>
      </c>
      <c r="T293">
        <f t="shared" si="227"/>
        <v>0</v>
      </c>
      <c r="U293">
        <f t="shared" si="228"/>
        <v>0</v>
      </c>
      <c r="V293">
        <f t="shared" si="229"/>
        <v>0</v>
      </c>
      <c r="W293">
        <f t="shared" si="230"/>
        <v>0</v>
      </c>
      <c r="X293">
        <f t="shared" si="231"/>
        <v>0</v>
      </c>
      <c r="Y293">
        <f t="shared" si="232"/>
        <v>0</v>
      </c>
      <c r="AA293">
        <v>56611490</v>
      </c>
      <c r="AB293">
        <f t="shared" si="233"/>
        <v>3986.268</v>
      </c>
      <c r="AC293">
        <f t="shared" si="234"/>
        <v>0</v>
      </c>
      <c r="AD293">
        <f t="shared" si="235"/>
        <v>2129.5230000000001</v>
      </c>
      <c r="AE293">
        <f t="shared" si="236"/>
        <v>553.28899999999999</v>
      </c>
      <c r="AF293">
        <f t="shared" si="236"/>
        <v>1856.7449999999999</v>
      </c>
      <c r="AG293">
        <f t="shared" si="237"/>
        <v>0</v>
      </c>
      <c r="AH293">
        <f t="shared" si="238"/>
        <v>170.5</v>
      </c>
      <c r="AI293">
        <f t="shared" si="238"/>
        <v>0</v>
      </c>
      <c r="AJ293">
        <f t="shared" si="239"/>
        <v>0</v>
      </c>
      <c r="AK293">
        <v>3623.88</v>
      </c>
      <c r="AL293">
        <v>0</v>
      </c>
      <c r="AM293">
        <v>1935.93</v>
      </c>
      <c r="AN293">
        <v>502.99</v>
      </c>
      <c r="AO293">
        <v>1687.95</v>
      </c>
      <c r="AP293">
        <v>0</v>
      </c>
      <c r="AQ293">
        <v>155</v>
      </c>
      <c r="AR293">
        <v>0</v>
      </c>
      <c r="AS293">
        <v>0</v>
      </c>
      <c r="AT293">
        <v>70</v>
      </c>
      <c r="AU293">
        <v>41</v>
      </c>
      <c r="AV293">
        <v>1.0469999999999999</v>
      </c>
      <c r="AW293">
        <v>1</v>
      </c>
      <c r="AZ293">
        <v>1</v>
      </c>
      <c r="BA293">
        <v>34.51</v>
      </c>
      <c r="BB293">
        <v>16.46</v>
      </c>
      <c r="BC293">
        <v>1</v>
      </c>
      <c r="BD293" t="s">
        <v>3</v>
      </c>
      <c r="BE293" t="s">
        <v>3</v>
      </c>
      <c r="BF293" t="s">
        <v>3</v>
      </c>
      <c r="BG293" t="s">
        <v>3</v>
      </c>
      <c r="BH293">
        <v>0</v>
      </c>
      <c r="BI293">
        <v>1</v>
      </c>
      <c r="BJ293" t="s">
        <v>281</v>
      </c>
      <c r="BM293">
        <v>674</v>
      </c>
      <c r="BN293">
        <v>0</v>
      </c>
      <c r="BO293" t="s">
        <v>278</v>
      </c>
      <c r="BP293">
        <v>1</v>
      </c>
      <c r="BQ293">
        <v>60</v>
      </c>
      <c r="BR293">
        <v>0</v>
      </c>
      <c r="BS293">
        <v>34.51</v>
      </c>
      <c r="BT293">
        <v>1</v>
      </c>
      <c r="BU293">
        <v>1</v>
      </c>
      <c r="BV293">
        <v>1</v>
      </c>
      <c r="BW293">
        <v>1</v>
      </c>
      <c r="BX293">
        <v>1</v>
      </c>
      <c r="BY293" t="s">
        <v>3</v>
      </c>
      <c r="BZ293">
        <v>70</v>
      </c>
      <c r="CA293">
        <v>41</v>
      </c>
      <c r="CB293" t="s">
        <v>3</v>
      </c>
      <c r="CE293">
        <v>30</v>
      </c>
      <c r="CF293">
        <v>0</v>
      </c>
      <c r="CG293">
        <v>0</v>
      </c>
      <c r="CM293">
        <v>0</v>
      </c>
      <c r="CN293" t="s">
        <v>689</v>
      </c>
      <c r="CO293">
        <v>0</v>
      </c>
      <c r="CP293">
        <f t="shared" si="240"/>
        <v>0</v>
      </c>
      <c r="CQ293">
        <f t="shared" si="241"/>
        <v>0</v>
      </c>
      <c r="CR293">
        <f t="shared" si="242"/>
        <v>36699.379999999997</v>
      </c>
      <c r="CS293">
        <f t="shared" si="243"/>
        <v>19991.3</v>
      </c>
      <c r="CT293">
        <f t="shared" si="244"/>
        <v>67087.789999999994</v>
      </c>
      <c r="CU293">
        <f t="shared" si="245"/>
        <v>0</v>
      </c>
      <c r="CV293">
        <f t="shared" si="246"/>
        <v>178.51349999999999</v>
      </c>
      <c r="CW293">
        <f t="shared" si="247"/>
        <v>0</v>
      </c>
      <c r="CX293">
        <f t="shared" si="248"/>
        <v>0</v>
      </c>
      <c r="CY293">
        <f>S293*(BZ293/100)</f>
        <v>0</v>
      </c>
      <c r="CZ293">
        <f>S293*(CA293/100)</f>
        <v>0</v>
      </c>
      <c r="DC293" t="s">
        <v>3</v>
      </c>
      <c r="DD293" t="s">
        <v>3</v>
      </c>
      <c r="DE293" t="s">
        <v>22</v>
      </c>
      <c r="DF293" t="s">
        <v>22</v>
      </c>
      <c r="DG293" t="s">
        <v>22</v>
      </c>
      <c r="DH293" t="s">
        <v>3</v>
      </c>
      <c r="DI293" t="s">
        <v>22</v>
      </c>
      <c r="DJ293" t="s">
        <v>22</v>
      </c>
      <c r="DK293" t="s">
        <v>3</v>
      </c>
      <c r="DL293" t="s">
        <v>3</v>
      </c>
      <c r="DM293" t="s">
        <v>3</v>
      </c>
      <c r="DN293">
        <v>80</v>
      </c>
      <c r="DO293">
        <v>55</v>
      </c>
      <c r="DP293">
        <v>1.0469999999999999</v>
      </c>
      <c r="DQ293">
        <v>1</v>
      </c>
      <c r="DU293">
        <v>1007</v>
      </c>
      <c r="DV293" t="s">
        <v>280</v>
      </c>
      <c r="DW293" t="s">
        <v>280</v>
      </c>
      <c r="DX293">
        <v>100</v>
      </c>
      <c r="DZ293" t="s">
        <v>3</v>
      </c>
      <c r="EA293" t="s">
        <v>3</v>
      </c>
      <c r="EB293" t="s">
        <v>3</v>
      </c>
      <c r="EC293" t="s">
        <v>3</v>
      </c>
      <c r="EE293">
        <v>51696713</v>
      </c>
      <c r="EF293">
        <v>60</v>
      </c>
      <c r="EG293" t="s">
        <v>282</v>
      </c>
      <c r="EH293">
        <v>0</v>
      </c>
      <c r="EI293" t="s">
        <v>3</v>
      </c>
      <c r="EJ293">
        <v>1</v>
      </c>
      <c r="EK293">
        <v>674</v>
      </c>
      <c r="EL293" t="s">
        <v>283</v>
      </c>
      <c r="EM293" t="s">
        <v>284</v>
      </c>
      <c r="EO293" t="s">
        <v>26</v>
      </c>
      <c r="EQ293">
        <v>131072</v>
      </c>
      <c r="ER293">
        <v>3623.88</v>
      </c>
      <c r="ES293">
        <v>0</v>
      </c>
      <c r="ET293">
        <v>1935.93</v>
      </c>
      <c r="EU293">
        <v>502.99</v>
      </c>
      <c r="EV293">
        <v>1687.95</v>
      </c>
      <c r="EW293">
        <v>155</v>
      </c>
      <c r="EX293">
        <v>0</v>
      </c>
      <c r="EY293">
        <v>0</v>
      </c>
      <c r="FQ293">
        <v>0</v>
      </c>
      <c r="FR293">
        <v>0</v>
      </c>
      <c r="FS293">
        <v>0</v>
      </c>
      <c r="FX293">
        <v>80</v>
      </c>
      <c r="FY293">
        <v>55</v>
      </c>
      <c r="GA293" t="s">
        <v>3</v>
      </c>
      <c r="GD293">
        <v>0</v>
      </c>
      <c r="GF293">
        <v>854491468</v>
      </c>
      <c r="GG293">
        <v>2</v>
      </c>
      <c r="GH293">
        <v>1</v>
      </c>
      <c r="GI293">
        <v>2</v>
      </c>
      <c r="GJ293">
        <v>0</v>
      </c>
      <c r="GK293">
        <f>ROUND(R293*(S12)/100,2)</f>
        <v>0</v>
      </c>
      <c r="GL293">
        <f t="shared" si="249"/>
        <v>0</v>
      </c>
      <c r="GM293">
        <f t="shared" si="250"/>
        <v>0</v>
      </c>
      <c r="GN293">
        <f t="shared" si="251"/>
        <v>0</v>
      </c>
      <c r="GO293">
        <f t="shared" si="252"/>
        <v>0</v>
      </c>
      <c r="GP293">
        <f t="shared" si="253"/>
        <v>0</v>
      </c>
      <c r="GR293">
        <v>0</v>
      </c>
      <c r="GS293">
        <v>3</v>
      </c>
      <c r="GT293">
        <v>0</v>
      </c>
      <c r="GU293" t="s">
        <v>3</v>
      </c>
      <c r="GV293">
        <f t="shared" si="254"/>
        <v>0</v>
      </c>
      <c r="GW293">
        <v>1</v>
      </c>
      <c r="GX293">
        <f t="shared" si="255"/>
        <v>0</v>
      </c>
      <c r="HA293">
        <v>0</v>
      </c>
      <c r="HB293">
        <v>0</v>
      </c>
      <c r="HC293">
        <f t="shared" si="256"/>
        <v>0</v>
      </c>
      <c r="HE293" t="s">
        <v>3</v>
      </c>
      <c r="HF293" t="s">
        <v>3</v>
      </c>
      <c r="HM293" t="s">
        <v>3</v>
      </c>
      <c r="HN293" t="s">
        <v>3</v>
      </c>
      <c r="HO293" t="s">
        <v>3</v>
      </c>
      <c r="HP293" t="s">
        <v>3</v>
      </c>
      <c r="HQ293" t="s">
        <v>3</v>
      </c>
      <c r="HS293">
        <v>0</v>
      </c>
      <c r="IK293">
        <v>0</v>
      </c>
    </row>
    <row r="294" spans="1:255" x14ac:dyDescent="0.2">
      <c r="A294" s="2">
        <v>17</v>
      </c>
      <c r="B294" s="2">
        <v>1</v>
      </c>
      <c r="C294" s="2"/>
      <c r="D294" s="2">
        <f>ROW(EtalonRes!A446)</f>
        <v>446</v>
      </c>
      <c r="E294" s="2" t="s">
        <v>348</v>
      </c>
      <c r="F294" s="2" t="s">
        <v>349</v>
      </c>
      <c r="G294" s="2" t="s">
        <v>350</v>
      </c>
      <c r="H294" s="2" t="s">
        <v>280</v>
      </c>
      <c r="I294" s="2">
        <v>0</v>
      </c>
      <c r="J294" s="2">
        <v>0</v>
      </c>
      <c r="K294" s="2">
        <v>0</v>
      </c>
      <c r="L294" s="2"/>
      <c r="M294" s="2"/>
      <c r="N294" s="2"/>
      <c r="O294" s="2">
        <f t="shared" si="222"/>
        <v>0</v>
      </c>
      <c r="P294" s="2">
        <f t="shared" si="223"/>
        <v>0</v>
      </c>
      <c r="Q294" s="2">
        <f t="shared" si="224"/>
        <v>0</v>
      </c>
      <c r="R294" s="2">
        <f t="shared" si="225"/>
        <v>0</v>
      </c>
      <c r="S294" s="2">
        <f t="shared" si="226"/>
        <v>0</v>
      </c>
      <c r="T294" s="2">
        <f t="shared" si="227"/>
        <v>0</v>
      </c>
      <c r="U294" s="2">
        <f t="shared" si="228"/>
        <v>0</v>
      </c>
      <c r="V294" s="2">
        <f t="shared" si="229"/>
        <v>0</v>
      </c>
      <c r="W294" s="2">
        <f t="shared" si="230"/>
        <v>0</v>
      </c>
      <c r="X294" s="2">
        <f t="shared" si="231"/>
        <v>0</v>
      </c>
      <c r="Y294" s="2">
        <f t="shared" si="232"/>
        <v>0</v>
      </c>
      <c r="Z294" s="2"/>
      <c r="AA294" s="2">
        <v>56622523</v>
      </c>
      <c r="AB294" s="2">
        <f t="shared" si="233"/>
        <v>745.36</v>
      </c>
      <c r="AC294" s="2">
        <f t="shared" si="234"/>
        <v>0</v>
      </c>
      <c r="AD294" s="2">
        <f t="shared" si="235"/>
        <v>623.99699999999996</v>
      </c>
      <c r="AE294" s="2">
        <f t="shared" si="236"/>
        <v>63.348999999999997</v>
      </c>
      <c r="AF294" s="2">
        <f t="shared" si="236"/>
        <v>121.363</v>
      </c>
      <c r="AG294" s="2">
        <f t="shared" si="237"/>
        <v>0</v>
      </c>
      <c r="AH294" s="2">
        <f t="shared" si="238"/>
        <v>12.870000000000001</v>
      </c>
      <c r="AI294" s="2">
        <f t="shared" si="238"/>
        <v>0</v>
      </c>
      <c r="AJ294" s="2">
        <f t="shared" si="239"/>
        <v>0</v>
      </c>
      <c r="AK294" s="2">
        <v>677.6</v>
      </c>
      <c r="AL294" s="2">
        <v>0</v>
      </c>
      <c r="AM294" s="2">
        <v>567.27</v>
      </c>
      <c r="AN294" s="2">
        <v>57.59</v>
      </c>
      <c r="AO294" s="2">
        <v>110.33</v>
      </c>
      <c r="AP294" s="2">
        <v>0</v>
      </c>
      <c r="AQ294" s="2">
        <v>11.7</v>
      </c>
      <c r="AR294" s="2">
        <v>0</v>
      </c>
      <c r="AS294" s="2">
        <v>0</v>
      </c>
      <c r="AT294" s="2">
        <v>80</v>
      </c>
      <c r="AU294" s="2">
        <v>55</v>
      </c>
      <c r="AV294" s="2">
        <v>1.0469999999999999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0</v>
      </c>
      <c r="BI294" s="2">
        <v>1</v>
      </c>
      <c r="BJ294" s="2" t="s">
        <v>351</v>
      </c>
      <c r="BK294" s="2"/>
      <c r="BL294" s="2"/>
      <c r="BM294" s="2">
        <v>674</v>
      </c>
      <c r="BN294" s="2">
        <v>0</v>
      </c>
      <c r="BO294" s="2" t="s">
        <v>3</v>
      </c>
      <c r="BP294" s="2">
        <v>0</v>
      </c>
      <c r="BQ294" s="2">
        <v>60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80</v>
      </c>
      <c r="CA294" s="2">
        <v>55</v>
      </c>
      <c r="CB294" s="2" t="s">
        <v>3</v>
      </c>
      <c r="CC294" s="2"/>
      <c r="CD294" s="2"/>
      <c r="CE294" s="2">
        <v>30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689</v>
      </c>
      <c r="CO294" s="2">
        <v>0</v>
      </c>
      <c r="CP294" s="2">
        <f t="shared" si="240"/>
        <v>0</v>
      </c>
      <c r="CQ294" s="2">
        <f t="shared" si="241"/>
        <v>0</v>
      </c>
      <c r="CR294" s="2">
        <f t="shared" si="242"/>
        <v>653.32000000000005</v>
      </c>
      <c r="CS294" s="2">
        <f t="shared" si="243"/>
        <v>66.33</v>
      </c>
      <c r="CT294" s="2">
        <f t="shared" si="244"/>
        <v>127.07</v>
      </c>
      <c r="CU294" s="2">
        <f t="shared" si="245"/>
        <v>0</v>
      </c>
      <c r="CV294" s="2">
        <f t="shared" si="246"/>
        <v>13.47489</v>
      </c>
      <c r="CW294" s="2">
        <f t="shared" si="247"/>
        <v>0</v>
      </c>
      <c r="CX294" s="2">
        <f t="shared" si="248"/>
        <v>0</v>
      </c>
      <c r="CY294" s="2">
        <f>((S294*BZ294)/100)</f>
        <v>0</v>
      </c>
      <c r="CZ294" s="2">
        <f>((S294*CA294)/100)</f>
        <v>0</v>
      </c>
      <c r="DA294" s="2"/>
      <c r="DB294" s="2"/>
      <c r="DC294" s="2" t="s">
        <v>3</v>
      </c>
      <c r="DD294" s="2" t="s">
        <v>3</v>
      </c>
      <c r="DE294" s="2" t="s">
        <v>22</v>
      </c>
      <c r="DF294" s="2" t="s">
        <v>22</v>
      </c>
      <c r="DG294" s="2" t="s">
        <v>22</v>
      </c>
      <c r="DH294" s="2" t="s">
        <v>3</v>
      </c>
      <c r="DI294" s="2" t="s">
        <v>22</v>
      </c>
      <c r="DJ294" s="2" t="s">
        <v>22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1007</v>
      </c>
      <c r="DV294" s="2" t="s">
        <v>280</v>
      </c>
      <c r="DW294" s="2" t="s">
        <v>280</v>
      </c>
      <c r="DX294" s="2">
        <v>100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51696713</v>
      </c>
      <c r="EF294" s="2">
        <v>60</v>
      </c>
      <c r="EG294" s="2" t="s">
        <v>282</v>
      </c>
      <c r="EH294" s="2">
        <v>0</v>
      </c>
      <c r="EI294" s="2" t="s">
        <v>3</v>
      </c>
      <c r="EJ294" s="2">
        <v>1</v>
      </c>
      <c r="EK294" s="2">
        <v>674</v>
      </c>
      <c r="EL294" s="2" t="s">
        <v>283</v>
      </c>
      <c r="EM294" s="2" t="s">
        <v>284</v>
      </c>
      <c r="EN294" s="2"/>
      <c r="EO294" s="2" t="s">
        <v>26</v>
      </c>
      <c r="EP294" s="2"/>
      <c r="EQ294" s="2">
        <v>131072</v>
      </c>
      <c r="ER294" s="2">
        <v>677.6</v>
      </c>
      <c r="ES294" s="2">
        <v>0</v>
      </c>
      <c r="ET294" s="2">
        <v>567.27</v>
      </c>
      <c r="EU294" s="2">
        <v>57.59</v>
      </c>
      <c r="EV294" s="2">
        <v>110.33</v>
      </c>
      <c r="EW294" s="2">
        <v>11.7</v>
      </c>
      <c r="EX294" s="2">
        <v>0</v>
      </c>
      <c r="EY294" s="2">
        <v>0</v>
      </c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80</v>
      </c>
      <c r="FY294" s="2">
        <v>55</v>
      </c>
      <c r="FZ294" s="2"/>
      <c r="GA294" s="2" t="s">
        <v>3</v>
      </c>
      <c r="GB294" s="2"/>
      <c r="GC294" s="2"/>
      <c r="GD294" s="2">
        <v>0</v>
      </c>
      <c r="GE294" s="2"/>
      <c r="GF294" s="2">
        <v>-538425389</v>
      </c>
      <c r="GG294" s="2">
        <v>2</v>
      </c>
      <c r="GH294" s="2">
        <v>1</v>
      </c>
      <c r="GI294" s="2">
        <v>-2</v>
      </c>
      <c r="GJ294" s="2">
        <v>0</v>
      </c>
      <c r="GK294" s="2">
        <f>ROUND(R294*(R12)/100,2)</f>
        <v>0</v>
      </c>
      <c r="GL294" s="2">
        <f t="shared" si="249"/>
        <v>0</v>
      </c>
      <c r="GM294" s="2">
        <f t="shared" si="250"/>
        <v>0</v>
      </c>
      <c r="GN294" s="2">
        <f t="shared" si="251"/>
        <v>0</v>
      </c>
      <c r="GO294" s="2">
        <f t="shared" si="252"/>
        <v>0</v>
      </c>
      <c r="GP294" s="2">
        <f t="shared" si="253"/>
        <v>0</v>
      </c>
      <c r="GQ294" s="2"/>
      <c r="GR294" s="2">
        <v>0</v>
      </c>
      <c r="GS294" s="2">
        <v>0</v>
      </c>
      <c r="GT294" s="2">
        <v>0</v>
      </c>
      <c r="GU294" s="2" t="s">
        <v>3</v>
      </c>
      <c r="GV294" s="2">
        <f t="shared" si="254"/>
        <v>0</v>
      </c>
      <c r="GW294" s="2">
        <v>1</v>
      </c>
      <c r="GX294" s="2">
        <f t="shared" si="255"/>
        <v>0</v>
      </c>
      <c r="GY294" s="2"/>
      <c r="GZ294" s="2"/>
      <c r="HA294" s="2">
        <v>0</v>
      </c>
      <c r="HB294" s="2">
        <v>0</v>
      </c>
      <c r="HC294" s="2">
        <f t="shared" si="256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3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">
      <c r="A295">
        <v>17</v>
      </c>
      <c r="B295">
        <v>1</v>
      </c>
      <c r="D295">
        <f>ROW(EtalonRes!A450)</f>
        <v>450</v>
      </c>
      <c r="E295" t="s">
        <v>348</v>
      </c>
      <c r="F295" t="s">
        <v>349</v>
      </c>
      <c r="G295" t="s">
        <v>350</v>
      </c>
      <c r="H295" t="s">
        <v>280</v>
      </c>
      <c r="I295">
        <v>0</v>
      </c>
      <c r="J295">
        <v>0</v>
      </c>
      <c r="K295">
        <v>0</v>
      </c>
      <c r="O295">
        <f t="shared" si="222"/>
        <v>0</v>
      </c>
      <c r="P295">
        <f t="shared" si="223"/>
        <v>0</v>
      </c>
      <c r="Q295">
        <f t="shared" si="224"/>
        <v>0</v>
      </c>
      <c r="R295">
        <f t="shared" si="225"/>
        <v>0</v>
      </c>
      <c r="S295">
        <f t="shared" si="226"/>
        <v>0</v>
      </c>
      <c r="T295">
        <f t="shared" si="227"/>
        <v>0</v>
      </c>
      <c r="U295">
        <f t="shared" si="228"/>
        <v>0</v>
      </c>
      <c r="V295">
        <f t="shared" si="229"/>
        <v>0</v>
      </c>
      <c r="W295">
        <f t="shared" si="230"/>
        <v>0</v>
      </c>
      <c r="X295">
        <f t="shared" si="231"/>
        <v>0</v>
      </c>
      <c r="Y295">
        <f t="shared" si="232"/>
        <v>0</v>
      </c>
      <c r="AA295">
        <v>56611490</v>
      </c>
      <c r="AB295">
        <f t="shared" si="233"/>
        <v>745.36</v>
      </c>
      <c r="AC295">
        <f t="shared" si="234"/>
        <v>0</v>
      </c>
      <c r="AD295">
        <f t="shared" si="235"/>
        <v>623.99699999999996</v>
      </c>
      <c r="AE295">
        <f t="shared" si="236"/>
        <v>63.348999999999997</v>
      </c>
      <c r="AF295">
        <f t="shared" si="236"/>
        <v>121.363</v>
      </c>
      <c r="AG295">
        <f t="shared" si="237"/>
        <v>0</v>
      </c>
      <c r="AH295">
        <f t="shared" si="238"/>
        <v>12.870000000000001</v>
      </c>
      <c r="AI295">
        <f t="shared" si="238"/>
        <v>0</v>
      </c>
      <c r="AJ295">
        <f t="shared" si="239"/>
        <v>0</v>
      </c>
      <c r="AK295">
        <v>677.6</v>
      </c>
      <c r="AL295">
        <v>0</v>
      </c>
      <c r="AM295">
        <v>567.27</v>
      </c>
      <c r="AN295">
        <v>57.59</v>
      </c>
      <c r="AO295">
        <v>110.33</v>
      </c>
      <c r="AP295">
        <v>0</v>
      </c>
      <c r="AQ295">
        <v>11.7</v>
      </c>
      <c r="AR295">
        <v>0</v>
      </c>
      <c r="AS295">
        <v>0</v>
      </c>
      <c r="AT295">
        <v>70</v>
      </c>
      <c r="AU295">
        <v>41</v>
      </c>
      <c r="AV295">
        <v>1.0469999999999999</v>
      </c>
      <c r="AW295">
        <v>1</v>
      </c>
      <c r="AZ295">
        <v>1</v>
      </c>
      <c r="BA295">
        <v>34.51</v>
      </c>
      <c r="BB295">
        <v>12.23</v>
      </c>
      <c r="BC295">
        <v>1</v>
      </c>
      <c r="BD295" t="s">
        <v>3</v>
      </c>
      <c r="BE295" t="s">
        <v>3</v>
      </c>
      <c r="BF295" t="s">
        <v>3</v>
      </c>
      <c r="BG295" t="s">
        <v>3</v>
      </c>
      <c r="BH295">
        <v>0</v>
      </c>
      <c r="BI295">
        <v>1</v>
      </c>
      <c r="BJ295" t="s">
        <v>351</v>
      </c>
      <c r="BM295">
        <v>674</v>
      </c>
      <c r="BN295">
        <v>0</v>
      </c>
      <c r="BO295" t="s">
        <v>349</v>
      </c>
      <c r="BP295">
        <v>1</v>
      </c>
      <c r="BQ295">
        <v>60</v>
      </c>
      <c r="BR295">
        <v>0</v>
      </c>
      <c r="BS295">
        <v>34.51</v>
      </c>
      <c r="BT295">
        <v>1</v>
      </c>
      <c r="BU295">
        <v>1</v>
      </c>
      <c r="BV295">
        <v>1</v>
      </c>
      <c r="BW295">
        <v>1</v>
      </c>
      <c r="BX295">
        <v>1</v>
      </c>
      <c r="BY295" t="s">
        <v>3</v>
      </c>
      <c r="BZ295">
        <v>70</v>
      </c>
      <c r="CA295">
        <v>41</v>
      </c>
      <c r="CB295" t="s">
        <v>3</v>
      </c>
      <c r="CE295">
        <v>30</v>
      </c>
      <c r="CF295">
        <v>0</v>
      </c>
      <c r="CG295">
        <v>0</v>
      </c>
      <c r="CM295">
        <v>0</v>
      </c>
      <c r="CN295" t="s">
        <v>689</v>
      </c>
      <c r="CO295">
        <v>0</v>
      </c>
      <c r="CP295">
        <f t="shared" si="240"/>
        <v>0</v>
      </c>
      <c r="CQ295">
        <f t="shared" si="241"/>
        <v>0</v>
      </c>
      <c r="CR295">
        <f t="shared" si="242"/>
        <v>7990.1</v>
      </c>
      <c r="CS295">
        <f t="shared" si="243"/>
        <v>2289.0500000000002</v>
      </c>
      <c r="CT295">
        <f t="shared" si="244"/>
        <v>4385.1899999999996</v>
      </c>
      <c r="CU295">
        <f t="shared" si="245"/>
        <v>0</v>
      </c>
      <c r="CV295">
        <f t="shared" si="246"/>
        <v>13.47489</v>
      </c>
      <c r="CW295">
        <f t="shared" si="247"/>
        <v>0</v>
      </c>
      <c r="CX295">
        <f t="shared" si="248"/>
        <v>0</v>
      </c>
      <c r="CY295">
        <f>S295*(BZ295/100)</f>
        <v>0</v>
      </c>
      <c r="CZ295">
        <f>S295*(CA295/100)</f>
        <v>0</v>
      </c>
      <c r="DC295" t="s">
        <v>3</v>
      </c>
      <c r="DD295" t="s">
        <v>3</v>
      </c>
      <c r="DE295" t="s">
        <v>22</v>
      </c>
      <c r="DF295" t="s">
        <v>22</v>
      </c>
      <c r="DG295" t="s">
        <v>22</v>
      </c>
      <c r="DH295" t="s">
        <v>3</v>
      </c>
      <c r="DI295" t="s">
        <v>22</v>
      </c>
      <c r="DJ295" t="s">
        <v>22</v>
      </c>
      <c r="DK295" t="s">
        <v>3</v>
      </c>
      <c r="DL295" t="s">
        <v>3</v>
      </c>
      <c r="DM295" t="s">
        <v>3</v>
      </c>
      <c r="DN295">
        <v>80</v>
      </c>
      <c r="DO295">
        <v>55</v>
      </c>
      <c r="DP295">
        <v>1.0469999999999999</v>
      </c>
      <c r="DQ295">
        <v>1</v>
      </c>
      <c r="DU295">
        <v>1007</v>
      </c>
      <c r="DV295" t="s">
        <v>280</v>
      </c>
      <c r="DW295" t="s">
        <v>280</v>
      </c>
      <c r="DX295">
        <v>100</v>
      </c>
      <c r="DZ295" t="s">
        <v>3</v>
      </c>
      <c r="EA295" t="s">
        <v>3</v>
      </c>
      <c r="EB295" t="s">
        <v>3</v>
      </c>
      <c r="EC295" t="s">
        <v>3</v>
      </c>
      <c r="EE295">
        <v>51696713</v>
      </c>
      <c r="EF295">
        <v>60</v>
      </c>
      <c r="EG295" t="s">
        <v>282</v>
      </c>
      <c r="EH295">
        <v>0</v>
      </c>
      <c r="EI295" t="s">
        <v>3</v>
      </c>
      <c r="EJ295">
        <v>1</v>
      </c>
      <c r="EK295">
        <v>674</v>
      </c>
      <c r="EL295" t="s">
        <v>283</v>
      </c>
      <c r="EM295" t="s">
        <v>284</v>
      </c>
      <c r="EO295" t="s">
        <v>26</v>
      </c>
      <c r="EQ295">
        <v>131072</v>
      </c>
      <c r="ER295">
        <v>677.6</v>
      </c>
      <c r="ES295">
        <v>0</v>
      </c>
      <c r="ET295">
        <v>567.27</v>
      </c>
      <c r="EU295">
        <v>57.59</v>
      </c>
      <c r="EV295">
        <v>110.33</v>
      </c>
      <c r="EW295">
        <v>11.7</v>
      </c>
      <c r="EX295">
        <v>0</v>
      </c>
      <c r="EY295">
        <v>0</v>
      </c>
      <c r="FQ295">
        <v>0</v>
      </c>
      <c r="FR295">
        <v>0</v>
      </c>
      <c r="FS295">
        <v>0</v>
      </c>
      <c r="FX295">
        <v>80</v>
      </c>
      <c r="FY295">
        <v>55</v>
      </c>
      <c r="GA295" t="s">
        <v>3</v>
      </c>
      <c r="GD295">
        <v>0</v>
      </c>
      <c r="GF295">
        <v>-538425389</v>
      </c>
      <c r="GG295">
        <v>2</v>
      </c>
      <c r="GH295">
        <v>1</v>
      </c>
      <c r="GI295">
        <v>2</v>
      </c>
      <c r="GJ295">
        <v>0</v>
      </c>
      <c r="GK295">
        <f>ROUND(R295*(S12)/100,2)</f>
        <v>0</v>
      </c>
      <c r="GL295">
        <f t="shared" si="249"/>
        <v>0</v>
      </c>
      <c r="GM295">
        <f t="shared" si="250"/>
        <v>0</v>
      </c>
      <c r="GN295">
        <f t="shared" si="251"/>
        <v>0</v>
      </c>
      <c r="GO295">
        <f t="shared" si="252"/>
        <v>0</v>
      </c>
      <c r="GP295">
        <f t="shared" si="253"/>
        <v>0</v>
      </c>
      <c r="GR295">
        <v>0</v>
      </c>
      <c r="GS295">
        <v>3</v>
      </c>
      <c r="GT295">
        <v>0</v>
      </c>
      <c r="GU295" t="s">
        <v>3</v>
      </c>
      <c r="GV295">
        <f t="shared" si="254"/>
        <v>0</v>
      </c>
      <c r="GW295">
        <v>1</v>
      </c>
      <c r="GX295">
        <f t="shared" si="255"/>
        <v>0</v>
      </c>
      <c r="HA295">
        <v>0</v>
      </c>
      <c r="HB295">
        <v>0</v>
      </c>
      <c r="HC295">
        <f t="shared" si="256"/>
        <v>0</v>
      </c>
      <c r="HE295" t="s">
        <v>3</v>
      </c>
      <c r="HF295" t="s">
        <v>3</v>
      </c>
      <c r="HM295" t="s">
        <v>3</v>
      </c>
      <c r="HN295" t="s">
        <v>3</v>
      </c>
      <c r="HO295" t="s">
        <v>3</v>
      </c>
      <c r="HP295" t="s">
        <v>3</v>
      </c>
      <c r="HQ295" t="s">
        <v>3</v>
      </c>
      <c r="HS295">
        <v>0</v>
      </c>
      <c r="IK295">
        <v>0</v>
      </c>
    </row>
    <row r="296" spans="1:255" x14ac:dyDescent="0.2">
      <c r="A296" s="2">
        <v>17</v>
      </c>
      <c r="B296" s="2">
        <v>1</v>
      </c>
      <c r="C296" s="2"/>
      <c r="D296" s="2">
        <f>ROW(EtalonRes!A451)</f>
        <v>451</v>
      </c>
      <c r="E296" s="2" t="s">
        <v>352</v>
      </c>
      <c r="F296" s="2" t="s">
        <v>290</v>
      </c>
      <c r="G296" s="2" t="s">
        <v>291</v>
      </c>
      <c r="H296" s="2" t="s">
        <v>292</v>
      </c>
      <c r="I296" s="2">
        <v>0</v>
      </c>
      <c r="J296" s="2">
        <v>0</v>
      </c>
      <c r="K296" s="2">
        <v>0</v>
      </c>
      <c r="L296" s="2"/>
      <c r="M296" s="2"/>
      <c r="N296" s="2"/>
      <c r="O296" s="2">
        <f t="shared" si="222"/>
        <v>0</v>
      </c>
      <c r="P296" s="2">
        <f t="shared" si="223"/>
        <v>0</v>
      </c>
      <c r="Q296" s="2">
        <f t="shared" si="224"/>
        <v>0</v>
      </c>
      <c r="R296" s="2">
        <f t="shared" si="225"/>
        <v>0</v>
      </c>
      <c r="S296" s="2">
        <f t="shared" si="226"/>
        <v>0</v>
      </c>
      <c r="T296" s="2">
        <f t="shared" si="227"/>
        <v>0</v>
      </c>
      <c r="U296" s="2">
        <f t="shared" si="228"/>
        <v>0</v>
      </c>
      <c r="V296" s="2">
        <f t="shared" si="229"/>
        <v>0</v>
      </c>
      <c r="W296" s="2">
        <f t="shared" si="230"/>
        <v>0</v>
      </c>
      <c r="X296" s="2">
        <f t="shared" si="231"/>
        <v>0</v>
      </c>
      <c r="Y296" s="2">
        <f t="shared" si="232"/>
        <v>0</v>
      </c>
      <c r="Z296" s="2"/>
      <c r="AA296" s="2">
        <v>56622523</v>
      </c>
      <c r="AB296" s="2">
        <f t="shared" si="233"/>
        <v>9.7460000000000004</v>
      </c>
      <c r="AC296" s="2">
        <f t="shared" si="234"/>
        <v>0</v>
      </c>
      <c r="AD296" s="2">
        <f t="shared" si="235"/>
        <v>9.7460000000000004</v>
      </c>
      <c r="AE296" s="2">
        <f t="shared" si="236"/>
        <v>1.6279999999999999</v>
      </c>
      <c r="AF296" s="2">
        <f t="shared" si="236"/>
        <v>0</v>
      </c>
      <c r="AG296" s="2">
        <f t="shared" si="237"/>
        <v>0</v>
      </c>
      <c r="AH296" s="2">
        <f t="shared" si="238"/>
        <v>0</v>
      </c>
      <c r="AI296" s="2">
        <f t="shared" si="238"/>
        <v>0</v>
      </c>
      <c r="AJ296" s="2">
        <f t="shared" si="239"/>
        <v>0</v>
      </c>
      <c r="AK296" s="2">
        <v>8.86</v>
      </c>
      <c r="AL296" s="2">
        <v>0</v>
      </c>
      <c r="AM296" s="2">
        <v>8.86</v>
      </c>
      <c r="AN296" s="2">
        <v>1.48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91</v>
      </c>
      <c r="AU296" s="2">
        <v>70</v>
      </c>
      <c r="AV296" s="2">
        <v>1.0469999999999999</v>
      </c>
      <c r="AW296" s="2">
        <v>1.002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0</v>
      </c>
      <c r="BI296" s="2">
        <v>1</v>
      </c>
      <c r="BJ296" s="2" t="s">
        <v>293</v>
      </c>
      <c r="BK296" s="2"/>
      <c r="BL296" s="2"/>
      <c r="BM296" s="2">
        <v>658</v>
      </c>
      <c r="BN296" s="2">
        <v>0</v>
      </c>
      <c r="BO296" s="2" t="s">
        <v>3</v>
      </c>
      <c r="BP296" s="2">
        <v>0</v>
      </c>
      <c r="BQ296" s="2">
        <v>60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91</v>
      </c>
      <c r="CA296" s="2">
        <v>70</v>
      </c>
      <c r="CB296" s="2" t="s">
        <v>3</v>
      </c>
      <c r="CC296" s="2"/>
      <c r="CD296" s="2"/>
      <c r="CE296" s="2">
        <v>30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689</v>
      </c>
      <c r="CO296" s="2">
        <v>0</v>
      </c>
      <c r="CP296" s="2">
        <f t="shared" si="240"/>
        <v>0</v>
      </c>
      <c r="CQ296" s="2">
        <f t="shared" si="241"/>
        <v>0</v>
      </c>
      <c r="CR296" s="2">
        <f t="shared" si="242"/>
        <v>10.199999999999999</v>
      </c>
      <c r="CS296" s="2">
        <f t="shared" si="243"/>
        <v>1.7</v>
      </c>
      <c r="CT296" s="2">
        <f t="shared" si="244"/>
        <v>0</v>
      </c>
      <c r="CU296" s="2">
        <f t="shared" si="245"/>
        <v>0</v>
      </c>
      <c r="CV296" s="2">
        <f t="shared" si="246"/>
        <v>0</v>
      </c>
      <c r="CW296" s="2">
        <f t="shared" si="247"/>
        <v>0</v>
      </c>
      <c r="CX296" s="2">
        <f t="shared" si="248"/>
        <v>0</v>
      </c>
      <c r="CY296" s="2">
        <f>((S296*BZ296)/100)</f>
        <v>0</v>
      </c>
      <c r="CZ296" s="2">
        <f>((S296*CA296)/100)</f>
        <v>0</v>
      </c>
      <c r="DA296" s="2"/>
      <c r="DB296" s="2"/>
      <c r="DC296" s="2" t="s">
        <v>3</v>
      </c>
      <c r="DD296" s="2" t="s">
        <v>3</v>
      </c>
      <c r="DE296" s="2" t="s">
        <v>22</v>
      </c>
      <c r="DF296" s="2" t="s">
        <v>22</v>
      </c>
      <c r="DG296" s="2" t="s">
        <v>22</v>
      </c>
      <c r="DH296" s="2" t="s">
        <v>3</v>
      </c>
      <c r="DI296" s="2" t="s">
        <v>22</v>
      </c>
      <c r="DJ296" s="2" t="s">
        <v>22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1013</v>
      </c>
      <c r="DV296" s="2" t="s">
        <v>292</v>
      </c>
      <c r="DW296" s="2" t="s">
        <v>292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51696697</v>
      </c>
      <c r="EF296" s="2">
        <v>60</v>
      </c>
      <c r="EG296" s="2" t="s">
        <v>282</v>
      </c>
      <c r="EH296" s="2">
        <v>0</v>
      </c>
      <c r="EI296" s="2" t="s">
        <v>3</v>
      </c>
      <c r="EJ296" s="2">
        <v>1</v>
      </c>
      <c r="EK296" s="2">
        <v>658</v>
      </c>
      <c r="EL296" s="2" t="s">
        <v>294</v>
      </c>
      <c r="EM296" s="2" t="s">
        <v>295</v>
      </c>
      <c r="EN296" s="2"/>
      <c r="EO296" s="2" t="s">
        <v>26</v>
      </c>
      <c r="EP296" s="2"/>
      <c r="EQ296" s="2">
        <v>131072</v>
      </c>
      <c r="ER296" s="2">
        <v>8.86</v>
      </c>
      <c r="ES296" s="2">
        <v>0</v>
      </c>
      <c r="ET296" s="2">
        <v>8.86</v>
      </c>
      <c r="EU296" s="2">
        <v>1.48</v>
      </c>
      <c r="EV296" s="2">
        <v>0</v>
      </c>
      <c r="EW296" s="2">
        <v>0</v>
      </c>
      <c r="EX296" s="2">
        <v>0</v>
      </c>
      <c r="EY296" s="2">
        <v>0</v>
      </c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91</v>
      </c>
      <c r="FY296" s="2">
        <v>70</v>
      </c>
      <c r="FZ296" s="2"/>
      <c r="GA296" s="2" t="s">
        <v>3</v>
      </c>
      <c r="GB296" s="2"/>
      <c r="GC296" s="2"/>
      <c r="GD296" s="2">
        <v>0</v>
      </c>
      <c r="GE296" s="2"/>
      <c r="GF296" s="2">
        <v>-714011973</v>
      </c>
      <c r="GG296" s="2">
        <v>2</v>
      </c>
      <c r="GH296" s="2">
        <v>1</v>
      </c>
      <c r="GI296" s="2">
        <v>-2</v>
      </c>
      <c r="GJ296" s="2">
        <v>0</v>
      </c>
      <c r="GK296" s="2">
        <f>ROUND(R296*(R12)/100,2)</f>
        <v>0</v>
      </c>
      <c r="GL296" s="2">
        <f t="shared" si="249"/>
        <v>0</v>
      </c>
      <c r="GM296" s="2">
        <f t="shared" si="250"/>
        <v>0</v>
      </c>
      <c r="GN296" s="2">
        <f t="shared" si="251"/>
        <v>0</v>
      </c>
      <c r="GO296" s="2">
        <f t="shared" si="252"/>
        <v>0</v>
      </c>
      <c r="GP296" s="2">
        <f t="shared" si="253"/>
        <v>0</v>
      </c>
      <c r="GQ296" s="2"/>
      <c r="GR296" s="2">
        <v>0</v>
      </c>
      <c r="GS296" s="2">
        <v>0</v>
      </c>
      <c r="GT296" s="2">
        <v>0</v>
      </c>
      <c r="GU296" s="2" t="s">
        <v>3</v>
      </c>
      <c r="GV296" s="2">
        <f t="shared" si="254"/>
        <v>0</v>
      </c>
      <c r="GW296" s="2">
        <v>1</v>
      </c>
      <c r="GX296" s="2">
        <f t="shared" si="255"/>
        <v>0</v>
      </c>
      <c r="GY296" s="2"/>
      <c r="GZ296" s="2"/>
      <c r="HA296" s="2">
        <v>0</v>
      </c>
      <c r="HB296" s="2">
        <v>0</v>
      </c>
      <c r="HC296" s="2">
        <f t="shared" si="256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">
      <c r="A297">
        <v>17</v>
      </c>
      <c r="B297">
        <v>1</v>
      </c>
      <c r="D297">
        <f>ROW(EtalonRes!A452)</f>
        <v>452</v>
      </c>
      <c r="E297" t="s">
        <v>352</v>
      </c>
      <c r="F297" t="s">
        <v>290</v>
      </c>
      <c r="G297" t="s">
        <v>291</v>
      </c>
      <c r="H297" t="s">
        <v>292</v>
      </c>
      <c r="I297">
        <v>0</v>
      </c>
      <c r="J297">
        <v>0</v>
      </c>
      <c r="K297">
        <v>0</v>
      </c>
      <c r="O297">
        <f t="shared" si="222"/>
        <v>0</v>
      </c>
      <c r="P297">
        <f t="shared" si="223"/>
        <v>0</v>
      </c>
      <c r="Q297">
        <f t="shared" si="224"/>
        <v>0</v>
      </c>
      <c r="R297">
        <f t="shared" si="225"/>
        <v>0</v>
      </c>
      <c r="S297">
        <f t="shared" si="226"/>
        <v>0</v>
      </c>
      <c r="T297">
        <f t="shared" si="227"/>
        <v>0</v>
      </c>
      <c r="U297">
        <f t="shared" si="228"/>
        <v>0</v>
      </c>
      <c r="V297">
        <f t="shared" si="229"/>
        <v>0</v>
      </c>
      <c r="W297">
        <f t="shared" si="230"/>
        <v>0</v>
      </c>
      <c r="X297">
        <f t="shared" si="231"/>
        <v>0</v>
      </c>
      <c r="Y297">
        <f t="shared" si="232"/>
        <v>0</v>
      </c>
      <c r="AA297">
        <v>56611490</v>
      </c>
      <c r="AB297">
        <f t="shared" si="233"/>
        <v>9.7460000000000004</v>
      </c>
      <c r="AC297">
        <f t="shared" si="234"/>
        <v>0</v>
      </c>
      <c r="AD297">
        <f t="shared" si="235"/>
        <v>9.7460000000000004</v>
      </c>
      <c r="AE297">
        <f t="shared" si="236"/>
        <v>1.6279999999999999</v>
      </c>
      <c r="AF297">
        <f t="shared" si="236"/>
        <v>0</v>
      </c>
      <c r="AG297">
        <f t="shared" si="237"/>
        <v>0</v>
      </c>
      <c r="AH297">
        <f t="shared" si="238"/>
        <v>0</v>
      </c>
      <c r="AI297">
        <f t="shared" si="238"/>
        <v>0</v>
      </c>
      <c r="AJ297">
        <f t="shared" si="239"/>
        <v>0</v>
      </c>
      <c r="AK297">
        <v>8.86</v>
      </c>
      <c r="AL297">
        <v>0</v>
      </c>
      <c r="AM297">
        <v>8.86</v>
      </c>
      <c r="AN297">
        <v>1.48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75</v>
      </c>
      <c r="AU297">
        <v>41</v>
      </c>
      <c r="AV297">
        <v>1.0469999999999999</v>
      </c>
      <c r="AW297">
        <v>1.002</v>
      </c>
      <c r="AZ297">
        <v>1</v>
      </c>
      <c r="BA297">
        <v>34.51</v>
      </c>
      <c r="BB297">
        <v>13.53</v>
      </c>
      <c r="BC297">
        <v>1</v>
      </c>
      <c r="BD297" t="s">
        <v>3</v>
      </c>
      <c r="BE297" t="s">
        <v>3</v>
      </c>
      <c r="BF297" t="s">
        <v>3</v>
      </c>
      <c r="BG297" t="s">
        <v>3</v>
      </c>
      <c r="BH297">
        <v>0</v>
      </c>
      <c r="BI297">
        <v>1</v>
      </c>
      <c r="BJ297" t="s">
        <v>293</v>
      </c>
      <c r="BM297">
        <v>658</v>
      </c>
      <c r="BN297">
        <v>0</v>
      </c>
      <c r="BO297" t="s">
        <v>290</v>
      </c>
      <c r="BP297">
        <v>1</v>
      </c>
      <c r="BQ297">
        <v>60</v>
      </c>
      <c r="BR297">
        <v>0</v>
      </c>
      <c r="BS297">
        <v>34.51</v>
      </c>
      <c r="BT297">
        <v>1</v>
      </c>
      <c r="BU297">
        <v>1</v>
      </c>
      <c r="BV297">
        <v>1</v>
      </c>
      <c r="BW297">
        <v>1</v>
      </c>
      <c r="BX297">
        <v>1</v>
      </c>
      <c r="BY297" t="s">
        <v>3</v>
      </c>
      <c r="BZ297">
        <v>75</v>
      </c>
      <c r="CA297">
        <v>41</v>
      </c>
      <c r="CB297" t="s">
        <v>3</v>
      </c>
      <c r="CE297">
        <v>30</v>
      </c>
      <c r="CF297">
        <v>0</v>
      </c>
      <c r="CG297">
        <v>0</v>
      </c>
      <c r="CM297">
        <v>0</v>
      </c>
      <c r="CN297" t="s">
        <v>689</v>
      </c>
      <c r="CO297">
        <v>0</v>
      </c>
      <c r="CP297">
        <f t="shared" si="240"/>
        <v>0</v>
      </c>
      <c r="CQ297">
        <f t="shared" si="241"/>
        <v>0</v>
      </c>
      <c r="CR297">
        <f t="shared" si="242"/>
        <v>138.01</v>
      </c>
      <c r="CS297">
        <f t="shared" si="243"/>
        <v>58.67</v>
      </c>
      <c r="CT297">
        <f t="shared" si="244"/>
        <v>0</v>
      </c>
      <c r="CU297">
        <f t="shared" si="245"/>
        <v>0</v>
      </c>
      <c r="CV297">
        <f t="shared" si="246"/>
        <v>0</v>
      </c>
      <c r="CW297">
        <f t="shared" si="247"/>
        <v>0</v>
      </c>
      <c r="CX297">
        <f t="shared" si="248"/>
        <v>0</v>
      </c>
      <c r="CY297">
        <f>S297*(BZ297/100)</f>
        <v>0</v>
      </c>
      <c r="CZ297">
        <f>S297*(CA297/100)</f>
        <v>0</v>
      </c>
      <c r="DC297" t="s">
        <v>3</v>
      </c>
      <c r="DD297" t="s">
        <v>3</v>
      </c>
      <c r="DE297" t="s">
        <v>22</v>
      </c>
      <c r="DF297" t="s">
        <v>22</v>
      </c>
      <c r="DG297" t="s">
        <v>22</v>
      </c>
      <c r="DH297" t="s">
        <v>3</v>
      </c>
      <c r="DI297" t="s">
        <v>22</v>
      </c>
      <c r="DJ297" t="s">
        <v>22</v>
      </c>
      <c r="DK297" t="s">
        <v>3</v>
      </c>
      <c r="DL297" t="s">
        <v>3</v>
      </c>
      <c r="DM297" t="s">
        <v>3</v>
      </c>
      <c r="DN297">
        <v>91</v>
      </c>
      <c r="DO297">
        <v>70</v>
      </c>
      <c r="DP297">
        <v>1.0469999999999999</v>
      </c>
      <c r="DQ297">
        <v>1.002</v>
      </c>
      <c r="DU297">
        <v>1013</v>
      </c>
      <c r="DV297" t="s">
        <v>292</v>
      </c>
      <c r="DW297" t="s">
        <v>292</v>
      </c>
      <c r="DX297">
        <v>1</v>
      </c>
      <c r="DZ297" t="s">
        <v>3</v>
      </c>
      <c r="EA297" t="s">
        <v>3</v>
      </c>
      <c r="EB297" t="s">
        <v>3</v>
      </c>
      <c r="EC297" t="s">
        <v>3</v>
      </c>
      <c r="EE297">
        <v>51696697</v>
      </c>
      <c r="EF297">
        <v>60</v>
      </c>
      <c r="EG297" t="s">
        <v>282</v>
      </c>
      <c r="EH297">
        <v>0</v>
      </c>
      <c r="EI297" t="s">
        <v>3</v>
      </c>
      <c r="EJ297">
        <v>1</v>
      </c>
      <c r="EK297">
        <v>658</v>
      </c>
      <c r="EL297" t="s">
        <v>294</v>
      </c>
      <c r="EM297" t="s">
        <v>295</v>
      </c>
      <c r="EO297" t="s">
        <v>26</v>
      </c>
      <c r="EQ297">
        <v>131072</v>
      </c>
      <c r="ER297">
        <v>8.86</v>
      </c>
      <c r="ES297">
        <v>0</v>
      </c>
      <c r="ET297">
        <v>8.86</v>
      </c>
      <c r="EU297">
        <v>1.48</v>
      </c>
      <c r="EV297">
        <v>0</v>
      </c>
      <c r="EW297">
        <v>0</v>
      </c>
      <c r="EX297">
        <v>0</v>
      </c>
      <c r="EY297">
        <v>0</v>
      </c>
      <c r="FQ297">
        <v>0</v>
      </c>
      <c r="FR297">
        <v>0</v>
      </c>
      <c r="FS297">
        <v>0</v>
      </c>
      <c r="FX297">
        <v>91</v>
      </c>
      <c r="FY297">
        <v>70</v>
      </c>
      <c r="GA297" t="s">
        <v>3</v>
      </c>
      <c r="GD297">
        <v>0</v>
      </c>
      <c r="GF297">
        <v>-714011973</v>
      </c>
      <c r="GG297">
        <v>2</v>
      </c>
      <c r="GH297">
        <v>1</v>
      </c>
      <c r="GI297">
        <v>2</v>
      </c>
      <c r="GJ297">
        <v>0</v>
      </c>
      <c r="GK297">
        <f>ROUND(R297*(S12)/100,2)</f>
        <v>0</v>
      </c>
      <c r="GL297">
        <f t="shared" si="249"/>
        <v>0</v>
      </c>
      <c r="GM297">
        <f t="shared" si="250"/>
        <v>0</v>
      </c>
      <c r="GN297">
        <f t="shared" si="251"/>
        <v>0</v>
      </c>
      <c r="GO297">
        <f t="shared" si="252"/>
        <v>0</v>
      </c>
      <c r="GP297">
        <f t="shared" si="253"/>
        <v>0</v>
      </c>
      <c r="GR297">
        <v>0</v>
      </c>
      <c r="GS297">
        <v>3</v>
      </c>
      <c r="GT297">
        <v>0</v>
      </c>
      <c r="GU297" t="s">
        <v>3</v>
      </c>
      <c r="GV297">
        <f t="shared" si="254"/>
        <v>0</v>
      </c>
      <c r="GW297">
        <v>1</v>
      </c>
      <c r="GX297">
        <f t="shared" si="255"/>
        <v>0</v>
      </c>
      <c r="HA297">
        <v>0</v>
      </c>
      <c r="HB297">
        <v>0</v>
      </c>
      <c r="HC297">
        <f t="shared" si="256"/>
        <v>0</v>
      </c>
      <c r="HE297" t="s">
        <v>3</v>
      </c>
      <c r="HF297" t="s">
        <v>3</v>
      </c>
      <c r="HM297" t="s">
        <v>3</v>
      </c>
      <c r="HN297" t="s">
        <v>3</v>
      </c>
      <c r="HO297" t="s">
        <v>3</v>
      </c>
      <c r="HP297" t="s">
        <v>3</v>
      </c>
      <c r="HQ297" t="s">
        <v>3</v>
      </c>
      <c r="HS297">
        <v>0</v>
      </c>
      <c r="IK297">
        <v>0</v>
      </c>
    </row>
    <row r="298" spans="1:255" x14ac:dyDescent="0.2">
      <c r="A298" s="2">
        <v>17</v>
      </c>
      <c r="B298" s="2">
        <v>1</v>
      </c>
      <c r="C298" s="2">
        <f>ROW(SmtRes!A189)</f>
        <v>189</v>
      </c>
      <c r="D298" s="2">
        <f>ROW(EtalonRes!A460)</f>
        <v>460</v>
      </c>
      <c r="E298" s="2" t="s">
        <v>353</v>
      </c>
      <c r="F298" s="2" t="s">
        <v>297</v>
      </c>
      <c r="G298" s="2" t="s">
        <v>354</v>
      </c>
      <c r="H298" s="2" t="s">
        <v>299</v>
      </c>
      <c r="I298" s="2">
        <v>0</v>
      </c>
      <c r="J298" s="2">
        <v>0</v>
      </c>
      <c r="K298" s="2">
        <v>0</v>
      </c>
      <c r="L298" s="2"/>
      <c r="M298" s="2"/>
      <c r="N298" s="2"/>
      <c r="O298" s="2">
        <f t="shared" si="222"/>
        <v>0</v>
      </c>
      <c r="P298" s="2">
        <f t="shared" si="223"/>
        <v>0</v>
      </c>
      <c r="Q298" s="2">
        <f t="shared" si="224"/>
        <v>0</v>
      </c>
      <c r="R298" s="2">
        <f t="shared" si="225"/>
        <v>0</v>
      </c>
      <c r="S298" s="2">
        <f t="shared" si="226"/>
        <v>0</v>
      </c>
      <c r="T298" s="2">
        <f t="shared" si="227"/>
        <v>0</v>
      </c>
      <c r="U298" s="2">
        <f t="shared" si="228"/>
        <v>0</v>
      </c>
      <c r="V298" s="2">
        <f t="shared" si="229"/>
        <v>0</v>
      </c>
      <c r="W298" s="2">
        <f t="shared" si="230"/>
        <v>0</v>
      </c>
      <c r="X298" s="2">
        <f t="shared" si="231"/>
        <v>0</v>
      </c>
      <c r="Y298" s="2">
        <f t="shared" si="232"/>
        <v>0</v>
      </c>
      <c r="Z298" s="2"/>
      <c r="AA298" s="2">
        <v>56622523</v>
      </c>
      <c r="AB298" s="2">
        <f t="shared" si="233"/>
        <v>1513.2660000000001</v>
      </c>
      <c r="AC298" s="2">
        <f t="shared" si="234"/>
        <v>35.35</v>
      </c>
      <c r="AD298" s="2">
        <f t="shared" si="235"/>
        <v>1311.277</v>
      </c>
      <c r="AE298" s="2">
        <f t="shared" si="236"/>
        <v>104.41200000000001</v>
      </c>
      <c r="AF298" s="2">
        <f t="shared" si="236"/>
        <v>166.63900000000001</v>
      </c>
      <c r="AG298" s="2">
        <f t="shared" si="237"/>
        <v>0</v>
      </c>
      <c r="AH298" s="2">
        <f t="shared" si="238"/>
        <v>15.840000000000002</v>
      </c>
      <c r="AI298" s="2">
        <f t="shared" si="238"/>
        <v>0</v>
      </c>
      <c r="AJ298" s="2">
        <f t="shared" si="239"/>
        <v>0</v>
      </c>
      <c r="AK298" s="2">
        <v>1378.91</v>
      </c>
      <c r="AL298" s="2">
        <v>35.35</v>
      </c>
      <c r="AM298" s="2">
        <v>1192.07</v>
      </c>
      <c r="AN298" s="2">
        <v>94.92</v>
      </c>
      <c r="AO298" s="2">
        <v>151.49</v>
      </c>
      <c r="AP298" s="2">
        <v>0</v>
      </c>
      <c r="AQ298" s="2">
        <v>14.4</v>
      </c>
      <c r="AR298" s="2">
        <v>0</v>
      </c>
      <c r="AS298" s="2">
        <v>0</v>
      </c>
      <c r="AT298" s="2">
        <v>161</v>
      </c>
      <c r="AU298" s="2">
        <v>107</v>
      </c>
      <c r="AV298" s="2">
        <v>1.0469999999999999</v>
      </c>
      <c r="AW298" s="2">
        <v>1.002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0</v>
      </c>
      <c r="BI298" s="2">
        <v>1</v>
      </c>
      <c r="BJ298" s="2" t="s">
        <v>300</v>
      </c>
      <c r="BK298" s="2"/>
      <c r="BL298" s="2"/>
      <c r="BM298" s="2">
        <v>146</v>
      </c>
      <c r="BN298" s="2">
        <v>0</v>
      </c>
      <c r="BO298" s="2" t="s">
        <v>3</v>
      </c>
      <c r="BP298" s="2">
        <v>0</v>
      </c>
      <c r="BQ298" s="2">
        <v>30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161</v>
      </c>
      <c r="CA298" s="2">
        <v>107</v>
      </c>
      <c r="CB298" s="2" t="s">
        <v>3</v>
      </c>
      <c r="CC298" s="2"/>
      <c r="CD298" s="2"/>
      <c r="CE298" s="2">
        <v>30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689</v>
      </c>
      <c r="CO298" s="2">
        <v>0</v>
      </c>
      <c r="CP298" s="2">
        <f t="shared" si="240"/>
        <v>0</v>
      </c>
      <c r="CQ298" s="2">
        <f t="shared" si="241"/>
        <v>35.42</v>
      </c>
      <c r="CR298" s="2">
        <f t="shared" si="242"/>
        <v>1372.91</v>
      </c>
      <c r="CS298" s="2">
        <f t="shared" si="243"/>
        <v>109.32</v>
      </c>
      <c r="CT298" s="2">
        <f t="shared" si="244"/>
        <v>174.47</v>
      </c>
      <c r="CU298" s="2">
        <f t="shared" si="245"/>
        <v>0</v>
      </c>
      <c r="CV298" s="2">
        <f t="shared" si="246"/>
        <v>16.584479999999999</v>
      </c>
      <c r="CW298" s="2">
        <f t="shared" si="247"/>
        <v>0</v>
      </c>
      <c r="CX298" s="2">
        <f t="shared" si="248"/>
        <v>0</v>
      </c>
      <c r="CY298" s="2">
        <f>((S298*BZ298)/100)</f>
        <v>0</v>
      </c>
      <c r="CZ298" s="2">
        <f>((S298*CA298)/100)</f>
        <v>0</v>
      </c>
      <c r="DA298" s="2"/>
      <c r="DB298" s="2"/>
      <c r="DC298" s="2" t="s">
        <v>3</v>
      </c>
      <c r="DD298" s="2" t="s">
        <v>3</v>
      </c>
      <c r="DE298" s="2" t="s">
        <v>22</v>
      </c>
      <c r="DF298" s="2" t="s">
        <v>22</v>
      </c>
      <c r="DG298" s="2" t="s">
        <v>22</v>
      </c>
      <c r="DH298" s="2" t="s">
        <v>3</v>
      </c>
      <c r="DI298" s="2" t="s">
        <v>22</v>
      </c>
      <c r="DJ298" s="2" t="s">
        <v>22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1013</v>
      </c>
      <c r="DV298" s="2" t="s">
        <v>299</v>
      </c>
      <c r="DW298" s="2" t="s">
        <v>299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51696185</v>
      </c>
      <c r="EF298" s="2">
        <v>30</v>
      </c>
      <c r="EG298" s="2" t="s">
        <v>23</v>
      </c>
      <c r="EH298" s="2">
        <v>0</v>
      </c>
      <c r="EI298" s="2" t="s">
        <v>3</v>
      </c>
      <c r="EJ298" s="2">
        <v>1</v>
      </c>
      <c r="EK298" s="2">
        <v>146</v>
      </c>
      <c r="EL298" s="2" t="s">
        <v>301</v>
      </c>
      <c r="EM298" s="2" t="s">
        <v>302</v>
      </c>
      <c r="EN298" s="2"/>
      <c r="EO298" s="2" t="s">
        <v>26</v>
      </c>
      <c r="EP298" s="2"/>
      <c r="EQ298" s="2">
        <v>131072</v>
      </c>
      <c r="ER298" s="2">
        <v>1378.91</v>
      </c>
      <c r="ES298" s="2">
        <v>35.35</v>
      </c>
      <c r="ET298" s="2">
        <v>1192.07</v>
      </c>
      <c r="EU298" s="2">
        <v>94.92</v>
      </c>
      <c r="EV298" s="2">
        <v>151.49</v>
      </c>
      <c r="EW298" s="2">
        <v>14.4</v>
      </c>
      <c r="EX298" s="2">
        <v>0</v>
      </c>
      <c r="EY298" s="2">
        <v>0</v>
      </c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161</v>
      </c>
      <c r="FY298" s="2">
        <v>107</v>
      </c>
      <c r="FZ298" s="2"/>
      <c r="GA298" s="2" t="s">
        <v>3</v>
      </c>
      <c r="GB298" s="2"/>
      <c r="GC298" s="2"/>
      <c r="GD298" s="2">
        <v>0</v>
      </c>
      <c r="GE298" s="2"/>
      <c r="GF298" s="2">
        <v>-533308541</v>
      </c>
      <c r="GG298" s="2">
        <v>2</v>
      </c>
      <c r="GH298" s="2">
        <v>1</v>
      </c>
      <c r="GI298" s="2">
        <v>-2</v>
      </c>
      <c r="GJ298" s="2">
        <v>0</v>
      </c>
      <c r="GK298" s="2">
        <f>ROUND(R298*(R12)/100,2)</f>
        <v>0</v>
      </c>
      <c r="GL298" s="2">
        <f t="shared" si="249"/>
        <v>0</v>
      </c>
      <c r="GM298" s="2">
        <f t="shared" si="250"/>
        <v>0</v>
      </c>
      <c r="GN298" s="2">
        <f t="shared" si="251"/>
        <v>0</v>
      </c>
      <c r="GO298" s="2">
        <f t="shared" si="252"/>
        <v>0</v>
      </c>
      <c r="GP298" s="2">
        <f t="shared" si="253"/>
        <v>0</v>
      </c>
      <c r="GQ298" s="2"/>
      <c r="GR298" s="2">
        <v>0</v>
      </c>
      <c r="GS298" s="2">
        <v>0</v>
      </c>
      <c r="GT298" s="2">
        <v>0</v>
      </c>
      <c r="GU298" s="2" t="s">
        <v>3</v>
      </c>
      <c r="GV298" s="2">
        <f t="shared" si="254"/>
        <v>0</v>
      </c>
      <c r="GW298" s="2">
        <v>1</v>
      </c>
      <c r="GX298" s="2">
        <f t="shared" si="255"/>
        <v>0</v>
      </c>
      <c r="GY298" s="2"/>
      <c r="GZ298" s="2"/>
      <c r="HA298" s="2">
        <v>0</v>
      </c>
      <c r="HB298" s="2">
        <v>0</v>
      </c>
      <c r="HC298" s="2">
        <f t="shared" si="256"/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">
      <c r="A299">
        <v>17</v>
      </c>
      <c r="B299">
        <v>1</v>
      </c>
      <c r="C299">
        <f>ROW(SmtRes!A190)</f>
        <v>190</v>
      </c>
      <c r="D299">
        <f>ROW(EtalonRes!A468)</f>
        <v>468</v>
      </c>
      <c r="E299" t="s">
        <v>353</v>
      </c>
      <c r="F299" t="s">
        <v>297</v>
      </c>
      <c r="G299" t="s">
        <v>354</v>
      </c>
      <c r="H299" t="s">
        <v>299</v>
      </c>
      <c r="I299">
        <v>0</v>
      </c>
      <c r="J299">
        <v>0</v>
      </c>
      <c r="K299">
        <v>0</v>
      </c>
      <c r="O299">
        <f t="shared" si="222"/>
        <v>0</v>
      </c>
      <c r="P299">
        <f t="shared" si="223"/>
        <v>0</v>
      </c>
      <c r="Q299">
        <f t="shared" si="224"/>
        <v>0</v>
      </c>
      <c r="R299">
        <f t="shared" si="225"/>
        <v>0</v>
      </c>
      <c r="S299">
        <f t="shared" si="226"/>
        <v>0</v>
      </c>
      <c r="T299">
        <f t="shared" si="227"/>
        <v>0</v>
      </c>
      <c r="U299">
        <f t="shared" si="228"/>
        <v>0</v>
      </c>
      <c r="V299">
        <f t="shared" si="229"/>
        <v>0</v>
      </c>
      <c r="W299">
        <f t="shared" si="230"/>
        <v>0</v>
      </c>
      <c r="X299">
        <f t="shared" si="231"/>
        <v>0</v>
      </c>
      <c r="Y299">
        <f t="shared" si="232"/>
        <v>0</v>
      </c>
      <c r="AA299">
        <v>56611490</v>
      </c>
      <c r="AB299">
        <f t="shared" si="233"/>
        <v>1513.2660000000001</v>
      </c>
      <c r="AC299">
        <f t="shared" si="234"/>
        <v>35.35</v>
      </c>
      <c r="AD299">
        <f t="shared" si="235"/>
        <v>1311.277</v>
      </c>
      <c r="AE299">
        <f t="shared" si="236"/>
        <v>104.41200000000001</v>
      </c>
      <c r="AF299">
        <f t="shared" si="236"/>
        <v>166.63900000000001</v>
      </c>
      <c r="AG299">
        <f t="shared" si="237"/>
        <v>0</v>
      </c>
      <c r="AH299">
        <f t="shared" si="238"/>
        <v>15.840000000000002</v>
      </c>
      <c r="AI299">
        <f t="shared" si="238"/>
        <v>0</v>
      </c>
      <c r="AJ299">
        <f t="shared" si="239"/>
        <v>0</v>
      </c>
      <c r="AK299">
        <v>1378.91</v>
      </c>
      <c r="AL299">
        <v>35.35</v>
      </c>
      <c r="AM299">
        <v>1192.07</v>
      </c>
      <c r="AN299">
        <v>94.92</v>
      </c>
      <c r="AO299">
        <v>151.49</v>
      </c>
      <c r="AP299">
        <v>0</v>
      </c>
      <c r="AQ299">
        <v>14.4</v>
      </c>
      <c r="AR299">
        <v>0</v>
      </c>
      <c r="AS299">
        <v>0</v>
      </c>
      <c r="AT299">
        <v>134</v>
      </c>
      <c r="AU299">
        <v>55</v>
      </c>
      <c r="AV299">
        <v>1.0469999999999999</v>
      </c>
      <c r="AW299">
        <v>1.002</v>
      </c>
      <c r="AZ299">
        <v>1</v>
      </c>
      <c r="BA299">
        <v>34.51</v>
      </c>
      <c r="BB299">
        <v>11.7</v>
      </c>
      <c r="BC299">
        <v>7.05</v>
      </c>
      <c r="BD299" t="s">
        <v>3</v>
      </c>
      <c r="BE299" t="s">
        <v>3</v>
      </c>
      <c r="BF299" t="s">
        <v>3</v>
      </c>
      <c r="BG299" t="s">
        <v>3</v>
      </c>
      <c r="BH299">
        <v>0</v>
      </c>
      <c r="BI299">
        <v>1</v>
      </c>
      <c r="BJ299" t="s">
        <v>300</v>
      </c>
      <c r="BM299">
        <v>146</v>
      </c>
      <c r="BN299">
        <v>0</v>
      </c>
      <c r="BO299" t="s">
        <v>297</v>
      </c>
      <c r="BP299">
        <v>1</v>
      </c>
      <c r="BQ299">
        <v>30</v>
      </c>
      <c r="BR299">
        <v>0</v>
      </c>
      <c r="BS299">
        <v>34.51</v>
      </c>
      <c r="BT299">
        <v>1</v>
      </c>
      <c r="BU299">
        <v>1</v>
      </c>
      <c r="BV299">
        <v>1</v>
      </c>
      <c r="BW299">
        <v>1</v>
      </c>
      <c r="BX299">
        <v>1</v>
      </c>
      <c r="BY299" t="s">
        <v>3</v>
      </c>
      <c r="BZ299">
        <v>134</v>
      </c>
      <c r="CA299">
        <v>55</v>
      </c>
      <c r="CB299" t="s">
        <v>3</v>
      </c>
      <c r="CE299">
        <v>30</v>
      </c>
      <c r="CF299">
        <v>0</v>
      </c>
      <c r="CG299">
        <v>0</v>
      </c>
      <c r="CM299">
        <v>0</v>
      </c>
      <c r="CN299" t="s">
        <v>689</v>
      </c>
      <c r="CO299">
        <v>0</v>
      </c>
      <c r="CP299">
        <f t="shared" si="240"/>
        <v>0</v>
      </c>
      <c r="CQ299">
        <f t="shared" si="241"/>
        <v>249.71</v>
      </c>
      <c r="CR299">
        <f t="shared" si="242"/>
        <v>16063.05</v>
      </c>
      <c r="CS299">
        <f t="shared" si="243"/>
        <v>3772.63</v>
      </c>
      <c r="CT299">
        <f t="shared" si="244"/>
        <v>6020.96</v>
      </c>
      <c r="CU299">
        <f t="shared" si="245"/>
        <v>0</v>
      </c>
      <c r="CV299">
        <f t="shared" si="246"/>
        <v>16.584479999999999</v>
      </c>
      <c r="CW299">
        <f t="shared" si="247"/>
        <v>0</v>
      </c>
      <c r="CX299">
        <f t="shared" si="248"/>
        <v>0</v>
      </c>
      <c r="CY299">
        <f>S299*(BZ299/100)</f>
        <v>0</v>
      </c>
      <c r="CZ299">
        <f>S299*(CA299/100)</f>
        <v>0</v>
      </c>
      <c r="DC299" t="s">
        <v>3</v>
      </c>
      <c r="DD299" t="s">
        <v>3</v>
      </c>
      <c r="DE299" t="s">
        <v>22</v>
      </c>
      <c r="DF299" t="s">
        <v>22</v>
      </c>
      <c r="DG299" t="s">
        <v>22</v>
      </c>
      <c r="DH299" t="s">
        <v>3</v>
      </c>
      <c r="DI299" t="s">
        <v>22</v>
      </c>
      <c r="DJ299" t="s">
        <v>22</v>
      </c>
      <c r="DK299" t="s">
        <v>3</v>
      </c>
      <c r="DL299" t="s">
        <v>3</v>
      </c>
      <c r="DM299" t="s">
        <v>3</v>
      </c>
      <c r="DN299">
        <v>161</v>
      </c>
      <c r="DO299">
        <v>107</v>
      </c>
      <c r="DP299">
        <v>1.0469999999999999</v>
      </c>
      <c r="DQ299">
        <v>1.002</v>
      </c>
      <c r="DU299">
        <v>1013</v>
      </c>
      <c r="DV299" t="s">
        <v>299</v>
      </c>
      <c r="DW299" t="s">
        <v>299</v>
      </c>
      <c r="DX299">
        <v>1</v>
      </c>
      <c r="DZ299" t="s">
        <v>3</v>
      </c>
      <c r="EA299" t="s">
        <v>3</v>
      </c>
      <c r="EB299" t="s">
        <v>3</v>
      </c>
      <c r="EC299" t="s">
        <v>3</v>
      </c>
      <c r="EE299">
        <v>51696185</v>
      </c>
      <c r="EF299">
        <v>30</v>
      </c>
      <c r="EG299" t="s">
        <v>23</v>
      </c>
      <c r="EH299">
        <v>0</v>
      </c>
      <c r="EI299" t="s">
        <v>3</v>
      </c>
      <c r="EJ299">
        <v>1</v>
      </c>
      <c r="EK299">
        <v>146</v>
      </c>
      <c r="EL299" t="s">
        <v>301</v>
      </c>
      <c r="EM299" t="s">
        <v>302</v>
      </c>
      <c r="EO299" t="s">
        <v>26</v>
      </c>
      <c r="EQ299">
        <v>131072</v>
      </c>
      <c r="ER299">
        <v>1378.91</v>
      </c>
      <c r="ES299">
        <v>35.35</v>
      </c>
      <c r="ET299">
        <v>1192.07</v>
      </c>
      <c r="EU299">
        <v>94.92</v>
      </c>
      <c r="EV299">
        <v>151.49</v>
      </c>
      <c r="EW299">
        <v>14.4</v>
      </c>
      <c r="EX299">
        <v>0</v>
      </c>
      <c r="EY299">
        <v>0</v>
      </c>
      <c r="FQ299">
        <v>0</v>
      </c>
      <c r="FR299">
        <v>0</v>
      </c>
      <c r="FS299">
        <v>0</v>
      </c>
      <c r="FX299">
        <v>161</v>
      </c>
      <c r="FY299">
        <v>107</v>
      </c>
      <c r="GA299" t="s">
        <v>3</v>
      </c>
      <c r="GD299">
        <v>0</v>
      </c>
      <c r="GF299">
        <v>-533308541</v>
      </c>
      <c r="GG299">
        <v>2</v>
      </c>
      <c r="GH299">
        <v>1</v>
      </c>
      <c r="GI299">
        <v>2</v>
      </c>
      <c r="GJ299">
        <v>0</v>
      </c>
      <c r="GK299">
        <f>ROUND(R299*(S12)/100,2)</f>
        <v>0</v>
      </c>
      <c r="GL299">
        <f t="shared" si="249"/>
        <v>0</v>
      </c>
      <c r="GM299">
        <f t="shared" si="250"/>
        <v>0</v>
      </c>
      <c r="GN299">
        <f t="shared" si="251"/>
        <v>0</v>
      </c>
      <c r="GO299">
        <f t="shared" si="252"/>
        <v>0</v>
      </c>
      <c r="GP299">
        <f t="shared" si="253"/>
        <v>0</v>
      </c>
      <c r="GR299">
        <v>0</v>
      </c>
      <c r="GS299">
        <v>3</v>
      </c>
      <c r="GT299">
        <v>0</v>
      </c>
      <c r="GU299" t="s">
        <v>3</v>
      </c>
      <c r="GV299">
        <f t="shared" si="254"/>
        <v>0</v>
      </c>
      <c r="GW299">
        <v>1</v>
      </c>
      <c r="GX299">
        <f t="shared" si="255"/>
        <v>0</v>
      </c>
      <c r="HA299">
        <v>0</v>
      </c>
      <c r="HB299">
        <v>0</v>
      </c>
      <c r="HC299">
        <f t="shared" si="256"/>
        <v>0</v>
      </c>
      <c r="HE299" t="s">
        <v>3</v>
      </c>
      <c r="HF299" t="s">
        <v>3</v>
      </c>
      <c r="HM299" t="s">
        <v>3</v>
      </c>
      <c r="HN299" t="s">
        <v>3</v>
      </c>
      <c r="HO299" t="s">
        <v>3</v>
      </c>
      <c r="HP299" t="s">
        <v>3</v>
      </c>
      <c r="HQ299" t="s">
        <v>3</v>
      </c>
      <c r="HS299">
        <v>0</v>
      </c>
      <c r="IK299">
        <v>0</v>
      </c>
    </row>
    <row r="300" spans="1:255" x14ac:dyDescent="0.2">
      <c r="A300" s="2">
        <v>18</v>
      </c>
      <c r="B300" s="2">
        <v>1</v>
      </c>
      <c r="C300" s="2">
        <v>189</v>
      </c>
      <c r="D300" s="2"/>
      <c r="E300" s="2" t="s">
        <v>355</v>
      </c>
      <c r="F300" s="2" t="s">
        <v>86</v>
      </c>
      <c r="G300" s="2" t="s">
        <v>304</v>
      </c>
      <c r="H300" s="2" t="s">
        <v>88</v>
      </c>
      <c r="I300" s="2">
        <f>I298*J300</f>
        <v>0</v>
      </c>
      <c r="J300" s="2">
        <v>110</v>
      </c>
      <c r="K300" s="2">
        <v>110</v>
      </c>
      <c r="L300" s="2"/>
      <c r="M300" s="2"/>
      <c r="N300" s="2"/>
      <c r="O300" s="2">
        <f t="shared" si="222"/>
        <v>0</v>
      </c>
      <c r="P300" s="2">
        <f t="shared" si="223"/>
        <v>0</v>
      </c>
      <c r="Q300" s="2">
        <f>(ROUND((ROUND(((ET300)*AV300*I300),2)*BB300),2)+ROUND((ROUND(((AE300-(EU300))*AV300*I300),2)*BS300),2))</f>
        <v>0</v>
      </c>
      <c r="R300" s="2">
        <f t="shared" si="225"/>
        <v>0</v>
      </c>
      <c r="S300" s="2">
        <f t="shared" si="226"/>
        <v>0</v>
      </c>
      <c r="T300" s="2">
        <f t="shared" si="227"/>
        <v>0</v>
      </c>
      <c r="U300" s="2">
        <f t="shared" si="228"/>
        <v>0</v>
      </c>
      <c r="V300" s="2">
        <f t="shared" si="229"/>
        <v>0</v>
      </c>
      <c r="W300" s="2">
        <f t="shared" si="230"/>
        <v>0</v>
      </c>
      <c r="X300" s="2">
        <f t="shared" si="231"/>
        <v>0</v>
      </c>
      <c r="Y300" s="2">
        <f t="shared" si="232"/>
        <v>0</v>
      </c>
      <c r="Z300" s="2"/>
      <c r="AA300" s="2">
        <v>56622523</v>
      </c>
      <c r="AB300" s="2">
        <f t="shared" si="233"/>
        <v>104.99</v>
      </c>
      <c r="AC300" s="2">
        <f t="shared" si="234"/>
        <v>104.99</v>
      </c>
      <c r="AD300" s="2">
        <f>ROUND((((ET300)-(EU300))+AE300),6)</f>
        <v>0</v>
      </c>
      <c r="AE300" s="2">
        <f>ROUND((EU300),6)</f>
        <v>0</v>
      </c>
      <c r="AF300" s="2">
        <f>ROUND((EV300),6)</f>
        <v>0</v>
      </c>
      <c r="AG300" s="2">
        <f t="shared" si="237"/>
        <v>0</v>
      </c>
      <c r="AH300" s="2">
        <f>(EW300)</f>
        <v>0</v>
      </c>
      <c r="AI300" s="2">
        <f>(EX300)</f>
        <v>0</v>
      </c>
      <c r="AJ300" s="2">
        <f t="shared" si="239"/>
        <v>0</v>
      </c>
      <c r="AK300" s="2">
        <v>104.99</v>
      </c>
      <c r="AL300" s="2">
        <v>104.99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161</v>
      </c>
      <c r="AU300" s="2">
        <v>107</v>
      </c>
      <c r="AV300" s="2">
        <v>1.0469999999999999</v>
      </c>
      <c r="AW300" s="2">
        <v>1.002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3</v>
      </c>
      <c r="BI300" s="2">
        <v>1</v>
      </c>
      <c r="BJ300" s="2" t="s">
        <v>89</v>
      </c>
      <c r="BK300" s="2"/>
      <c r="BL300" s="2"/>
      <c r="BM300" s="2">
        <v>146</v>
      </c>
      <c r="BN300" s="2">
        <v>0</v>
      </c>
      <c r="BO300" s="2" t="s">
        <v>3</v>
      </c>
      <c r="BP300" s="2">
        <v>0</v>
      </c>
      <c r="BQ300" s="2">
        <v>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161</v>
      </c>
      <c r="CA300" s="2">
        <v>107</v>
      </c>
      <c r="CB300" s="2" t="s">
        <v>3</v>
      </c>
      <c r="CC300" s="2"/>
      <c r="CD300" s="2"/>
      <c r="CE300" s="2">
        <v>30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3</v>
      </c>
      <c r="CO300" s="2">
        <v>0</v>
      </c>
      <c r="CP300" s="2">
        <f t="shared" si="240"/>
        <v>0</v>
      </c>
      <c r="CQ300" s="2">
        <f t="shared" si="241"/>
        <v>105.2</v>
      </c>
      <c r="CR300" s="2">
        <f>(ROUND((ROUND(((ET300)*AV300*1),2)*BB300),2)+ROUND((ROUND(((AE300-(EU300))*AV300*1),2)*BS300),2))</f>
        <v>0</v>
      </c>
      <c r="CS300" s="2">
        <f t="shared" si="243"/>
        <v>0</v>
      </c>
      <c r="CT300" s="2">
        <f t="shared" si="244"/>
        <v>0</v>
      </c>
      <c r="CU300" s="2">
        <f t="shared" si="245"/>
        <v>0</v>
      </c>
      <c r="CV300" s="2">
        <f t="shared" si="246"/>
        <v>0</v>
      </c>
      <c r="CW300" s="2">
        <f t="shared" si="247"/>
        <v>0</v>
      </c>
      <c r="CX300" s="2">
        <f t="shared" si="248"/>
        <v>0</v>
      </c>
      <c r="CY300" s="2">
        <f>((S300*BZ300)/100)</f>
        <v>0</v>
      </c>
      <c r="CZ300" s="2">
        <f>((S300*CA300)/100)</f>
        <v>0</v>
      </c>
      <c r="DA300" s="2"/>
      <c r="DB300" s="2"/>
      <c r="DC300" s="2" t="s">
        <v>3</v>
      </c>
      <c r="DD300" s="2" t="s">
        <v>3</v>
      </c>
      <c r="DE300" s="2" t="s">
        <v>3</v>
      </c>
      <c r="DF300" s="2" t="s">
        <v>3</v>
      </c>
      <c r="DG300" s="2" t="s">
        <v>3</v>
      </c>
      <c r="DH300" s="2" t="s">
        <v>3</v>
      </c>
      <c r="DI300" s="2" t="s">
        <v>3</v>
      </c>
      <c r="DJ300" s="2" t="s">
        <v>3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1007</v>
      </c>
      <c r="DV300" s="2" t="s">
        <v>88</v>
      </c>
      <c r="DW300" s="2" t="s">
        <v>88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51696185</v>
      </c>
      <c r="EF300" s="2">
        <v>30</v>
      </c>
      <c r="EG300" s="2" t="s">
        <v>23</v>
      </c>
      <c r="EH300" s="2">
        <v>0</v>
      </c>
      <c r="EI300" s="2" t="s">
        <v>3</v>
      </c>
      <c r="EJ300" s="2">
        <v>1</v>
      </c>
      <c r="EK300" s="2">
        <v>146</v>
      </c>
      <c r="EL300" s="2" t="s">
        <v>301</v>
      </c>
      <c r="EM300" s="2" t="s">
        <v>302</v>
      </c>
      <c r="EN300" s="2"/>
      <c r="EO300" s="2" t="s">
        <v>3</v>
      </c>
      <c r="EP300" s="2"/>
      <c r="EQ300" s="2">
        <v>0</v>
      </c>
      <c r="ER300" s="2">
        <v>104.99</v>
      </c>
      <c r="ES300" s="2">
        <v>104.99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161</v>
      </c>
      <c r="FY300" s="2">
        <v>107</v>
      </c>
      <c r="FZ300" s="2"/>
      <c r="GA300" s="2" t="s">
        <v>3</v>
      </c>
      <c r="GB300" s="2"/>
      <c r="GC300" s="2"/>
      <c r="GD300" s="2">
        <v>0</v>
      </c>
      <c r="GE300" s="2"/>
      <c r="GF300" s="2">
        <v>921520</v>
      </c>
      <c r="GG300" s="2">
        <v>2</v>
      </c>
      <c r="GH300" s="2">
        <v>1</v>
      </c>
      <c r="GI300" s="2">
        <v>-2</v>
      </c>
      <c r="GJ300" s="2">
        <v>0</v>
      </c>
      <c r="GK300" s="2">
        <f>ROUND(R300*(R12)/100,2)</f>
        <v>0</v>
      </c>
      <c r="GL300" s="2">
        <f t="shared" si="249"/>
        <v>0</v>
      </c>
      <c r="GM300" s="2">
        <f t="shared" si="250"/>
        <v>0</v>
      </c>
      <c r="GN300" s="2">
        <f t="shared" si="251"/>
        <v>0</v>
      </c>
      <c r="GO300" s="2">
        <f t="shared" si="252"/>
        <v>0</v>
      </c>
      <c r="GP300" s="2">
        <f t="shared" si="253"/>
        <v>0</v>
      </c>
      <c r="GQ300" s="2"/>
      <c r="GR300" s="2">
        <v>0</v>
      </c>
      <c r="GS300" s="2">
        <v>0</v>
      </c>
      <c r="GT300" s="2">
        <v>0</v>
      </c>
      <c r="GU300" s="2" t="s">
        <v>3</v>
      </c>
      <c r="GV300" s="2">
        <f t="shared" si="254"/>
        <v>0</v>
      </c>
      <c r="GW300" s="2">
        <v>1</v>
      </c>
      <c r="GX300" s="2">
        <f t="shared" si="255"/>
        <v>0</v>
      </c>
      <c r="GY300" s="2"/>
      <c r="GZ300" s="2"/>
      <c r="HA300" s="2">
        <v>0</v>
      </c>
      <c r="HB300" s="2">
        <v>0</v>
      </c>
      <c r="HC300" s="2">
        <f t="shared" si="256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">
      <c r="A301">
        <v>18</v>
      </c>
      <c r="B301">
        <v>1</v>
      </c>
      <c r="C301">
        <v>190</v>
      </c>
      <c r="E301" t="s">
        <v>355</v>
      </c>
      <c r="F301" t="s">
        <v>86</v>
      </c>
      <c r="G301" t="s">
        <v>304</v>
      </c>
      <c r="H301" t="s">
        <v>88</v>
      </c>
      <c r="I301">
        <f>I299*J301</f>
        <v>0</v>
      </c>
      <c r="J301">
        <v>110</v>
      </c>
      <c r="K301">
        <v>110</v>
      </c>
      <c r="O301">
        <f t="shared" si="222"/>
        <v>0</v>
      </c>
      <c r="P301">
        <f t="shared" si="223"/>
        <v>0</v>
      </c>
      <c r="Q301">
        <f>(ROUND((ROUND(((ET301)*AV301*I301),2)*BB301),2)+ROUND((ROUND(((AE301-(EU301))*AV301*I301),2)*BS301),2))</f>
        <v>0</v>
      </c>
      <c r="R301">
        <f t="shared" si="225"/>
        <v>0</v>
      </c>
      <c r="S301">
        <f t="shared" si="226"/>
        <v>0</v>
      </c>
      <c r="T301">
        <f t="shared" si="227"/>
        <v>0</v>
      </c>
      <c r="U301">
        <f t="shared" si="228"/>
        <v>0</v>
      </c>
      <c r="V301">
        <f t="shared" si="229"/>
        <v>0</v>
      </c>
      <c r="W301">
        <f t="shared" si="230"/>
        <v>0</v>
      </c>
      <c r="X301">
        <f t="shared" si="231"/>
        <v>0</v>
      </c>
      <c r="Y301">
        <f t="shared" si="232"/>
        <v>0</v>
      </c>
      <c r="AA301">
        <v>56611490</v>
      </c>
      <c r="AB301">
        <f t="shared" si="233"/>
        <v>104.99</v>
      </c>
      <c r="AC301">
        <f t="shared" si="234"/>
        <v>104.99</v>
      </c>
      <c r="AD301">
        <f>ROUND((((ET301)-(EU301))+AE301),6)</f>
        <v>0</v>
      </c>
      <c r="AE301">
        <f>ROUND((EU301),6)</f>
        <v>0</v>
      </c>
      <c r="AF301">
        <f>ROUND((EV301),6)</f>
        <v>0</v>
      </c>
      <c r="AG301">
        <f t="shared" si="237"/>
        <v>0</v>
      </c>
      <c r="AH301">
        <f>(EW301)</f>
        <v>0</v>
      </c>
      <c r="AI301">
        <f>(EX301)</f>
        <v>0</v>
      </c>
      <c r="AJ301">
        <f t="shared" si="239"/>
        <v>0</v>
      </c>
      <c r="AK301">
        <v>104.99</v>
      </c>
      <c r="AL301">
        <v>104.99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1.002</v>
      </c>
      <c r="AZ301">
        <v>1</v>
      </c>
      <c r="BA301">
        <v>1</v>
      </c>
      <c r="BB301">
        <v>1</v>
      </c>
      <c r="BC301">
        <v>7.69</v>
      </c>
      <c r="BD301" t="s">
        <v>3</v>
      </c>
      <c r="BE301" t="s">
        <v>3</v>
      </c>
      <c r="BF301" t="s">
        <v>3</v>
      </c>
      <c r="BG301" t="s">
        <v>3</v>
      </c>
      <c r="BH301">
        <v>3</v>
      </c>
      <c r="BI301">
        <v>1</v>
      </c>
      <c r="BJ301" t="s">
        <v>89</v>
      </c>
      <c r="BM301">
        <v>146</v>
      </c>
      <c r="BN301">
        <v>0</v>
      </c>
      <c r="BO301" t="s">
        <v>86</v>
      </c>
      <c r="BP301">
        <v>1</v>
      </c>
      <c r="BQ301">
        <v>30</v>
      </c>
      <c r="BR301">
        <v>0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 t="s">
        <v>3</v>
      </c>
      <c r="BZ301">
        <v>0</v>
      </c>
      <c r="CA301">
        <v>0</v>
      </c>
      <c r="CB301" t="s">
        <v>3</v>
      </c>
      <c r="CE301">
        <v>30</v>
      </c>
      <c r="CF301">
        <v>0</v>
      </c>
      <c r="CG301">
        <v>0</v>
      </c>
      <c r="CM301">
        <v>0</v>
      </c>
      <c r="CN301" t="s">
        <v>3</v>
      </c>
      <c r="CO301">
        <v>0</v>
      </c>
      <c r="CP301">
        <f t="shared" si="240"/>
        <v>0</v>
      </c>
      <c r="CQ301">
        <f t="shared" si="241"/>
        <v>808.99</v>
      </c>
      <c r="CR301">
        <f>(ROUND((ROUND(((ET301)*AV301*1),2)*BB301),2)+ROUND((ROUND(((AE301-(EU301))*AV301*1),2)*BS301),2))</f>
        <v>0</v>
      </c>
      <c r="CS301">
        <f t="shared" si="243"/>
        <v>0</v>
      </c>
      <c r="CT301">
        <f t="shared" si="244"/>
        <v>0</v>
      </c>
      <c r="CU301">
        <f t="shared" si="245"/>
        <v>0</v>
      </c>
      <c r="CV301">
        <f t="shared" si="246"/>
        <v>0</v>
      </c>
      <c r="CW301">
        <f t="shared" si="247"/>
        <v>0</v>
      </c>
      <c r="CX301">
        <f t="shared" si="248"/>
        <v>0</v>
      </c>
      <c r="CY301">
        <f>S301*(BZ301/100)</f>
        <v>0</v>
      </c>
      <c r="CZ301">
        <f>S301*(CA301/100)</f>
        <v>0</v>
      </c>
      <c r="DC301" t="s">
        <v>3</v>
      </c>
      <c r="DD301" t="s">
        <v>3</v>
      </c>
      <c r="DE301" t="s">
        <v>3</v>
      </c>
      <c r="DF301" t="s">
        <v>3</v>
      </c>
      <c r="DG301" t="s">
        <v>3</v>
      </c>
      <c r="DH301" t="s">
        <v>3</v>
      </c>
      <c r="DI301" t="s">
        <v>3</v>
      </c>
      <c r="DJ301" t="s">
        <v>3</v>
      </c>
      <c r="DK301" t="s">
        <v>3</v>
      </c>
      <c r="DL301" t="s">
        <v>3</v>
      </c>
      <c r="DM301" t="s">
        <v>3</v>
      </c>
      <c r="DN301">
        <v>161</v>
      </c>
      <c r="DO301">
        <v>107</v>
      </c>
      <c r="DP301">
        <v>1.0469999999999999</v>
      </c>
      <c r="DQ301">
        <v>1.002</v>
      </c>
      <c r="DU301">
        <v>1007</v>
      </c>
      <c r="DV301" t="s">
        <v>88</v>
      </c>
      <c r="DW301" t="s">
        <v>88</v>
      </c>
      <c r="DX301">
        <v>1</v>
      </c>
      <c r="DZ301" t="s">
        <v>3</v>
      </c>
      <c r="EA301" t="s">
        <v>3</v>
      </c>
      <c r="EB301" t="s">
        <v>3</v>
      </c>
      <c r="EC301" t="s">
        <v>3</v>
      </c>
      <c r="EE301">
        <v>51696185</v>
      </c>
      <c r="EF301">
        <v>30</v>
      </c>
      <c r="EG301" t="s">
        <v>23</v>
      </c>
      <c r="EH301">
        <v>0</v>
      </c>
      <c r="EI301" t="s">
        <v>3</v>
      </c>
      <c r="EJ301">
        <v>1</v>
      </c>
      <c r="EK301">
        <v>146</v>
      </c>
      <c r="EL301" t="s">
        <v>301</v>
      </c>
      <c r="EM301" t="s">
        <v>302</v>
      </c>
      <c r="EO301" t="s">
        <v>3</v>
      </c>
      <c r="EQ301">
        <v>0</v>
      </c>
      <c r="ER301">
        <v>104.99</v>
      </c>
      <c r="ES301">
        <v>104.99</v>
      </c>
      <c r="ET301">
        <v>0</v>
      </c>
      <c r="EU301">
        <v>0</v>
      </c>
      <c r="EV301">
        <v>0</v>
      </c>
      <c r="EW301">
        <v>0</v>
      </c>
      <c r="EX301">
        <v>0</v>
      </c>
      <c r="FQ301">
        <v>0</v>
      </c>
      <c r="FR301">
        <v>0</v>
      </c>
      <c r="FS301">
        <v>0</v>
      </c>
      <c r="FX301">
        <v>161</v>
      </c>
      <c r="FY301">
        <v>107</v>
      </c>
      <c r="GA301" t="s">
        <v>3</v>
      </c>
      <c r="GD301">
        <v>0</v>
      </c>
      <c r="GF301">
        <v>921520</v>
      </c>
      <c r="GG301">
        <v>2</v>
      </c>
      <c r="GH301">
        <v>1</v>
      </c>
      <c r="GI301">
        <v>2</v>
      </c>
      <c r="GJ301">
        <v>0</v>
      </c>
      <c r="GK301">
        <f>ROUND(R301*(S12)/100,2)</f>
        <v>0</v>
      </c>
      <c r="GL301">
        <f t="shared" si="249"/>
        <v>0</v>
      </c>
      <c r="GM301">
        <f t="shared" si="250"/>
        <v>0</v>
      </c>
      <c r="GN301">
        <f t="shared" si="251"/>
        <v>0</v>
      </c>
      <c r="GO301">
        <f t="shared" si="252"/>
        <v>0</v>
      </c>
      <c r="GP301">
        <f t="shared" si="253"/>
        <v>0</v>
      </c>
      <c r="GR301">
        <v>0</v>
      </c>
      <c r="GS301">
        <v>3</v>
      </c>
      <c r="GT301">
        <v>0</v>
      </c>
      <c r="GU301" t="s">
        <v>3</v>
      </c>
      <c r="GV301">
        <f t="shared" si="254"/>
        <v>0</v>
      </c>
      <c r="GW301">
        <v>1</v>
      </c>
      <c r="GX301">
        <f t="shared" si="255"/>
        <v>0</v>
      </c>
      <c r="HA301">
        <v>0</v>
      </c>
      <c r="HB301">
        <v>0</v>
      </c>
      <c r="HC301">
        <f t="shared" si="256"/>
        <v>0</v>
      </c>
      <c r="HE301" t="s">
        <v>3</v>
      </c>
      <c r="HF301" t="s">
        <v>3</v>
      </c>
      <c r="HM301" t="s">
        <v>3</v>
      </c>
      <c r="HN301" t="s">
        <v>3</v>
      </c>
      <c r="HO301" t="s">
        <v>3</v>
      </c>
      <c r="HP301" t="s">
        <v>3</v>
      </c>
      <c r="HQ301" t="s">
        <v>3</v>
      </c>
      <c r="HS301">
        <v>0</v>
      </c>
      <c r="IK301">
        <v>0</v>
      </c>
    </row>
    <row r="302" spans="1:255" x14ac:dyDescent="0.2">
      <c r="A302" s="2">
        <v>17</v>
      </c>
      <c r="B302" s="2">
        <v>1</v>
      </c>
      <c r="C302" s="2">
        <f>ROW(SmtRes!A191)</f>
        <v>191</v>
      </c>
      <c r="D302" s="2">
        <f>ROW(EtalonRes!A473)</f>
        <v>473</v>
      </c>
      <c r="E302" s="2" t="s">
        <v>356</v>
      </c>
      <c r="F302" s="2" t="s">
        <v>357</v>
      </c>
      <c r="G302" s="2" t="s">
        <v>358</v>
      </c>
      <c r="H302" s="2" t="s">
        <v>359</v>
      </c>
      <c r="I302" s="2">
        <v>0</v>
      </c>
      <c r="J302" s="2">
        <v>0</v>
      </c>
      <c r="K302" s="2">
        <v>0</v>
      </c>
      <c r="L302" s="2"/>
      <c r="M302" s="2"/>
      <c r="N302" s="2"/>
      <c r="O302" s="2">
        <f t="shared" si="222"/>
        <v>0</v>
      </c>
      <c r="P302" s="2">
        <f t="shared" si="223"/>
        <v>0</v>
      </c>
      <c r="Q302" s="2">
        <f>(ROUND((ROUND((((ET302*1.1))*AV302*I302),2)*BB302),2)+ROUND((ROUND(((AE302-((EU302*1.1)))*AV302*I302),2)*BS302),2))</f>
        <v>0</v>
      </c>
      <c r="R302" s="2">
        <f t="shared" si="225"/>
        <v>0</v>
      </c>
      <c r="S302" s="2">
        <f t="shared" si="226"/>
        <v>0</v>
      </c>
      <c r="T302" s="2">
        <f t="shared" si="227"/>
        <v>0</v>
      </c>
      <c r="U302" s="2">
        <f t="shared" si="228"/>
        <v>0</v>
      </c>
      <c r="V302" s="2">
        <f t="shared" si="229"/>
        <v>0</v>
      </c>
      <c r="W302" s="2">
        <f t="shared" si="230"/>
        <v>0</v>
      </c>
      <c r="X302" s="2">
        <f t="shared" si="231"/>
        <v>0</v>
      </c>
      <c r="Y302" s="2">
        <f t="shared" si="232"/>
        <v>0</v>
      </c>
      <c r="Z302" s="2"/>
      <c r="AA302" s="2">
        <v>56622523</v>
      </c>
      <c r="AB302" s="2">
        <f t="shared" si="233"/>
        <v>619.79999999999995</v>
      </c>
      <c r="AC302" s="2">
        <f t="shared" si="234"/>
        <v>14.14</v>
      </c>
      <c r="AD302" s="2">
        <f>ROUND(((((ET302*1.1))-((EU302*1.1)))+AE302),6)</f>
        <v>306.82299999999998</v>
      </c>
      <c r="AE302" s="2">
        <f>ROUND(((EU302*1.1)),6)</f>
        <v>27.324000000000002</v>
      </c>
      <c r="AF302" s="2">
        <f>ROUND(((EV302*1.1)),6)</f>
        <v>298.83699999999999</v>
      </c>
      <c r="AG302" s="2">
        <f t="shared" si="237"/>
        <v>0</v>
      </c>
      <c r="AH302" s="2">
        <f>((EW302*1.1))</f>
        <v>26.730000000000004</v>
      </c>
      <c r="AI302" s="2">
        <f>((EX302*1.1))</f>
        <v>0</v>
      </c>
      <c r="AJ302" s="2">
        <f t="shared" si="239"/>
        <v>0</v>
      </c>
      <c r="AK302" s="2">
        <v>564.74</v>
      </c>
      <c r="AL302" s="2">
        <v>14.14</v>
      </c>
      <c r="AM302" s="2">
        <v>278.93</v>
      </c>
      <c r="AN302" s="2">
        <v>24.84</v>
      </c>
      <c r="AO302" s="2">
        <v>271.67</v>
      </c>
      <c r="AP302" s="2">
        <v>0</v>
      </c>
      <c r="AQ302" s="2">
        <v>24.3</v>
      </c>
      <c r="AR302" s="2">
        <v>0</v>
      </c>
      <c r="AS302" s="2">
        <v>0</v>
      </c>
      <c r="AT302" s="2">
        <v>134</v>
      </c>
      <c r="AU302" s="2">
        <v>83</v>
      </c>
      <c r="AV302" s="2">
        <v>1.0469999999999999</v>
      </c>
      <c r="AW302" s="2">
        <v>1.002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0</v>
      </c>
      <c r="BI302" s="2">
        <v>1</v>
      </c>
      <c r="BJ302" s="2" t="s">
        <v>360</v>
      </c>
      <c r="BK302" s="2"/>
      <c r="BL302" s="2"/>
      <c r="BM302" s="2">
        <v>160</v>
      </c>
      <c r="BN302" s="2">
        <v>0</v>
      </c>
      <c r="BO302" s="2" t="s">
        <v>3</v>
      </c>
      <c r="BP302" s="2">
        <v>0</v>
      </c>
      <c r="BQ302" s="2">
        <v>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134</v>
      </c>
      <c r="CA302" s="2">
        <v>83</v>
      </c>
      <c r="CB302" s="2" t="s">
        <v>3</v>
      </c>
      <c r="CC302" s="2"/>
      <c r="CD302" s="2"/>
      <c r="CE302" s="2">
        <v>30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689</v>
      </c>
      <c r="CO302" s="2">
        <v>0</v>
      </c>
      <c r="CP302" s="2">
        <f t="shared" si="240"/>
        <v>0</v>
      </c>
      <c r="CQ302" s="2">
        <f t="shared" si="241"/>
        <v>14.17</v>
      </c>
      <c r="CR302" s="2">
        <f>(ROUND((ROUND((((ET302*1.1))*AV302*1),2)*BB302),2)+ROUND((ROUND(((AE302-((EU302*1.1)))*AV302*1),2)*BS302),2))</f>
        <v>321.24</v>
      </c>
      <c r="CS302" s="2">
        <f t="shared" si="243"/>
        <v>28.61</v>
      </c>
      <c r="CT302" s="2">
        <f t="shared" si="244"/>
        <v>312.88</v>
      </c>
      <c r="CU302" s="2">
        <f t="shared" si="245"/>
        <v>0</v>
      </c>
      <c r="CV302" s="2">
        <f t="shared" si="246"/>
        <v>27.986310000000003</v>
      </c>
      <c r="CW302" s="2">
        <f t="shared" si="247"/>
        <v>0</v>
      </c>
      <c r="CX302" s="2">
        <f t="shared" si="248"/>
        <v>0</v>
      </c>
      <c r="CY302" s="2">
        <f>((S302*BZ302)/100)</f>
        <v>0</v>
      </c>
      <c r="CZ302" s="2">
        <f>((S302*CA302)/100)</f>
        <v>0</v>
      </c>
      <c r="DA302" s="2"/>
      <c r="DB302" s="2"/>
      <c r="DC302" s="2" t="s">
        <v>3</v>
      </c>
      <c r="DD302" s="2" t="s">
        <v>3</v>
      </c>
      <c r="DE302" s="2" t="s">
        <v>22</v>
      </c>
      <c r="DF302" s="2" t="s">
        <v>22</v>
      </c>
      <c r="DG302" s="2" t="s">
        <v>22</v>
      </c>
      <c r="DH302" s="2" t="s">
        <v>3</v>
      </c>
      <c r="DI302" s="2" t="s">
        <v>22</v>
      </c>
      <c r="DJ302" s="2" t="s">
        <v>22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1013</v>
      </c>
      <c r="DV302" s="2" t="s">
        <v>359</v>
      </c>
      <c r="DW302" s="2" t="s">
        <v>359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51696199</v>
      </c>
      <c r="EF302" s="2">
        <v>30</v>
      </c>
      <c r="EG302" s="2" t="s">
        <v>23</v>
      </c>
      <c r="EH302" s="2">
        <v>0</v>
      </c>
      <c r="EI302" s="2" t="s">
        <v>3</v>
      </c>
      <c r="EJ302" s="2">
        <v>1</v>
      </c>
      <c r="EK302" s="2">
        <v>160</v>
      </c>
      <c r="EL302" s="2" t="s">
        <v>361</v>
      </c>
      <c r="EM302" s="2" t="s">
        <v>362</v>
      </c>
      <c r="EN302" s="2"/>
      <c r="EO302" s="2" t="s">
        <v>26</v>
      </c>
      <c r="EP302" s="2"/>
      <c r="EQ302" s="2">
        <v>131072</v>
      </c>
      <c r="ER302" s="2">
        <v>564.74</v>
      </c>
      <c r="ES302" s="2">
        <v>14.14</v>
      </c>
      <c r="ET302" s="2">
        <v>278.93</v>
      </c>
      <c r="EU302" s="2">
        <v>24.84</v>
      </c>
      <c r="EV302" s="2">
        <v>271.67</v>
      </c>
      <c r="EW302" s="2">
        <v>24.3</v>
      </c>
      <c r="EX302" s="2">
        <v>0</v>
      </c>
      <c r="EY302" s="2">
        <v>0</v>
      </c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134</v>
      </c>
      <c r="FY302" s="2">
        <v>83</v>
      </c>
      <c r="FZ302" s="2"/>
      <c r="GA302" s="2" t="s">
        <v>3</v>
      </c>
      <c r="GB302" s="2"/>
      <c r="GC302" s="2"/>
      <c r="GD302" s="2">
        <v>0</v>
      </c>
      <c r="GE302" s="2"/>
      <c r="GF302" s="2">
        <v>1080592559</v>
      </c>
      <c r="GG302" s="2">
        <v>2</v>
      </c>
      <c r="GH302" s="2">
        <v>1</v>
      </c>
      <c r="GI302" s="2">
        <v>-2</v>
      </c>
      <c r="GJ302" s="2">
        <v>0</v>
      </c>
      <c r="GK302" s="2">
        <f>ROUND(R302*(R12)/100,2)</f>
        <v>0</v>
      </c>
      <c r="GL302" s="2">
        <f t="shared" si="249"/>
        <v>0</v>
      </c>
      <c r="GM302" s="2">
        <f t="shared" si="250"/>
        <v>0</v>
      </c>
      <c r="GN302" s="2">
        <f t="shared" si="251"/>
        <v>0</v>
      </c>
      <c r="GO302" s="2">
        <f t="shared" si="252"/>
        <v>0</v>
      </c>
      <c r="GP302" s="2">
        <f t="shared" si="253"/>
        <v>0</v>
      </c>
      <c r="GQ302" s="2"/>
      <c r="GR302" s="2">
        <v>0</v>
      </c>
      <c r="GS302" s="2">
        <v>0</v>
      </c>
      <c r="GT302" s="2">
        <v>0</v>
      </c>
      <c r="GU302" s="2" t="s">
        <v>3</v>
      </c>
      <c r="GV302" s="2">
        <f t="shared" si="254"/>
        <v>0</v>
      </c>
      <c r="GW302" s="2">
        <v>1</v>
      </c>
      <c r="GX302" s="2">
        <f t="shared" si="255"/>
        <v>0</v>
      </c>
      <c r="GY302" s="2"/>
      <c r="GZ302" s="2"/>
      <c r="HA302" s="2">
        <v>0</v>
      </c>
      <c r="HB302" s="2">
        <v>0</v>
      </c>
      <c r="HC302" s="2">
        <f t="shared" si="256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">
      <c r="A303">
        <v>17</v>
      </c>
      <c r="B303">
        <v>1</v>
      </c>
      <c r="C303">
        <f>ROW(SmtRes!A192)</f>
        <v>192</v>
      </c>
      <c r="D303">
        <f>ROW(EtalonRes!A478)</f>
        <v>478</v>
      </c>
      <c r="E303" t="s">
        <v>356</v>
      </c>
      <c r="F303" t="s">
        <v>357</v>
      </c>
      <c r="G303" t="s">
        <v>358</v>
      </c>
      <c r="H303" t="s">
        <v>359</v>
      </c>
      <c r="I303">
        <v>0</v>
      </c>
      <c r="J303">
        <v>0</v>
      </c>
      <c r="K303">
        <v>0</v>
      </c>
      <c r="O303">
        <f t="shared" si="222"/>
        <v>0</v>
      </c>
      <c r="P303">
        <f t="shared" si="223"/>
        <v>0</v>
      </c>
      <c r="Q303">
        <f>(ROUND((ROUND((((ET303*1.1))*AV303*I303),2)*BB303),2)+ROUND((ROUND(((AE303-((EU303*1.1)))*AV303*I303),2)*BS303),2))</f>
        <v>0</v>
      </c>
      <c r="R303">
        <f t="shared" si="225"/>
        <v>0</v>
      </c>
      <c r="S303">
        <f t="shared" si="226"/>
        <v>0</v>
      </c>
      <c r="T303">
        <f t="shared" si="227"/>
        <v>0</v>
      </c>
      <c r="U303">
        <f t="shared" si="228"/>
        <v>0</v>
      </c>
      <c r="V303">
        <f t="shared" si="229"/>
        <v>0</v>
      </c>
      <c r="W303">
        <f t="shared" si="230"/>
        <v>0</v>
      </c>
      <c r="X303">
        <f t="shared" si="231"/>
        <v>0</v>
      </c>
      <c r="Y303">
        <f t="shared" si="232"/>
        <v>0</v>
      </c>
      <c r="AA303">
        <v>56611490</v>
      </c>
      <c r="AB303">
        <f t="shared" si="233"/>
        <v>619.79999999999995</v>
      </c>
      <c r="AC303">
        <f t="shared" si="234"/>
        <v>14.14</v>
      </c>
      <c r="AD303">
        <f>ROUND(((((ET303*1.1))-((EU303*1.1)))+AE303),6)</f>
        <v>306.82299999999998</v>
      </c>
      <c r="AE303">
        <f>ROUND(((EU303*1.1)),6)</f>
        <v>27.324000000000002</v>
      </c>
      <c r="AF303">
        <f>ROUND(((EV303*1.1)),6)</f>
        <v>298.83699999999999</v>
      </c>
      <c r="AG303">
        <f t="shared" si="237"/>
        <v>0</v>
      </c>
      <c r="AH303">
        <f>((EW303*1.1))</f>
        <v>26.730000000000004</v>
      </c>
      <c r="AI303">
        <f>((EX303*1.1))</f>
        <v>0</v>
      </c>
      <c r="AJ303">
        <f t="shared" si="239"/>
        <v>0</v>
      </c>
      <c r="AK303">
        <v>564.74</v>
      </c>
      <c r="AL303">
        <v>14.14</v>
      </c>
      <c r="AM303">
        <v>278.93</v>
      </c>
      <c r="AN303">
        <v>24.84</v>
      </c>
      <c r="AO303">
        <v>271.67</v>
      </c>
      <c r="AP303">
        <v>0</v>
      </c>
      <c r="AQ303">
        <v>24.3</v>
      </c>
      <c r="AR303">
        <v>0</v>
      </c>
      <c r="AS303">
        <v>0</v>
      </c>
      <c r="AT303">
        <v>109</v>
      </c>
      <c r="AU303">
        <v>41</v>
      </c>
      <c r="AV303">
        <v>1.0469999999999999</v>
      </c>
      <c r="AW303">
        <v>1.002</v>
      </c>
      <c r="AZ303">
        <v>1</v>
      </c>
      <c r="BA303">
        <v>34.51</v>
      </c>
      <c r="BB303">
        <v>11.82</v>
      </c>
      <c r="BC303">
        <v>7.05</v>
      </c>
      <c r="BD303" t="s">
        <v>3</v>
      </c>
      <c r="BE303" t="s">
        <v>3</v>
      </c>
      <c r="BF303" t="s">
        <v>3</v>
      </c>
      <c r="BG303" t="s">
        <v>3</v>
      </c>
      <c r="BH303">
        <v>0</v>
      </c>
      <c r="BI303">
        <v>1</v>
      </c>
      <c r="BJ303" t="s">
        <v>360</v>
      </c>
      <c r="BM303">
        <v>160</v>
      </c>
      <c r="BN303">
        <v>0</v>
      </c>
      <c r="BO303" t="s">
        <v>357</v>
      </c>
      <c r="BP303">
        <v>1</v>
      </c>
      <c r="BQ303">
        <v>30</v>
      </c>
      <c r="BR303">
        <v>0</v>
      </c>
      <c r="BS303">
        <v>34.51</v>
      </c>
      <c r="BT303">
        <v>1</v>
      </c>
      <c r="BU303">
        <v>1</v>
      </c>
      <c r="BV303">
        <v>1</v>
      </c>
      <c r="BW303">
        <v>1</v>
      </c>
      <c r="BX303">
        <v>1</v>
      </c>
      <c r="BY303" t="s">
        <v>3</v>
      </c>
      <c r="BZ303">
        <v>109</v>
      </c>
      <c r="CA303">
        <v>41</v>
      </c>
      <c r="CB303" t="s">
        <v>3</v>
      </c>
      <c r="CE303">
        <v>30</v>
      </c>
      <c r="CF303">
        <v>0</v>
      </c>
      <c r="CG303">
        <v>0</v>
      </c>
      <c r="CM303">
        <v>0</v>
      </c>
      <c r="CN303" t="s">
        <v>689</v>
      </c>
      <c r="CO303">
        <v>0</v>
      </c>
      <c r="CP303">
        <f t="shared" si="240"/>
        <v>0</v>
      </c>
      <c r="CQ303">
        <f t="shared" si="241"/>
        <v>99.9</v>
      </c>
      <c r="CR303">
        <f>(ROUND((ROUND((((ET303*1.1))*AV303*1),2)*BB303),2)+ROUND((ROUND(((AE303-((EU303*1.1)))*AV303*1),2)*BS303),2))</f>
        <v>3797.06</v>
      </c>
      <c r="CS303">
        <f t="shared" si="243"/>
        <v>987.33</v>
      </c>
      <c r="CT303">
        <f t="shared" si="244"/>
        <v>10797.49</v>
      </c>
      <c r="CU303">
        <f t="shared" si="245"/>
        <v>0</v>
      </c>
      <c r="CV303">
        <f t="shared" si="246"/>
        <v>27.986310000000003</v>
      </c>
      <c r="CW303">
        <f t="shared" si="247"/>
        <v>0</v>
      </c>
      <c r="CX303">
        <f t="shared" si="248"/>
        <v>0</v>
      </c>
      <c r="CY303">
        <f>S303*(BZ303/100)</f>
        <v>0</v>
      </c>
      <c r="CZ303">
        <f>S303*(CA303/100)</f>
        <v>0</v>
      </c>
      <c r="DC303" t="s">
        <v>3</v>
      </c>
      <c r="DD303" t="s">
        <v>3</v>
      </c>
      <c r="DE303" t="s">
        <v>22</v>
      </c>
      <c r="DF303" t="s">
        <v>22</v>
      </c>
      <c r="DG303" t="s">
        <v>22</v>
      </c>
      <c r="DH303" t="s">
        <v>3</v>
      </c>
      <c r="DI303" t="s">
        <v>22</v>
      </c>
      <c r="DJ303" t="s">
        <v>22</v>
      </c>
      <c r="DK303" t="s">
        <v>3</v>
      </c>
      <c r="DL303" t="s">
        <v>3</v>
      </c>
      <c r="DM303" t="s">
        <v>3</v>
      </c>
      <c r="DN303">
        <v>134</v>
      </c>
      <c r="DO303">
        <v>83</v>
      </c>
      <c r="DP303">
        <v>1.0469999999999999</v>
      </c>
      <c r="DQ303">
        <v>1.002</v>
      </c>
      <c r="DU303">
        <v>1013</v>
      </c>
      <c r="DV303" t="s">
        <v>359</v>
      </c>
      <c r="DW303" t="s">
        <v>359</v>
      </c>
      <c r="DX303">
        <v>1</v>
      </c>
      <c r="DZ303" t="s">
        <v>3</v>
      </c>
      <c r="EA303" t="s">
        <v>3</v>
      </c>
      <c r="EB303" t="s">
        <v>3</v>
      </c>
      <c r="EC303" t="s">
        <v>3</v>
      </c>
      <c r="EE303">
        <v>51696199</v>
      </c>
      <c r="EF303">
        <v>30</v>
      </c>
      <c r="EG303" t="s">
        <v>23</v>
      </c>
      <c r="EH303">
        <v>0</v>
      </c>
      <c r="EI303" t="s">
        <v>3</v>
      </c>
      <c r="EJ303">
        <v>1</v>
      </c>
      <c r="EK303">
        <v>160</v>
      </c>
      <c r="EL303" t="s">
        <v>361</v>
      </c>
      <c r="EM303" t="s">
        <v>362</v>
      </c>
      <c r="EO303" t="s">
        <v>26</v>
      </c>
      <c r="EQ303">
        <v>131072</v>
      </c>
      <c r="ER303">
        <v>564.74</v>
      </c>
      <c r="ES303">
        <v>14.14</v>
      </c>
      <c r="ET303">
        <v>278.93</v>
      </c>
      <c r="EU303">
        <v>24.84</v>
      </c>
      <c r="EV303">
        <v>271.67</v>
      </c>
      <c r="EW303">
        <v>24.3</v>
      </c>
      <c r="EX303">
        <v>0</v>
      </c>
      <c r="EY303">
        <v>0</v>
      </c>
      <c r="FQ303">
        <v>0</v>
      </c>
      <c r="FR303">
        <v>0</v>
      </c>
      <c r="FS303">
        <v>0</v>
      </c>
      <c r="FX303">
        <v>134</v>
      </c>
      <c r="FY303">
        <v>83</v>
      </c>
      <c r="GA303" t="s">
        <v>3</v>
      </c>
      <c r="GD303">
        <v>0</v>
      </c>
      <c r="GF303">
        <v>1080592559</v>
      </c>
      <c r="GG303">
        <v>2</v>
      </c>
      <c r="GH303">
        <v>1</v>
      </c>
      <c r="GI303">
        <v>2</v>
      </c>
      <c r="GJ303">
        <v>0</v>
      </c>
      <c r="GK303">
        <f>ROUND(R303*(S12)/100,2)</f>
        <v>0</v>
      </c>
      <c r="GL303">
        <f t="shared" si="249"/>
        <v>0</v>
      </c>
      <c r="GM303">
        <f t="shared" si="250"/>
        <v>0</v>
      </c>
      <c r="GN303">
        <f t="shared" si="251"/>
        <v>0</v>
      </c>
      <c r="GO303">
        <f t="shared" si="252"/>
        <v>0</v>
      </c>
      <c r="GP303">
        <f t="shared" si="253"/>
        <v>0</v>
      </c>
      <c r="GR303">
        <v>0</v>
      </c>
      <c r="GS303">
        <v>3</v>
      </c>
      <c r="GT303">
        <v>0</v>
      </c>
      <c r="GU303" t="s">
        <v>3</v>
      </c>
      <c r="GV303">
        <f t="shared" si="254"/>
        <v>0</v>
      </c>
      <c r="GW303">
        <v>1</v>
      </c>
      <c r="GX303">
        <f t="shared" si="255"/>
        <v>0</v>
      </c>
      <c r="HA303">
        <v>0</v>
      </c>
      <c r="HB303">
        <v>0</v>
      </c>
      <c r="HC303">
        <f t="shared" si="256"/>
        <v>0</v>
      </c>
      <c r="HE303" t="s">
        <v>3</v>
      </c>
      <c r="HF303" t="s">
        <v>3</v>
      </c>
      <c r="HM303" t="s">
        <v>3</v>
      </c>
      <c r="HN303" t="s">
        <v>3</v>
      </c>
      <c r="HO303" t="s">
        <v>3</v>
      </c>
      <c r="HP303" t="s">
        <v>3</v>
      </c>
      <c r="HQ303" t="s">
        <v>3</v>
      </c>
      <c r="HS303">
        <v>0</v>
      </c>
      <c r="IK303">
        <v>0</v>
      </c>
    </row>
    <row r="304" spans="1:255" x14ac:dyDescent="0.2">
      <c r="A304" s="2">
        <v>18</v>
      </c>
      <c r="B304" s="2">
        <v>1</v>
      </c>
      <c r="C304" s="2">
        <v>191</v>
      </c>
      <c r="D304" s="2"/>
      <c r="E304" s="2" t="s">
        <v>363</v>
      </c>
      <c r="F304" s="2" t="s">
        <v>364</v>
      </c>
      <c r="G304" s="2" t="s">
        <v>365</v>
      </c>
      <c r="H304" s="2" t="s">
        <v>88</v>
      </c>
      <c r="I304" s="2">
        <f>I302*J304</f>
        <v>0</v>
      </c>
      <c r="J304" s="2">
        <v>12</v>
      </c>
      <c r="K304" s="2">
        <v>12</v>
      </c>
      <c r="L304" s="2"/>
      <c r="M304" s="2"/>
      <c r="N304" s="2"/>
      <c r="O304" s="2">
        <f t="shared" si="222"/>
        <v>0</v>
      </c>
      <c r="P304" s="2">
        <f t="shared" si="223"/>
        <v>0</v>
      </c>
      <c r="Q304" s="2">
        <f>(ROUND((ROUND(((ET304)*AV304*I304),2)*BB304),2)+ROUND((ROUND(((AE304-(EU304))*AV304*I304),2)*BS304),2))</f>
        <v>0</v>
      </c>
      <c r="R304" s="2">
        <f t="shared" si="225"/>
        <v>0</v>
      </c>
      <c r="S304" s="2">
        <f t="shared" si="226"/>
        <v>0</v>
      </c>
      <c r="T304" s="2">
        <f t="shared" si="227"/>
        <v>0</v>
      </c>
      <c r="U304" s="2">
        <f t="shared" si="228"/>
        <v>0</v>
      </c>
      <c r="V304" s="2">
        <f t="shared" si="229"/>
        <v>0</v>
      </c>
      <c r="W304" s="2">
        <f t="shared" si="230"/>
        <v>0</v>
      </c>
      <c r="X304" s="2">
        <f t="shared" si="231"/>
        <v>0</v>
      </c>
      <c r="Y304" s="2">
        <f t="shared" si="232"/>
        <v>0</v>
      </c>
      <c r="Z304" s="2"/>
      <c r="AA304" s="2">
        <v>56622523</v>
      </c>
      <c r="AB304" s="2">
        <f t="shared" si="233"/>
        <v>160.62</v>
      </c>
      <c r="AC304" s="2">
        <f t="shared" si="234"/>
        <v>160.62</v>
      </c>
      <c r="AD304" s="2">
        <f>ROUND((((ET304)-(EU304))+AE304),6)</f>
        <v>0</v>
      </c>
      <c r="AE304" s="2">
        <f>ROUND((EU304),6)</f>
        <v>0</v>
      </c>
      <c r="AF304" s="2">
        <f>ROUND((EV304),6)</f>
        <v>0</v>
      </c>
      <c r="AG304" s="2">
        <f t="shared" si="237"/>
        <v>0</v>
      </c>
      <c r="AH304" s="2">
        <f>(EW304)</f>
        <v>0</v>
      </c>
      <c r="AI304" s="2">
        <f>(EX304)</f>
        <v>0</v>
      </c>
      <c r="AJ304" s="2">
        <f t="shared" si="239"/>
        <v>0</v>
      </c>
      <c r="AK304" s="2">
        <v>160.62</v>
      </c>
      <c r="AL304" s="2">
        <v>160.62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134</v>
      </c>
      <c r="AU304" s="2">
        <v>83</v>
      </c>
      <c r="AV304" s="2">
        <v>1.0469999999999999</v>
      </c>
      <c r="AW304" s="2">
        <v>1.002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3</v>
      </c>
      <c r="BI304" s="2">
        <v>1</v>
      </c>
      <c r="BJ304" s="2" t="s">
        <v>366</v>
      </c>
      <c r="BK304" s="2"/>
      <c r="BL304" s="2"/>
      <c r="BM304" s="2">
        <v>160</v>
      </c>
      <c r="BN304" s="2">
        <v>0</v>
      </c>
      <c r="BO304" s="2" t="s">
        <v>3</v>
      </c>
      <c r="BP304" s="2">
        <v>0</v>
      </c>
      <c r="BQ304" s="2">
        <v>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134</v>
      </c>
      <c r="CA304" s="2">
        <v>83</v>
      </c>
      <c r="CB304" s="2" t="s">
        <v>3</v>
      </c>
      <c r="CC304" s="2"/>
      <c r="CD304" s="2"/>
      <c r="CE304" s="2">
        <v>30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3</v>
      </c>
      <c r="CO304" s="2">
        <v>0</v>
      </c>
      <c r="CP304" s="2">
        <f t="shared" si="240"/>
        <v>0</v>
      </c>
      <c r="CQ304" s="2">
        <f t="shared" si="241"/>
        <v>160.94</v>
      </c>
      <c r="CR304" s="2">
        <f>(ROUND((ROUND(((ET304)*AV304*1),2)*BB304),2)+ROUND((ROUND(((AE304-(EU304))*AV304*1),2)*BS304),2))</f>
        <v>0</v>
      </c>
      <c r="CS304" s="2">
        <f t="shared" si="243"/>
        <v>0</v>
      </c>
      <c r="CT304" s="2">
        <f t="shared" si="244"/>
        <v>0</v>
      </c>
      <c r="CU304" s="2">
        <f t="shared" si="245"/>
        <v>0</v>
      </c>
      <c r="CV304" s="2">
        <f t="shared" si="246"/>
        <v>0</v>
      </c>
      <c r="CW304" s="2">
        <f t="shared" si="247"/>
        <v>0</v>
      </c>
      <c r="CX304" s="2">
        <f t="shared" si="248"/>
        <v>0</v>
      </c>
      <c r="CY304" s="2">
        <f>((S304*BZ304)/100)</f>
        <v>0</v>
      </c>
      <c r="CZ304" s="2">
        <f>((S304*CA304)/100)</f>
        <v>0</v>
      </c>
      <c r="DA304" s="2"/>
      <c r="DB304" s="2"/>
      <c r="DC304" s="2" t="s">
        <v>3</v>
      </c>
      <c r="DD304" s="2" t="s">
        <v>3</v>
      </c>
      <c r="DE304" s="2" t="s">
        <v>3</v>
      </c>
      <c r="DF304" s="2" t="s">
        <v>3</v>
      </c>
      <c r="DG304" s="2" t="s">
        <v>3</v>
      </c>
      <c r="DH304" s="2" t="s">
        <v>3</v>
      </c>
      <c r="DI304" s="2" t="s">
        <v>3</v>
      </c>
      <c r="DJ304" s="2" t="s">
        <v>3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1007</v>
      </c>
      <c r="DV304" s="2" t="s">
        <v>88</v>
      </c>
      <c r="DW304" s="2" t="s">
        <v>88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51696199</v>
      </c>
      <c r="EF304" s="2">
        <v>30</v>
      </c>
      <c r="EG304" s="2" t="s">
        <v>23</v>
      </c>
      <c r="EH304" s="2">
        <v>0</v>
      </c>
      <c r="EI304" s="2" t="s">
        <v>3</v>
      </c>
      <c r="EJ304" s="2">
        <v>1</v>
      </c>
      <c r="EK304" s="2">
        <v>160</v>
      </c>
      <c r="EL304" s="2" t="s">
        <v>361</v>
      </c>
      <c r="EM304" s="2" t="s">
        <v>362</v>
      </c>
      <c r="EN304" s="2"/>
      <c r="EO304" s="2" t="s">
        <v>3</v>
      </c>
      <c r="EP304" s="2"/>
      <c r="EQ304" s="2">
        <v>0</v>
      </c>
      <c r="ER304" s="2">
        <v>160.62</v>
      </c>
      <c r="ES304" s="2">
        <v>160.62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134</v>
      </c>
      <c r="FY304" s="2">
        <v>83</v>
      </c>
      <c r="FZ304" s="2"/>
      <c r="GA304" s="2" t="s">
        <v>3</v>
      </c>
      <c r="GB304" s="2"/>
      <c r="GC304" s="2"/>
      <c r="GD304" s="2">
        <v>0</v>
      </c>
      <c r="GE304" s="2"/>
      <c r="GF304" s="2">
        <v>1868310757</v>
      </c>
      <c r="GG304" s="2">
        <v>2</v>
      </c>
      <c r="GH304" s="2">
        <v>1</v>
      </c>
      <c r="GI304" s="2">
        <v>-2</v>
      </c>
      <c r="GJ304" s="2">
        <v>0</v>
      </c>
      <c r="GK304" s="2">
        <f>ROUND(R304*(R12)/100,2)</f>
        <v>0</v>
      </c>
      <c r="GL304" s="2">
        <f t="shared" si="249"/>
        <v>0</v>
      </c>
      <c r="GM304" s="2">
        <f t="shared" si="250"/>
        <v>0</v>
      </c>
      <c r="GN304" s="2">
        <f t="shared" si="251"/>
        <v>0</v>
      </c>
      <c r="GO304" s="2">
        <f t="shared" si="252"/>
        <v>0</v>
      </c>
      <c r="GP304" s="2">
        <f t="shared" si="253"/>
        <v>0</v>
      </c>
      <c r="GQ304" s="2"/>
      <c r="GR304" s="2">
        <v>0</v>
      </c>
      <c r="GS304" s="2">
        <v>0</v>
      </c>
      <c r="GT304" s="2">
        <v>0</v>
      </c>
      <c r="GU304" s="2" t="s">
        <v>3</v>
      </c>
      <c r="GV304" s="2">
        <f t="shared" si="254"/>
        <v>0</v>
      </c>
      <c r="GW304" s="2">
        <v>1</v>
      </c>
      <c r="GX304" s="2">
        <f t="shared" si="255"/>
        <v>0</v>
      </c>
      <c r="GY304" s="2"/>
      <c r="GZ304" s="2"/>
      <c r="HA304" s="2">
        <v>0</v>
      </c>
      <c r="HB304" s="2">
        <v>0</v>
      </c>
      <c r="HC304" s="2">
        <f t="shared" si="256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">
      <c r="A305">
        <v>18</v>
      </c>
      <c r="B305">
        <v>1</v>
      </c>
      <c r="C305">
        <v>192</v>
      </c>
      <c r="E305" t="s">
        <v>363</v>
      </c>
      <c r="F305" t="s">
        <v>364</v>
      </c>
      <c r="G305" t="s">
        <v>365</v>
      </c>
      <c r="H305" t="s">
        <v>88</v>
      </c>
      <c r="I305">
        <f>I303*J305</f>
        <v>0</v>
      </c>
      <c r="J305">
        <v>12</v>
      </c>
      <c r="K305">
        <v>12</v>
      </c>
      <c r="O305">
        <f t="shared" si="222"/>
        <v>0</v>
      </c>
      <c r="P305">
        <f t="shared" si="223"/>
        <v>0</v>
      </c>
      <c r="Q305">
        <f>(ROUND((ROUND(((ET305)*AV305*I305),2)*BB305),2)+ROUND((ROUND(((AE305-(EU305))*AV305*I305),2)*BS305),2))</f>
        <v>0</v>
      </c>
      <c r="R305">
        <f t="shared" si="225"/>
        <v>0</v>
      </c>
      <c r="S305">
        <f t="shared" si="226"/>
        <v>0</v>
      </c>
      <c r="T305">
        <f t="shared" si="227"/>
        <v>0</v>
      </c>
      <c r="U305">
        <f t="shared" si="228"/>
        <v>0</v>
      </c>
      <c r="V305">
        <f t="shared" si="229"/>
        <v>0</v>
      </c>
      <c r="W305">
        <f t="shared" si="230"/>
        <v>0</v>
      </c>
      <c r="X305">
        <f t="shared" si="231"/>
        <v>0</v>
      </c>
      <c r="Y305">
        <f t="shared" si="232"/>
        <v>0</v>
      </c>
      <c r="AA305">
        <v>56611490</v>
      </c>
      <c r="AB305">
        <f t="shared" si="233"/>
        <v>160.62</v>
      </c>
      <c r="AC305">
        <f t="shared" si="234"/>
        <v>160.62</v>
      </c>
      <c r="AD305">
        <f>ROUND((((ET305)-(EU305))+AE305),6)</f>
        <v>0</v>
      </c>
      <c r="AE305">
        <f>ROUND((EU305),6)</f>
        <v>0</v>
      </c>
      <c r="AF305">
        <f>ROUND((EV305),6)</f>
        <v>0</v>
      </c>
      <c r="AG305">
        <f t="shared" si="237"/>
        <v>0</v>
      </c>
      <c r="AH305">
        <f>(EW305)</f>
        <v>0</v>
      </c>
      <c r="AI305">
        <f>(EX305)</f>
        <v>0</v>
      </c>
      <c r="AJ305">
        <f t="shared" si="239"/>
        <v>0</v>
      </c>
      <c r="AK305">
        <v>160.62</v>
      </c>
      <c r="AL305">
        <v>160.62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1.002</v>
      </c>
      <c r="AZ305">
        <v>1</v>
      </c>
      <c r="BA305">
        <v>1</v>
      </c>
      <c r="BB305">
        <v>1</v>
      </c>
      <c r="BC305">
        <v>18.100000000000001</v>
      </c>
      <c r="BD305" t="s">
        <v>3</v>
      </c>
      <c r="BE305" t="s">
        <v>3</v>
      </c>
      <c r="BF305" t="s">
        <v>3</v>
      </c>
      <c r="BG305" t="s">
        <v>3</v>
      </c>
      <c r="BH305">
        <v>3</v>
      </c>
      <c r="BI305">
        <v>1</v>
      </c>
      <c r="BJ305" t="s">
        <v>366</v>
      </c>
      <c r="BM305">
        <v>160</v>
      </c>
      <c r="BN305">
        <v>0</v>
      </c>
      <c r="BO305" t="s">
        <v>364</v>
      </c>
      <c r="BP305">
        <v>1</v>
      </c>
      <c r="BQ305">
        <v>30</v>
      </c>
      <c r="BR305">
        <v>0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 t="s">
        <v>3</v>
      </c>
      <c r="BZ305">
        <v>0</v>
      </c>
      <c r="CA305">
        <v>0</v>
      </c>
      <c r="CB305" t="s">
        <v>3</v>
      </c>
      <c r="CE305">
        <v>30</v>
      </c>
      <c r="CF305">
        <v>0</v>
      </c>
      <c r="CG305">
        <v>0</v>
      </c>
      <c r="CM305">
        <v>0</v>
      </c>
      <c r="CN305" t="s">
        <v>3</v>
      </c>
      <c r="CO305">
        <v>0</v>
      </c>
      <c r="CP305">
        <f t="shared" si="240"/>
        <v>0</v>
      </c>
      <c r="CQ305">
        <f t="shared" si="241"/>
        <v>2913.01</v>
      </c>
      <c r="CR305">
        <f>(ROUND((ROUND(((ET305)*AV305*1),2)*BB305),2)+ROUND((ROUND(((AE305-(EU305))*AV305*1),2)*BS305),2))</f>
        <v>0</v>
      </c>
      <c r="CS305">
        <f t="shared" si="243"/>
        <v>0</v>
      </c>
      <c r="CT305">
        <f t="shared" si="244"/>
        <v>0</v>
      </c>
      <c r="CU305">
        <f t="shared" si="245"/>
        <v>0</v>
      </c>
      <c r="CV305">
        <f t="shared" si="246"/>
        <v>0</v>
      </c>
      <c r="CW305">
        <f t="shared" si="247"/>
        <v>0</v>
      </c>
      <c r="CX305">
        <f t="shared" si="248"/>
        <v>0</v>
      </c>
      <c r="CY305">
        <f>S305*(BZ305/100)</f>
        <v>0</v>
      </c>
      <c r="CZ305">
        <f>S305*(CA305/100)</f>
        <v>0</v>
      </c>
      <c r="DC305" t="s">
        <v>3</v>
      </c>
      <c r="DD305" t="s">
        <v>3</v>
      </c>
      <c r="DE305" t="s">
        <v>3</v>
      </c>
      <c r="DF305" t="s">
        <v>3</v>
      </c>
      <c r="DG305" t="s">
        <v>3</v>
      </c>
      <c r="DH305" t="s">
        <v>3</v>
      </c>
      <c r="DI305" t="s">
        <v>3</v>
      </c>
      <c r="DJ305" t="s">
        <v>3</v>
      </c>
      <c r="DK305" t="s">
        <v>3</v>
      </c>
      <c r="DL305" t="s">
        <v>3</v>
      </c>
      <c r="DM305" t="s">
        <v>3</v>
      </c>
      <c r="DN305">
        <v>134</v>
      </c>
      <c r="DO305">
        <v>83</v>
      </c>
      <c r="DP305">
        <v>1.0469999999999999</v>
      </c>
      <c r="DQ305">
        <v>1.002</v>
      </c>
      <c r="DU305">
        <v>1007</v>
      </c>
      <c r="DV305" t="s">
        <v>88</v>
      </c>
      <c r="DW305" t="s">
        <v>88</v>
      </c>
      <c r="DX305">
        <v>1</v>
      </c>
      <c r="DZ305" t="s">
        <v>3</v>
      </c>
      <c r="EA305" t="s">
        <v>3</v>
      </c>
      <c r="EB305" t="s">
        <v>3</v>
      </c>
      <c r="EC305" t="s">
        <v>3</v>
      </c>
      <c r="EE305">
        <v>51696199</v>
      </c>
      <c r="EF305">
        <v>30</v>
      </c>
      <c r="EG305" t="s">
        <v>23</v>
      </c>
      <c r="EH305">
        <v>0</v>
      </c>
      <c r="EI305" t="s">
        <v>3</v>
      </c>
      <c r="EJ305">
        <v>1</v>
      </c>
      <c r="EK305">
        <v>160</v>
      </c>
      <c r="EL305" t="s">
        <v>361</v>
      </c>
      <c r="EM305" t="s">
        <v>362</v>
      </c>
      <c r="EO305" t="s">
        <v>3</v>
      </c>
      <c r="EQ305">
        <v>0</v>
      </c>
      <c r="ER305">
        <v>160.62</v>
      </c>
      <c r="ES305">
        <v>160.62</v>
      </c>
      <c r="ET305">
        <v>0</v>
      </c>
      <c r="EU305">
        <v>0</v>
      </c>
      <c r="EV305">
        <v>0</v>
      </c>
      <c r="EW305">
        <v>0</v>
      </c>
      <c r="EX305">
        <v>0</v>
      </c>
      <c r="FQ305">
        <v>0</v>
      </c>
      <c r="FR305">
        <v>0</v>
      </c>
      <c r="FS305">
        <v>0</v>
      </c>
      <c r="FX305">
        <v>134</v>
      </c>
      <c r="FY305">
        <v>83</v>
      </c>
      <c r="GA305" t="s">
        <v>3</v>
      </c>
      <c r="GD305">
        <v>0</v>
      </c>
      <c r="GF305">
        <v>1868310757</v>
      </c>
      <c r="GG305">
        <v>2</v>
      </c>
      <c r="GH305">
        <v>1</v>
      </c>
      <c r="GI305">
        <v>2</v>
      </c>
      <c r="GJ305">
        <v>0</v>
      </c>
      <c r="GK305">
        <f>ROUND(R305*(S12)/100,2)</f>
        <v>0</v>
      </c>
      <c r="GL305">
        <f t="shared" si="249"/>
        <v>0</v>
      </c>
      <c r="GM305">
        <f t="shared" si="250"/>
        <v>0</v>
      </c>
      <c r="GN305">
        <f t="shared" si="251"/>
        <v>0</v>
      </c>
      <c r="GO305">
        <f t="shared" si="252"/>
        <v>0</v>
      </c>
      <c r="GP305">
        <f t="shared" si="253"/>
        <v>0</v>
      </c>
      <c r="GR305">
        <v>0</v>
      </c>
      <c r="GS305">
        <v>3</v>
      </c>
      <c r="GT305">
        <v>0</v>
      </c>
      <c r="GU305" t="s">
        <v>3</v>
      </c>
      <c r="GV305">
        <f t="shared" si="254"/>
        <v>0</v>
      </c>
      <c r="GW305">
        <v>1</v>
      </c>
      <c r="GX305">
        <f t="shared" si="255"/>
        <v>0</v>
      </c>
      <c r="HA305">
        <v>0</v>
      </c>
      <c r="HB305">
        <v>0</v>
      </c>
      <c r="HC305">
        <f t="shared" si="256"/>
        <v>0</v>
      </c>
      <c r="HE305" t="s">
        <v>3</v>
      </c>
      <c r="HF305" t="s">
        <v>3</v>
      </c>
      <c r="HM305" t="s">
        <v>3</v>
      </c>
      <c r="HN305" t="s">
        <v>3</v>
      </c>
      <c r="HO305" t="s">
        <v>3</v>
      </c>
      <c r="HP305" t="s">
        <v>3</v>
      </c>
      <c r="HQ305" t="s">
        <v>3</v>
      </c>
      <c r="HS305">
        <v>0</v>
      </c>
      <c r="IK305">
        <v>0</v>
      </c>
    </row>
    <row r="306" spans="1:255" x14ac:dyDescent="0.2">
      <c r="A306" s="2">
        <v>17</v>
      </c>
      <c r="B306" s="2">
        <v>1</v>
      </c>
      <c r="C306" s="2">
        <f>ROW(SmtRes!A193)</f>
        <v>193</v>
      </c>
      <c r="D306" s="2">
        <f>ROW(EtalonRes!A482)</f>
        <v>482</v>
      </c>
      <c r="E306" s="2" t="s">
        <v>367</v>
      </c>
      <c r="F306" s="2" t="s">
        <v>368</v>
      </c>
      <c r="G306" s="2" t="s">
        <v>369</v>
      </c>
      <c r="H306" s="2" t="s">
        <v>98</v>
      </c>
      <c r="I306" s="2">
        <v>0</v>
      </c>
      <c r="J306" s="2">
        <v>0</v>
      </c>
      <c r="K306" s="2">
        <v>0</v>
      </c>
      <c r="L306" s="2"/>
      <c r="M306" s="2"/>
      <c r="N306" s="2"/>
      <c r="O306" s="2">
        <f t="shared" si="222"/>
        <v>0</v>
      </c>
      <c r="P306" s="2">
        <f t="shared" si="223"/>
        <v>0</v>
      </c>
      <c r="Q306" s="2">
        <f>(ROUND((ROUND((((ET306*1.1))*AV306*I306),2)*BB306),2)+ROUND((ROUND(((AE306-((EU306*1.1)))*AV306*I306),2)*BS306),2))</f>
        <v>0</v>
      </c>
      <c r="R306" s="2">
        <f t="shared" si="225"/>
        <v>0</v>
      </c>
      <c r="S306" s="2">
        <f t="shared" si="226"/>
        <v>0</v>
      </c>
      <c r="T306" s="2">
        <f t="shared" si="227"/>
        <v>0</v>
      </c>
      <c r="U306" s="2">
        <f t="shared" si="228"/>
        <v>0</v>
      </c>
      <c r="V306" s="2">
        <f t="shared" si="229"/>
        <v>0</v>
      </c>
      <c r="W306" s="2">
        <f t="shared" si="230"/>
        <v>0</v>
      </c>
      <c r="X306" s="2">
        <f t="shared" si="231"/>
        <v>0</v>
      </c>
      <c r="Y306" s="2">
        <f t="shared" si="232"/>
        <v>0</v>
      </c>
      <c r="Z306" s="2"/>
      <c r="AA306" s="2">
        <v>56622523</v>
      </c>
      <c r="AB306" s="2">
        <f t="shared" si="233"/>
        <v>456.62</v>
      </c>
      <c r="AC306" s="2">
        <f t="shared" si="234"/>
        <v>210.11</v>
      </c>
      <c r="AD306" s="2">
        <f>ROUND(((((ET306*1.1))-((EU306*1.1)))+AE306),6)</f>
        <v>127.941</v>
      </c>
      <c r="AE306" s="2">
        <f>ROUND(((EU306*1.1)),6)</f>
        <v>11.352</v>
      </c>
      <c r="AF306" s="2">
        <f>ROUND(((EV306*1.1)),6)</f>
        <v>118.569</v>
      </c>
      <c r="AG306" s="2">
        <f t="shared" si="237"/>
        <v>0</v>
      </c>
      <c r="AH306" s="2">
        <f>((EW306*1.1))</f>
        <v>9.8560000000000016</v>
      </c>
      <c r="AI306" s="2">
        <f>((EX306*1.1))</f>
        <v>0</v>
      </c>
      <c r="AJ306" s="2">
        <f t="shared" si="239"/>
        <v>0</v>
      </c>
      <c r="AK306" s="2">
        <v>434.21</v>
      </c>
      <c r="AL306" s="2">
        <v>210.11</v>
      </c>
      <c r="AM306" s="2">
        <v>116.31</v>
      </c>
      <c r="AN306" s="2">
        <v>10.32</v>
      </c>
      <c r="AO306" s="2">
        <v>107.79</v>
      </c>
      <c r="AP306" s="2">
        <v>0</v>
      </c>
      <c r="AQ306" s="2">
        <v>8.9600000000000009</v>
      </c>
      <c r="AR306" s="2">
        <v>0</v>
      </c>
      <c r="AS306" s="2">
        <v>0</v>
      </c>
      <c r="AT306" s="2">
        <v>134</v>
      </c>
      <c r="AU306" s="2">
        <v>83</v>
      </c>
      <c r="AV306" s="2">
        <v>1.0469999999999999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0</v>
      </c>
      <c r="BI306" s="2">
        <v>1</v>
      </c>
      <c r="BJ306" s="2" t="s">
        <v>370</v>
      </c>
      <c r="BK306" s="2"/>
      <c r="BL306" s="2"/>
      <c r="BM306" s="2">
        <v>159</v>
      </c>
      <c r="BN306" s="2">
        <v>0</v>
      </c>
      <c r="BO306" s="2" t="s">
        <v>3</v>
      </c>
      <c r="BP306" s="2">
        <v>0</v>
      </c>
      <c r="BQ306" s="2">
        <v>30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134</v>
      </c>
      <c r="CA306" s="2">
        <v>83</v>
      </c>
      <c r="CB306" s="2" t="s">
        <v>3</v>
      </c>
      <c r="CC306" s="2"/>
      <c r="CD306" s="2"/>
      <c r="CE306" s="2">
        <v>30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689</v>
      </c>
      <c r="CO306" s="2">
        <v>0</v>
      </c>
      <c r="CP306" s="2">
        <f t="shared" si="240"/>
        <v>0</v>
      </c>
      <c r="CQ306" s="2">
        <f t="shared" si="241"/>
        <v>210.11</v>
      </c>
      <c r="CR306" s="2">
        <f>(ROUND((ROUND((((ET306*1.1))*AV306*1),2)*BB306),2)+ROUND((ROUND(((AE306-((EU306*1.1)))*AV306*1),2)*BS306),2))</f>
        <v>133.94999999999999</v>
      </c>
      <c r="CS306" s="2">
        <f t="shared" si="243"/>
        <v>11.89</v>
      </c>
      <c r="CT306" s="2">
        <f t="shared" si="244"/>
        <v>124.14</v>
      </c>
      <c r="CU306" s="2">
        <f t="shared" si="245"/>
        <v>0</v>
      </c>
      <c r="CV306" s="2">
        <f t="shared" si="246"/>
        <v>10.319232000000001</v>
      </c>
      <c r="CW306" s="2">
        <f t="shared" si="247"/>
        <v>0</v>
      </c>
      <c r="CX306" s="2">
        <f t="shared" si="248"/>
        <v>0</v>
      </c>
      <c r="CY306" s="2">
        <f>((S306*BZ306)/100)</f>
        <v>0</v>
      </c>
      <c r="CZ306" s="2">
        <f>((S306*CA306)/100)</f>
        <v>0</v>
      </c>
      <c r="DA306" s="2"/>
      <c r="DB306" s="2"/>
      <c r="DC306" s="2" t="s">
        <v>3</v>
      </c>
      <c r="DD306" s="2" t="s">
        <v>3</v>
      </c>
      <c r="DE306" s="2" t="s">
        <v>22</v>
      </c>
      <c r="DF306" s="2" t="s">
        <v>22</v>
      </c>
      <c r="DG306" s="2" t="s">
        <v>22</v>
      </c>
      <c r="DH306" s="2" t="s">
        <v>3</v>
      </c>
      <c r="DI306" s="2" t="s">
        <v>22</v>
      </c>
      <c r="DJ306" s="2" t="s">
        <v>22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1013</v>
      </c>
      <c r="DV306" s="2" t="s">
        <v>98</v>
      </c>
      <c r="DW306" s="2" t="s">
        <v>98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51696198</v>
      </c>
      <c r="EF306" s="2">
        <v>30</v>
      </c>
      <c r="EG306" s="2" t="s">
        <v>23</v>
      </c>
      <c r="EH306" s="2">
        <v>0</v>
      </c>
      <c r="EI306" s="2" t="s">
        <v>3</v>
      </c>
      <c r="EJ306" s="2">
        <v>1</v>
      </c>
      <c r="EK306" s="2">
        <v>159</v>
      </c>
      <c r="EL306" s="2" t="s">
        <v>371</v>
      </c>
      <c r="EM306" s="2" t="s">
        <v>372</v>
      </c>
      <c r="EN306" s="2"/>
      <c r="EO306" s="2" t="s">
        <v>26</v>
      </c>
      <c r="EP306" s="2"/>
      <c r="EQ306" s="2">
        <v>131072</v>
      </c>
      <c r="ER306" s="2">
        <v>434.21</v>
      </c>
      <c r="ES306" s="2">
        <v>210.11</v>
      </c>
      <c r="ET306" s="2">
        <v>116.31</v>
      </c>
      <c r="EU306" s="2">
        <v>10.32</v>
      </c>
      <c r="EV306" s="2">
        <v>107.79</v>
      </c>
      <c r="EW306" s="2">
        <v>8.9600000000000009</v>
      </c>
      <c r="EX306" s="2">
        <v>0</v>
      </c>
      <c r="EY306" s="2">
        <v>0</v>
      </c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134</v>
      </c>
      <c r="FY306" s="2">
        <v>83</v>
      </c>
      <c r="FZ306" s="2"/>
      <c r="GA306" s="2" t="s">
        <v>3</v>
      </c>
      <c r="GB306" s="2"/>
      <c r="GC306" s="2"/>
      <c r="GD306" s="2">
        <v>0</v>
      </c>
      <c r="GE306" s="2"/>
      <c r="GF306" s="2">
        <v>-28234376</v>
      </c>
      <c r="GG306" s="2">
        <v>2</v>
      </c>
      <c r="GH306" s="2">
        <v>1</v>
      </c>
      <c r="GI306" s="2">
        <v>-2</v>
      </c>
      <c r="GJ306" s="2">
        <v>0</v>
      </c>
      <c r="GK306" s="2">
        <f>ROUND(R306*(R12)/100,2)</f>
        <v>0</v>
      </c>
      <c r="GL306" s="2">
        <f t="shared" si="249"/>
        <v>0</v>
      </c>
      <c r="GM306" s="2">
        <f t="shared" si="250"/>
        <v>0</v>
      </c>
      <c r="GN306" s="2">
        <f t="shared" si="251"/>
        <v>0</v>
      </c>
      <c r="GO306" s="2">
        <f t="shared" si="252"/>
        <v>0</v>
      </c>
      <c r="GP306" s="2">
        <f t="shared" si="253"/>
        <v>0</v>
      </c>
      <c r="GQ306" s="2"/>
      <c r="GR306" s="2">
        <v>0</v>
      </c>
      <c r="GS306" s="2">
        <v>0</v>
      </c>
      <c r="GT306" s="2">
        <v>0</v>
      </c>
      <c r="GU306" s="2" t="s">
        <v>3</v>
      </c>
      <c r="GV306" s="2">
        <f t="shared" si="254"/>
        <v>0</v>
      </c>
      <c r="GW306" s="2">
        <v>1</v>
      </c>
      <c r="GX306" s="2">
        <f t="shared" si="255"/>
        <v>0</v>
      </c>
      <c r="GY306" s="2"/>
      <c r="GZ306" s="2"/>
      <c r="HA306" s="2">
        <v>0</v>
      </c>
      <c r="HB306" s="2">
        <v>0</v>
      </c>
      <c r="HC306" s="2">
        <f t="shared" si="256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3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">
      <c r="A307">
        <v>17</v>
      </c>
      <c r="B307">
        <v>1</v>
      </c>
      <c r="C307">
        <f>ROW(SmtRes!A194)</f>
        <v>194</v>
      </c>
      <c r="D307">
        <f>ROW(EtalonRes!A486)</f>
        <v>486</v>
      </c>
      <c r="E307" t="s">
        <v>367</v>
      </c>
      <c r="F307" t="s">
        <v>368</v>
      </c>
      <c r="G307" t="s">
        <v>369</v>
      </c>
      <c r="H307" t="s">
        <v>98</v>
      </c>
      <c r="I307">
        <v>0</v>
      </c>
      <c r="J307">
        <v>0</v>
      </c>
      <c r="K307">
        <v>0</v>
      </c>
      <c r="O307">
        <f t="shared" si="222"/>
        <v>0</v>
      </c>
      <c r="P307">
        <f t="shared" si="223"/>
        <v>0</v>
      </c>
      <c r="Q307">
        <f>(ROUND((ROUND((((ET307*1.1))*AV307*I307),2)*BB307),2)+ROUND((ROUND(((AE307-((EU307*1.1)))*AV307*I307),2)*BS307),2))</f>
        <v>0</v>
      </c>
      <c r="R307">
        <f t="shared" si="225"/>
        <v>0</v>
      </c>
      <c r="S307">
        <f t="shared" si="226"/>
        <v>0</v>
      </c>
      <c r="T307">
        <f t="shared" si="227"/>
        <v>0</v>
      </c>
      <c r="U307">
        <f t="shared" si="228"/>
        <v>0</v>
      </c>
      <c r="V307">
        <f t="shared" si="229"/>
        <v>0</v>
      </c>
      <c r="W307">
        <f t="shared" si="230"/>
        <v>0</v>
      </c>
      <c r="X307">
        <f t="shared" si="231"/>
        <v>0</v>
      </c>
      <c r="Y307">
        <f t="shared" si="232"/>
        <v>0</v>
      </c>
      <c r="AA307">
        <v>56611490</v>
      </c>
      <c r="AB307">
        <f t="shared" si="233"/>
        <v>456.62</v>
      </c>
      <c r="AC307">
        <f t="shared" si="234"/>
        <v>210.11</v>
      </c>
      <c r="AD307">
        <f>ROUND(((((ET307*1.1))-((EU307*1.1)))+AE307),6)</f>
        <v>127.941</v>
      </c>
      <c r="AE307">
        <f>ROUND(((EU307*1.1)),6)</f>
        <v>11.352</v>
      </c>
      <c r="AF307">
        <f>ROUND(((EV307*1.1)),6)</f>
        <v>118.569</v>
      </c>
      <c r="AG307">
        <f t="shared" si="237"/>
        <v>0</v>
      </c>
      <c r="AH307">
        <f>((EW307*1.1))</f>
        <v>9.8560000000000016</v>
      </c>
      <c r="AI307">
        <f>((EX307*1.1))</f>
        <v>0</v>
      </c>
      <c r="AJ307">
        <f t="shared" si="239"/>
        <v>0</v>
      </c>
      <c r="AK307">
        <v>434.21</v>
      </c>
      <c r="AL307">
        <v>210.11</v>
      </c>
      <c r="AM307">
        <v>116.31</v>
      </c>
      <c r="AN307">
        <v>10.32</v>
      </c>
      <c r="AO307">
        <v>107.79</v>
      </c>
      <c r="AP307">
        <v>0</v>
      </c>
      <c r="AQ307">
        <v>8.9600000000000009</v>
      </c>
      <c r="AR307">
        <v>0</v>
      </c>
      <c r="AS307">
        <v>0</v>
      </c>
      <c r="AT307">
        <v>109</v>
      </c>
      <c r="AU307">
        <v>41</v>
      </c>
      <c r="AV307">
        <v>1.0469999999999999</v>
      </c>
      <c r="AW307">
        <v>1</v>
      </c>
      <c r="AZ307">
        <v>1</v>
      </c>
      <c r="BA307">
        <v>34.51</v>
      </c>
      <c r="BB307">
        <v>11.89</v>
      </c>
      <c r="BC307">
        <v>14.55</v>
      </c>
      <c r="BD307" t="s">
        <v>3</v>
      </c>
      <c r="BE307" t="s">
        <v>3</v>
      </c>
      <c r="BF307" t="s">
        <v>3</v>
      </c>
      <c r="BG307" t="s">
        <v>3</v>
      </c>
      <c r="BH307">
        <v>0</v>
      </c>
      <c r="BI307">
        <v>1</v>
      </c>
      <c r="BJ307" t="s">
        <v>370</v>
      </c>
      <c r="BM307">
        <v>159</v>
      </c>
      <c r="BN307">
        <v>0</v>
      </c>
      <c r="BO307" t="s">
        <v>368</v>
      </c>
      <c r="BP307">
        <v>1</v>
      </c>
      <c r="BQ307">
        <v>30</v>
      </c>
      <c r="BR307">
        <v>0</v>
      </c>
      <c r="BS307">
        <v>34.51</v>
      </c>
      <c r="BT307">
        <v>1</v>
      </c>
      <c r="BU307">
        <v>1</v>
      </c>
      <c r="BV307">
        <v>1</v>
      </c>
      <c r="BW307">
        <v>1</v>
      </c>
      <c r="BX307">
        <v>1</v>
      </c>
      <c r="BY307" t="s">
        <v>3</v>
      </c>
      <c r="BZ307">
        <v>109</v>
      </c>
      <c r="CA307">
        <v>41</v>
      </c>
      <c r="CB307" t="s">
        <v>3</v>
      </c>
      <c r="CE307">
        <v>30</v>
      </c>
      <c r="CF307">
        <v>0</v>
      </c>
      <c r="CG307">
        <v>0</v>
      </c>
      <c r="CM307">
        <v>0</v>
      </c>
      <c r="CN307" t="s">
        <v>689</v>
      </c>
      <c r="CO307">
        <v>0</v>
      </c>
      <c r="CP307">
        <f t="shared" si="240"/>
        <v>0</v>
      </c>
      <c r="CQ307">
        <f t="shared" si="241"/>
        <v>3057.1</v>
      </c>
      <c r="CR307">
        <f>(ROUND((ROUND((((ET307*1.1))*AV307*1),2)*BB307),2)+ROUND((ROUND(((AE307-((EU307*1.1)))*AV307*1),2)*BS307),2))</f>
        <v>1592.67</v>
      </c>
      <c r="CS307">
        <f t="shared" si="243"/>
        <v>410.32</v>
      </c>
      <c r="CT307">
        <f t="shared" si="244"/>
        <v>4284.07</v>
      </c>
      <c r="CU307">
        <f t="shared" si="245"/>
        <v>0</v>
      </c>
      <c r="CV307">
        <f t="shared" si="246"/>
        <v>10.319232000000001</v>
      </c>
      <c r="CW307">
        <f t="shared" si="247"/>
        <v>0</v>
      </c>
      <c r="CX307">
        <f t="shared" si="248"/>
        <v>0</v>
      </c>
      <c r="CY307">
        <f>S307*(BZ307/100)</f>
        <v>0</v>
      </c>
      <c r="CZ307">
        <f>S307*(CA307/100)</f>
        <v>0</v>
      </c>
      <c r="DC307" t="s">
        <v>3</v>
      </c>
      <c r="DD307" t="s">
        <v>3</v>
      </c>
      <c r="DE307" t="s">
        <v>22</v>
      </c>
      <c r="DF307" t="s">
        <v>22</v>
      </c>
      <c r="DG307" t="s">
        <v>22</v>
      </c>
      <c r="DH307" t="s">
        <v>3</v>
      </c>
      <c r="DI307" t="s">
        <v>22</v>
      </c>
      <c r="DJ307" t="s">
        <v>22</v>
      </c>
      <c r="DK307" t="s">
        <v>3</v>
      </c>
      <c r="DL307" t="s">
        <v>3</v>
      </c>
      <c r="DM307" t="s">
        <v>3</v>
      </c>
      <c r="DN307">
        <v>134</v>
      </c>
      <c r="DO307">
        <v>83</v>
      </c>
      <c r="DP307">
        <v>1.0469999999999999</v>
      </c>
      <c r="DQ307">
        <v>1</v>
      </c>
      <c r="DU307">
        <v>1013</v>
      </c>
      <c r="DV307" t="s">
        <v>98</v>
      </c>
      <c r="DW307" t="s">
        <v>98</v>
      </c>
      <c r="DX307">
        <v>1</v>
      </c>
      <c r="DZ307" t="s">
        <v>3</v>
      </c>
      <c r="EA307" t="s">
        <v>3</v>
      </c>
      <c r="EB307" t="s">
        <v>3</v>
      </c>
      <c r="EC307" t="s">
        <v>3</v>
      </c>
      <c r="EE307">
        <v>51696198</v>
      </c>
      <c r="EF307">
        <v>30</v>
      </c>
      <c r="EG307" t="s">
        <v>23</v>
      </c>
      <c r="EH307">
        <v>0</v>
      </c>
      <c r="EI307" t="s">
        <v>3</v>
      </c>
      <c r="EJ307">
        <v>1</v>
      </c>
      <c r="EK307">
        <v>159</v>
      </c>
      <c r="EL307" t="s">
        <v>371</v>
      </c>
      <c r="EM307" t="s">
        <v>372</v>
      </c>
      <c r="EO307" t="s">
        <v>26</v>
      </c>
      <c r="EQ307">
        <v>131072</v>
      </c>
      <c r="ER307">
        <v>434.21</v>
      </c>
      <c r="ES307">
        <v>210.11</v>
      </c>
      <c r="ET307">
        <v>116.31</v>
      </c>
      <c r="EU307">
        <v>10.32</v>
      </c>
      <c r="EV307">
        <v>107.79</v>
      </c>
      <c r="EW307">
        <v>8.9600000000000009</v>
      </c>
      <c r="EX307">
        <v>0</v>
      </c>
      <c r="EY307">
        <v>0</v>
      </c>
      <c r="FQ307">
        <v>0</v>
      </c>
      <c r="FR307">
        <v>0</v>
      </c>
      <c r="FS307">
        <v>0</v>
      </c>
      <c r="FX307">
        <v>134</v>
      </c>
      <c r="FY307">
        <v>83</v>
      </c>
      <c r="GA307" t="s">
        <v>3</v>
      </c>
      <c r="GD307">
        <v>0</v>
      </c>
      <c r="GF307">
        <v>-28234376</v>
      </c>
      <c r="GG307">
        <v>2</v>
      </c>
      <c r="GH307">
        <v>1</v>
      </c>
      <c r="GI307">
        <v>2</v>
      </c>
      <c r="GJ307">
        <v>0</v>
      </c>
      <c r="GK307">
        <f>ROUND(R307*(S12)/100,2)</f>
        <v>0</v>
      </c>
      <c r="GL307">
        <f t="shared" si="249"/>
        <v>0</v>
      </c>
      <c r="GM307">
        <f t="shared" si="250"/>
        <v>0</v>
      </c>
      <c r="GN307">
        <f t="shared" si="251"/>
        <v>0</v>
      </c>
      <c r="GO307">
        <f t="shared" si="252"/>
        <v>0</v>
      </c>
      <c r="GP307">
        <f t="shared" si="253"/>
        <v>0</v>
      </c>
      <c r="GR307">
        <v>0</v>
      </c>
      <c r="GS307">
        <v>3</v>
      </c>
      <c r="GT307">
        <v>0</v>
      </c>
      <c r="GU307" t="s">
        <v>3</v>
      </c>
      <c r="GV307">
        <f t="shared" si="254"/>
        <v>0</v>
      </c>
      <c r="GW307">
        <v>1</v>
      </c>
      <c r="GX307">
        <f t="shared" si="255"/>
        <v>0</v>
      </c>
      <c r="HA307">
        <v>0</v>
      </c>
      <c r="HB307">
        <v>0</v>
      </c>
      <c r="HC307">
        <f t="shared" si="256"/>
        <v>0</v>
      </c>
      <c r="HE307" t="s">
        <v>3</v>
      </c>
      <c r="HF307" t="s">
        <v>3</v>
      </c>
      <c r="HM307" t="s">
        <v>3</v>
      </c>
      <c r="HN307" t="s">
        <v>3</v>
      </c>
      <c r="HO307" t="s">
        <v>3</v>
      </c>
      <c r="HP307" t="s">
        <v>3</v>
      </c>
      <c r="HQ307" t="s">
        <v>3</v>
      </c>
      <c r="HS307">
        <v>0</v>
      </c>
      <c r="IK307">
        <v>0</v>
      </c>
    </row>
    <row r="308" spans="1:255" x14ac:dyDescent="0.2">
      <c r="A308" s="2">
        <v>18</v>
      </c>
      <c r="B308" s="2">
        <v>1</v>
      </c>
      <c r="C308" s="2">
        <v>193</v>
      </c>
      <c r="D308" s="2"/>
      <c r="E308" s="2" t="s">
        <v>373</v>
      </c>
      <c r="F308" s="2" t="s">
        <v>328</v>
      </c>
      <c r="G308" s="2" t="s">
        <v>329</v>
      </c>
      <c r="H308" s="2" t="s">
        <v>330</v>
      </c>
      <c r="I308" s="2">
        <f>I306*J308</f>
        <v>0</v>
      </c>
      <c r="J308" s="2">
        <v>14.231</v>
      </c>
      <c r="K308" s="2">
        <v>10.7</v>
      </c>
      <c r="L308" s="2"/>
      <c r="M308" s="2"/>
      <c r="N308" s="2"/>
      <c r="O308" s="2">
        <f t="shared" si="222"/>
        <v>0</v>
      </c>
      <c r="P308" s="2">
        <f t="shared" si="223"/>
        <v>0</v>
      </c>
      <c r="Q308" s="2">
        <f>(ROUND((ROUND(((ET308)*AV308*I308),2)*BB308),2)+ROUND((ROUND(((AE308-(EU308))*AV308*I308),2)*BS308),2))</f>
        <v>0</v>
      </c>
      <c r="R308" s="2">
        <f t="shared" si="225"/>
        <v>0</v>
      </c>
      <c r="S308" s="2">
        <f t="shared" si="226"/>
        <v>0</v>
      </c>
      <c r="T308" s="2">
        <f t="shared" si="227"/>
        <v>0</v>
      </c>
      <c r="U308" s="2">
        <f t="shared" si="228"/>
        <v>0</v>
      </c>
      <c r="V308" s="2">
        <f t="shared" si="229"/>
        <v>0</v>
      </c>
      <c r="W308" s="2">
        <f t="shared" si="230"/>
        <v>0</v>
      </c>
      <c r="X308" s="2">
        <f t="shared" si="231"/>
        <v>0</v>
      </c>
      <c r="Y308" s="2">
        <f t="shared" si="232"/>
        <v>0</v>
      </c>
      <c r="Z308" s="2"/>
      <c r="AA308" s="2">
        <v>56622523</v>
      </c>
      <c r="AB308" s="2">
        <f t="shared" si="233"/>
        <v>296.7</v>
      </c>
      <c r="AC308" s="2">
        <f t="shared" si="234"/>
        <v>296.7</v>
      </c>
      <c r="AD308" s="2">
        <f>ROUND((((ET308)-(EU308))+AE308),6)</f>
        <v>0</v>
      </c>
      <c r="AE308" s="2">
        <f>ROUND((EU308),6)</f>
        <v>0</v>
      </c>
      <c r="AF308" s="2">
        <f>ROUND((EV308),6)</f>
        <v>0</v>
      </c>
      <c r="AG308" s="2">
        <f t="shared" si="237"/>
        <v>0</v>
      </c>
      <c r="AH308" s="2">
        <f>(EW308)</f>
        <v>0</v>
      </c>
      <c r="AI308" s="2">
        <f>(EX308)</f>
        <v>0</v>
      </c>
      <c r="AJ308" s="2">
        <f t="shared" si="239"/>
        <v>0</v>
      </c>
      <c r="AK308" s="2">
        <v>296.7</v>
      </c>
      <c r="AL308" s="2">
        <v>296.7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134</v>
      </c>
      <c r="AU308" s="2">
        <v>83</v>
      </c>
      <c r="AV308" s="2">
        <v>1.0469999999999999</v>
      </c>
      <c r="AW308" s="2">
        <v>1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3</v>
      </c>
      <c r="BI308" s="2">
        <v>1</v>
      </c>
      <c r="BJ308" s="2" t="s">
        <v>331</v>
      </c>
      <c r="BK308" s="2"/>
      <c r="BL308" s="2"/>
      <c r="BM308" s="2">
        <v>159</v>
      </c>
      <c r="BN308" s="2">
        <v>0</v>
      </c>
      <c r="BO308" s="2" t="s">
        <v>3</v>
      </c>
      <c r="BP308" s="2">
        <v>0</v>
      </c>
      <c r="BQ308" s="2">
        <v>30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134</v>
      </c>
      <c r="CA308" s="2">
        <v>83</v>
      </c>
      <c r="CB308" s="2" t="s">
        <v>3</v>
      </c>
      <c r="CC308" s="2"/>
      <c r="CD308" s="2"/>
      <c r="CE308" s="2">
        <v>30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689</v>
      </c>
      <c r="CO308" s="2">
        <v>0</v>
      </c>
      <c r="CP308" s="2">
        <f t="shared" si="240"/>
        <v>0</v>
      </c>
      <c r="CQ308" s="2">
        <f t="shared" si="241"/>
        <v>296.7</v>
      </c>
      <c r="CR308" s="2">
        <f>(ROUND((ROUND(((ET308)*AV308*1),2)*BB308),2)+ROUND((ROUND(((AE308-(EU308))*AV308*1),2)*BS308),2))</f>
        <v>0</v>
      </c>
      <c r="CS308" s="2">
        <f t="shared" si="243"/>
        <v>0</v>
      </c>
      <c r="CT308" s="2">
        <f t="shared" si="244"/>
        <v>0</v>
      </c>
      <c r="CU308" s="2">
        <f t="shared" si="245"/>
        <v>0</v>
      </c>
      <c r="CV308" s="2">
        <f t="shared" si="246"/>
        <v>0</v>
      </c>
      <c r="CW308" s="2">
        <f t="shared" si="247"/>
        <v>0</v>
      </c>
      <c r="CX308" s="2">
        <f t="shared" si="248"/>
        <v>0</v>
      </c>
      <c r="CY308" s="2">
        <f>((S308*BZ308)/100)</f>
        <v>0</v>
      </c>
      <c r="CZ308" s="2">
        <f>((S308*CA308)/100)</f>
        <v>0</v>
      </c>
      <c r="DA308" s="2"/>
      <c r="DB308" s="2"/>
      <c r="DC308" s="2" t="s">
        <v>3</v>
      </c>
      <c r="DD308" s="2" t="s">
        <v>3</v>
      </c>
      <c r="DE308" s="2" t="s">
        <v>3</v>
      </c>
      <c r="DF308" s="2" t="s">
        <v>3</v>
      </c>
      <c r="DG308" s="2" t="s">
        <v>3</v>
      </c>
      <c r="DH308" s="2" t="s">
        <v>3</v>
      </c>
      <c r="DI308" s="2" t="s">
        <v>3</v>
      </c>
      <c r="DJ308" s="2" t="s">
        <v>3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1009</v>
      </c>
      <c r="DV308" s="2" t="s">
        <v>330</v>
      </c>
      <c r="DW308" s="2" t="s">
        <v>330</v>
      </c>
      <c r="DX308" s="2">
        <v>1000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51696198</v>
      </c>
      <c r="EF308" s="2">
        <v>30</v>
      </c>
      <c r="EG308" s="2" t="s">
        <v>23</v>
      </c>
      <c r="EH308" s="2">
        <v>0</v>
      </c>
      <c r="EI308" s="2" t="s">
        <v>3</v>
      </c>
      <c r="EJ308" s="2">
        <v>1</v>
      </c>
      <c r="EK308" s="2">
        <v>159</v>
      </c>
      <c r="EL308" s="2" t="s">
        <v>371</v>
      </c>
      <c r="EM308" s="2" t="s">
        <v>372</v>
      </c>
      <c r="EN308" s="2"/>
      <c r="EO308" s="2" t="s">
        <v>26</v>
      </c>
      <c r="EP308" s="2"/>
      <c r="EQ308" s="2">
        <v>0</v>
      </c>
      <c r="ER308" s="2">
        <v>296.7</v>
      </c>
      <c r="ES308" s="2">
        <v>296.7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134</v>
      </c>
      <c r="FY308" s="2">
        <v>83</v>
      </c>
      <c r="FZ308" s="2"/>
      <c r="GA308" s="2" t="s">
        <v>3</v>
      </c>
      <c r="GB308" s="2"/>
      <c r="GC308" s="2"/>
      <c r="GD308" s="2">
        <v>0</v>
      </c>
      <c r="GE308" s="2"/>
      <c r="GF308" s="2">
        <v>1855215121</v>
      </c>
      <c r="GG308" s="2">
        <v>2</v>
      </c>
      <c r="GH308" s="2">
        <v>1</v>
      </c>
      <c r="GI308" s="2">
        <v>-2</v>
      </c>
      <c r="GJ308" s="2">
        <v>0</v>
      </c>
      <c r="GK308" s="2">
        <f>ROUND(R308*(R12)/100,2)</f>
        <v>0</v>
      </c>
      <c r="GL308" s="2">
        <f t="shared" si="249"/>
        <v>0</v>
      </c>
      <c r="GM308" s="2">
        <f t="shared" si="250"/>
        <v>0</v>
      </c>
      <c r="GN308" s="2">
        <f t="shared" si="251"/>
        <v>0</v>
      </c>
      <c r="GO308" s="2">
        <f t="shared" si="252"/>
        <v>0</v>
      </c>
      <c r="GP308" s="2">
        <f t="shared" si="253"/>
        <v>0</v>
      </c>
      <c r="GQ308" s="2"/>
      <c r="GR308" s="2">
        <v>0</v>
      </c>
      <c r="GS308" s="2">
        <v>0</v>
      </c>
      <c r="GT308" s="2">
        <v>0</v>
      </c>
      <c r="GU308" s="2" t="s">
        <v>3</v>
      </c>
      <c r="GV308" s="2">
        <f t="shared" si="254"/>
        <v>0</v>
      </c>
      <c r="GW308" s="2">
        <v>1</v>
      </c>
      <c r="GX308" s="2">
        <f t="shared" si="255"/>
        <v>0</v>
      </c>
      <c r="GY308" s="2"/>
      <c r="GZ308" s="2"/>
      <c r="HA308" s="2">
        <v>0</v>
      </c>
      <c r="HB308" s="2">
        <v>0</v>
      </c>
      <c r="HC308" s="2">
        <f t="shared" si="256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374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">
      <c r="A309">
        <v>18</v>
      </c>
      <c r="B309">
        <v>1</v>
      </c>
      <c r="C309">
        <v>194</v>
      </c>
      <c r="E309" t="s">
        <v>373</v>
      </c>
      <c r="F309" t="s">
        <v>328</v>
      </c>
      <c r="G309" t="s">
        <v>329</v>
      </c>
      <c r="H309" t="s">
        <v>330</v>
      </c>
      <c r="I309">
        <f>I307*J309</f>
        <v>0</v>
      </c>
      <c r="J309">
        <v>14.231</v>
      </c>
      <c r="K309">
        <v>10.7</v>
      </c>
      <c r="O309">
        <f t="shared" si="222"/>
        <v>0</v>
      </c>
      <c r="P309">
        <f t="shared" si="223"/>
        <v>0</v>
      </c>
      <c r="Q309">
        <f>(ROUND((ROUND(((ET309)*AV309*I309),2)*BB309),2)+ROUND((ROUND(((AE309-(EU309))*AV309*I309),2)*BS309),2))</f>
        <v>0</v>
      </c>
      <c r="R309">
        <f t="shared" si="225"/>
        <v>0</v>
      </c>
      <c r="S309">
        <f t="shared" si="226"/>
        <v>0</v>
      </c>
      <c r="T309">
        <f t="shared" si="227"/>
        <v>0</v>
      </c>
      <c r="U309">
        <f t="shared" si="228"/>
        <v>0</v>
      </c>
      <c r="V309">
        <f t="shared" si="229"/>
        <v>0</v>
      </c>
      <c r="W309">
        <f t="shared" si="230"/>
        <v>0</v>
      </c>
      <c r="X309">
        <f t="shared" si="231"/>
        <v>0</v>
      </c>
      <c r="Y309">
        <f t="shared" si="232"/>
        <v>0</v>
      </c>
      <c r="AA309">
        <v>56611490</v>
      </c>
      <c r="AB309">
        <f t="shared" si="233"/>
        <v>296.7</v>
      </c>
      <c r="AC309">
        <f t="shared" si="234"/>
        <v>296.7</v>
      </c>
      <c r="AD309">
        <f>ROUND((((ET309)-(EU309))+AE309),6)</f>
        <v>0</v>
      </c>
      <c r="AE309">
        <f>ROUND((EU309),6)</f>
        <v>0</v>
      </c>
      <c r="AF309">
        <f>ROUND((EV309),6)</f>
        <v>0</v>
      </c>
      <c r="AG309">
        <f t="shared" si="237"/>
        <v>0</v>
      </c>
      <c r="AH309">
        <f>(EW309)</f>
        <v>0</v>
      </c>
      <c r="AI309">
        <f>(EX309)</f>
        <v>0</v>
      </c>
      <c r="AJ309">
        <f t="shared" si="239"/>
        <v>0</v>
      </c>
      <c r="AK309">
        <v>296.7</v>
      </c>
      <c r="AL309">
        <v>296.7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1</v>
      </c>
      <c r="AZ309">
        <v>1</v>
      </c>
      <c r="BA309">
        <v>1</v>
      </c>
      <c r="BB309">
        <v>1</v>
      </c>
      <c r="BC309">
        <v>15.39</v>
      </c>
      <c r="BD309" t="s">
        <v>3</v>
      </c>
      <c r="BE309" t="s">
        <v>3</v>
      </c>
      <c r="BF309" t="s">
        <v>3</v>
      </c>
      <c r="BG309" t="s">
        <v>3</v>
      </c>
      <c r="BH309">
        <v>3</v>
      </c>
      <c r="BI309">
        <v>1</v>
      </c>
      <c r="BJ309" t="s">
        <v>331</v>
      </c>
      <c r="BM309">
        <v>159</v>
      </c>
      <c r="BN309">
        <v>0</v>
      </c>
      <c r="BO309" t="s">
        <v>328</v>
      </c>
      <c r="BP309">
        <v>1</v>
      </c>
      <c r="BQ309">
        <v>30</v>
      </c>
      <c r="BR309">
        <v>0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 t="s">
        <v>3</v>
      </c>
      <c r="BZ309">
        <v>0</v>
      </c>
      <c r="CA309">
        <v>0</v>
      </c>
      <c r="CB309" t="s">
        <v>3</v>
      </c>
      <c r="CE309">
        <v>30</v>
      </c>
      <c r="CF309">
        <v>0</v>
      </c>
      <c r="CG309">
        <v>0</v>
      </c>
      <c r="CM309">
        <v>0</v>
      </c>
      <c r="CN309" t="s">
        <v>689</v>
      </c>
      <c r="CO309">
        <v>0</v>
      </c>
      <c r="CP309">
        <f t="shared" si="240"/>
        <v>0</v>
      </c>
      <c r="CQ309">
        <f t="shared" si="241"/>
        <v>4566.21</v>
      </c>
      <c r="CR309">
        <f>(ROUND((ROUND(((ET309)*AV309*1),2)*BB309),2)+ROUND((ROUND(((AE309-(EU309))*AV309*1),2)*BS309),2))</f>
        <v>0</v>
      </c>
      <c r="CS309">
        <f t="shared" si="243"/>
        <v>0</v>
      </c>
      <c r="CT309">
        <f t="shared" si="244"/>
        <v>0</v>
      </c>
      <c r="CU309">
        <f t="shared" si="245"/>
        <v>0</v>
      </c>
      <c r="CV309">
        <f t="shared" si="246"/>
        <v>0</v>
      </c>
      <c r="CW309">
        <f t="shared" si="247"/>
        <v>0</v>
      </c>
      <c r="CX309">
        <f t="shared" si="248"/>
        <v>0</v>
      </c>
      <c r="CY309">
        <f>S309*(BZ309/100)</f>
        <v>0</v>
      </c>
      <c r="CZ309">
        <f>S309*(CA309/100)</f>
        <v>0</v>
      </c>
      <c r="DC309" t="s">
        <v>3</v>
      </c>
      <c r="DD309" t="s">
        <v>3</v>
      </c>
      <c r="DE309" t="s">
        <v>3</v>
      </c>
      <c r="DF309" t="s">
        <v>3</v>
      </c>
      <c r="DG309" t="s">
        <v>3</v>
      </c>
      <c r="DH309" t="s">
        <v>3</v>
      </c>
      <c r="DI309" t="s">
        <v>3</v>
      </c>
      <c r="DJ309" t="s">
        <v>3</v>
      </c>
      <c r="DK309" t="s">
        <v>3</v>
      </c>
      <c r="DL309" t="s">
        <v>3</v>
      </c>
      <c r="DM309" t="s">
        <v>3</v>
      </c>
      <c r="DN309">
        <v>134</v>
      </c>
      <c r="DO309">
        <v>83</v>
      </c>
      <c r="DP309">
        <v>1.0469999999999999</v>
      </c>
      <c r="DQ309">
        <v>1</v>
      </c>
      <c r="DU309">
        <v>1009</v>
      </c>
      <c r="DV309" t="s">
        <v>330</v>
      </c>
      <c r="DW309" t="s">
        <v>330</v>
      </c>
      <c r="DX309">
        <v>1000</v>
      </c>
      <c r="DZ309" t="s">
        <v>3</v>
      </c>
      <c r="EA309" t="s">
        <v>3</v>
      </c>
      <c r="EB309" t="s">
        <v>3</v>
      </c>
      <c r="EC309" t="s">
        <v>3</v>
      </c>
      <c r="EE309">
        <v>51696198</v>
      </c>
      <c r="EF309">
        <v>30</v>
      </c>
      <c r="EG309" t="s">
        <v>23</v>
      </c>
      <c r="EH309">
        <v>0</v>
      </c>
      <c r="EI309" t="s">
        <v>3</v>
      </c>
      <c r="EJ309">
        <v>1</v>
      </c>
      <c r="EK309">
        <v>159</v>
      </c>
      <c r="EL309" t="s">
        <v>371</v>
      </c>
      <c r="EM309" t="s">
        <v>372</v>
      </c>
      <c r="EO309" t="s">
        <v>26</v>
      </c>
      <c r="EQ309">
        <v>0</v>
      </c>
      <c r="ER309">
        <v>296.7</v>
      </c>
      <c r="ES309">
        <v>296.7</v>
      </c>
      <c r="ET309">
        <v>0</v>
      </c>
      <c r="EU309">
        <v>0</v>
      </c>
      <c r="EV309">
        <v>0</v>
      </c>
      <c r="EW309">
        <v>0</v>
      </c>
      <c r="EX309">
        <v>0</v>
      </c>
      <c r="FQ309">
        <v>0</v>
      </c>
      <c r="FR309">
        <v>0</v>
      </c>
      <c r="FS309">
        <v>0</v>
      </c>
      <c r="FX309">
        <v>134</v>
      </c>
      <c r="FY309">
        <v>83</v>
      </c>
      <c r="GA309" t="s">
        <v>3</v>
      </c>
      <c r="GD309">
        <v>0</v>
      </c>
      <c r="GF309">
        <v>1855215121</v>
      </c>
      <c r="GG309">
        <v>2</v>
      </c>
      <c r="GH309">
        <v>1</v>
      </c>
      <c r="GI309">
        <v>2</v>
      </c>
      <c r="GJ309">
        <v>0</v>
      </c>
      <c r="GK309">
        <f>ROUND(R309*(S12)/100,2)</f>
        <v>0</v>
      </c>
      <c r="GL309">
        <f t="shared" si="249"/>
        <v>0</v>
      </c>
      <c r="GM309">
        <f t="shared" si="250"/>
        <v>0</v>
      </c>
      <c r="GN309">
        <f t="shared" si="251"/>
        <v>0</v>
      </c>
      <c r="GO309">
        <f t="shared" si="252"/>
        <v>0</v>
      </c>
      <c r="GP309">
        <f t="shared" si="253"/>
        <v>0</v>
      </c>
      <c r="GR309">
        <v>0</v>
      </c>
      <c r="GS309">
        <v>3</v>
      </c>
      <c r="GT309">
        <v>0</v>
      </c>
      <c r="GU309" t="s">
        <v>3</v>
      </c>
      <c r="GV309">
        <f t="shared" si="254"/>
        <v>0</v>
      </c>
      <c r="GW309">
        <v>1</v>
      </c>
      <c r="GX309">
        <f t="shared" si="255"/>
        <v>0</v>
      </c>
      <c r="HA309">
        <v>0</v>
      </c>
      <c r="HB309">
        <v>0</v>
      </c>
      <c r="HC309">
        <f t="shared" si="256"/>
        <v>0</v>
      </c>
      <c r="HE309" t="s">
        <v>3</v>
      </c>
      <c r="HF309" t="s">
        <v>3</v>
      </c>
      <c r="HM309" t="s">
        <v>374</v>
      </c>
      <c r="HN309" t="s">
        <v>3</v>
      </c>
      <c r="HO309" t="s">
        <v>3</v>
      </c>
      <c r="HP309" t="s">
        <v>3</v>
      </c>
      <c r="HQ309" t="s">
        <v>3</v>
      </c>
      <c r="HS309">
        <v>0</v>
      </c>
      <c r="IK309">
        <v>0</v>
      </c>
    </row>
    <row r="310" spans="1:255" x14ac:dyDescent="0.2">
      <c r="A310" s="2">
        <v>17</v>
      </c>
      <c r="B310" s="2">
        <v>1</v>
      </c>
      <c r="C310" s="2">
        <f>ROW(SmtRes!A195)</f>
        <v>195</v>
      </c>
      <c r="D310" s="2">
        <f>ROW(EtalonRes!A490)</f>
        <v>490</v>
      </c>
      <c r="E310" s="2" t="s">
        <v>375</v>
      </c>
      <c r="F310" s="2" t="s">
        <v>376</v>
      </c>
      <c r="G310" s="2" t="s">
        <v>377</v>
      </c>
      <c r="H310" s="2" t="s">
        <v>98</v>
      </c>
      <c r="I310" s="2">
        <v>0</v>
      </c>
      <c r="J310" s="2">
        <v>0</v>
      </c>
      <c r="K310" s="2">
        <v>0</v>
      </c>
      <c r="L310" s="2"/>
      <c r="M310" s="2"/>
      <c r="N310" s="2"/>
      <c r="O310" s="2">
        <f t="shared" si="222"/>
        <v>0</v>
      </c>
      <c r="P310" s="2">
        <f t="shared" si="223"/>
        <v>0</v>
      </c>
      <c r="Q310" s="2">
        <f>(ROUND((ROUND((((ET310*1.1))*AV310*I310),2)*BB310),2)+ROUND((ROUND(((AE310-((EU310*1.1)))*AV310*I310),2)*BS310),2))</f>
        <v>0</v>
      </c>
      <c r="R310" s="2">
        <f t="shared" si="225"/>
        <v>0</v>
      </c>
      <c r="S310" s="2">
        <f t="shared" si="226"/>
        <v>0</v>
      </c>
      <c r="T310" s="2">
        <f t="shared" si="227"/>
        <v>0</v>
      </c>
      <c r="U310" s="2">
        <f t="shared" si="228"/>
        <v>0</v>
      </c>
      <c r="V310" s="2">
        <f t="shared" si="229"/>
        <v>0</v>
      </c>
      <c r="W310" s="2">
        <f t="shared" si="230"/>
        <v>0</v>
      </c>
      <c r="X310" s="2">
        <f t="shared" si="231"/>
        <v>0</v>
      </c>
      <c r="Y310" s="2">
        <f t="shared" si="232"/>
        <v>0</v>
      </c>
      <c r="Z310" s="2"/>
      <c r="AA310" s="2">
        <v>56622523</v>
      </c>
      <c r="AB310" s="2">
        <f t="shared" si="233"/>
        <v>456.62</v>
      </c>
      <c r="AC310" s="2">
        <f t="shared" si="234"/>
        <v>210.11</v>
      </c>
      <c r="AD310" s="2">
        <f>ROUND(((((ET310*1.1))-((EU310*1.1)))+AE310),6)</f>
        <v>127.941</v>
      </c>
      <c r="AE310" s="2">
        <f>ROUND(((EU310*1.1)),6)</f>
        <v>11.352</v>
      </c>
      <c r="AF310" s="2">
        <f>ROUND(((EV310*1.1)),6)</f>
        <v>118.569</v>
      </c>
      <c r="AG310" s="2">
        <f t="shared" si="237"/>
        <v>0</v>
      </c>
      <c r="AH310" s="2">
        <f>((EW310*1.1))</f>
        <v>9.8560000000000016</v>
      </c>
      <c r="AI310" s="2">
        <f>((EX310*1.1))</f>
        <v>0</v>
      </c>
      <c r="AJ310" s="2">
        <f t="shared" si="239"/>
        <v>0</v>
      </c>
      <c r="AK310" s="2">
        <v>434.21</v>
      </c>
      <c r="AL310" s="2">
        <v>210.11</v>
      </c>
      <c r="AM310" s="2">
        <v>116.31</v>
      </c>
      <c r="AN310" s="2">
        <v>10.32</v>
      </c>
      <c r="AO310" s="2">
        <v>107.79</v>
      </c>
      <c r="AP310" s="2">
        <v>0</v>
      </c>
      <c r="AQ310" s="2">
        <v>8.9600000000000009</v>
      </c>
      <c r="AR310" s="2">
        <v>0</v>
      </c>
      <c r="AS310" s="2">
        <v>0</v>
      </c>
      <c r="AT310" s="2">
        <v>134</v>
      </c>
      <c r="AU310" s="2">
        <v>83</v>
      </c>
      <c r="AV310" s="2">
        <v>1.0469999999999999</v>
      </c>
      <c r="AW310" s="2">
        <v>1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0</v>
      </c>
      <c r="BI310" s="2">
        <v>1</v>
      </c>
      <c r="BJ310" s="2" t="s">
        <v>378</v>
      </c>
      <c r="BK310" s="2"/>
      <c r="BL310" s="2"/>
      <c r="BM310" s="2">
        <v>159</v>
      </c>
      <c r="BN310" s="2">
        <v>0</v>
      </c>
      <c r="BO310" s="2" t="s">
        <v>3</v>
      </c>
      <c r="BP310" s="2">
        <v>0</v>
      </c>
      <c r="BQ310" s="2">
        <v>30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134</v>
      </c>
      <c r="CA310" s="2">
        <v>83</v>
      </c>
      <c r="CB310" s="2" t="s">
        <v>3</v>
      </c>
      <c r="CC310" s="2"/>
      <c r="CD310" s="2"/>
      <c r="CE310" s="2">
        <v>30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689</v>
      </c>
      <c r="CO310" s="2">
        <v>0</v>
      </c>
      <c r="CP310" s="2">
        <f t="shared" si="240"/>
        <v>0</v>
      </c>
      <c r="CQ310" s="2">
        <f t="shared" si="241"/>
        <v>210.11</v>
      </c>
      <c r="CR310" s="2">
        <f>(ROUND((ROUND((((ET310*1.1))*AV310*1),2)*BB310),2)+ROUND((ROUND(((AE310-((EU310*1.1)))*AV310*1),2)*BS310),2))</f>
        <v>133.94999999999999</v>
      </c>
      <c r="CS310" s="2">
        <f t="shared" si="243"/>
        <v>11.89</v>
      </c>
      <c r="CT310" s="2">
        <f t="shared" si="244"/>
        <v>124.14</v>
      </c>
      <c r="CU310" s="2">
        <f t="shared" si="245"/>
        <v>0</v>
      </c>
      <c r="CV310" s="2">
        <f t="shared" si="246"/>
        <v>10.319232000000001</v>
      </c>
      <c r="CW310" s="2">
        <f t="shared" si="247"/>
        <v>0</v>
      </c>
      <c r="CX310" s="2">
        <f t="shared" si="248"/>
        <v>0</v>
      </c>
      <c r="CY310" s="2">
        <f>((S310*BZ310)/100)</f>
        <v>0</v>
      </c>
      <c r="CZ310" s="2">
        <f>((S310*CA310)/100)</f>
        <v>0</v>
      </c>
      <c r="DA310" s="2"/>
      <c r="DB310" s="2"/>
      <c r="DC310" s="2" t="s">
        <v>3</v>
      </c>
      <c r="DD310" s="2" t="s">
        <v>3</v>
      </c>
      <c r="DE310" s="2" t="s">
        <v>22</v>
      </c>
      <c r="DF310" s="2" t="s">
        <v>22</v>
      </c>
      <c r="DG310" s="2" t="s">
        <v>22</v>
      </c>
      <c r="DH310" s="2" t="s">
        <v>3</v>
      </c>
      <c r="DI310" s="2" t="s">
        <v>22</v>
      </c>
      <c r="DJ310" s="2" t="s">
        <v>22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1013</v>
      </c>
      <c r="DV310" s="2" t="s">
        <v>98</v>
      </c>
      <c r="DW310" s="2" t="s">
        <v>98</v>
      </c>
      <c r="DX310" s="2">
        <v>1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51696198</v>
      </c>
      <c r="EF310" s="2">
        <v>30</v>
      </c>
      <c r="EG310" s="2" t="s">
        <v>23</v>
      </c>
      <c r="EH310" s="2">
        <v>0</v>
      </c>
      <c r="EI310" s="2" t="s">
        <v>3</v>
      </c>
      <c r="EJ310" s="2">
        <v>1</v>
      </c>
      <c r="EK310" s="2">
        <v>159</v>
      </c>
      <c r="EL310" s="2" t="s">
        <v>371</v>
      </c>
      <c r="EM310" s="2" t="s">
        <v>372</v>
      </c>
      <c r="EN310" s="2"/>
      <c r="EO310" s="2" t="s">
        <v>26</v>
      </c>
      <c r="EP310" s="2"/>
      <c r="EQ310" s="2">
        <v>131072</v>
      </c>
      <c r="ER310" s="2">
        <v>434.21</v>
      </c>
      <c r="ES310" s="2">
        <v>210.11</v>
      </c>
      <c r="ET310" s="2">
        <v>116.31</v>
      </c>
      <c r="EU310" s="2">
        <v>10.32</v>
      </c>
      <c r="EV310" s="2">
        <v>107.79</v>
      </c>
      <c r="EW310" s="2">
        <v>8.9600000000000009</v>
      </c>
      <c r="EX310" s="2">
        <v>0</v>
      </c>
      <c r="EY310" s="2">
        <v>0</v>
      </c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134</v>
      </c>
      <c r="FY310" s="2">
        <v>83</v>
      </c>
      <c r="FZ310" s="2"/>
      <c r="GA310" s="2" t="s">
        <v>3</v>
      </c>
      <c r="GB310" s="2"/>
      <c r="GC310" s="2"/>
      <c r="GD310" s="2">
        <v>0</v>
      </c>
      <c r="GE310" s="2"/>
      <c r="GF310" s="2">
        <v>6860709</v>
      </c>
      <c r="GG310" s="2">
        <v>2</v>
      </c>
      <c r="GH310" s="2">
        <v>1</v>
      </c>
      <c r="GI310" s="2">
        <v>-2</v>
      </c>
      <c r="GJ310" s="2">
        <v>0</v>
      </c>
      <c r="GK310" s="2">
        <f>ROUND(R310*(R12)/100,2)</f>
        <v>0</v>
      </c>
      <c r="GL310" s="2">
        <f t="shared" si="249"/>
        <v>0</v>
      </c>
      <c r="GM310" s="2">
        <f t="shared" si="250"/>
        <v>0</v>
      </c>
      <c r="GN310" s="2">
        <f t="shared" si="251"/>
        <v>0</v>
      </c>
      <c r="GO310" s="2">
        <f t="shared" si="252"/>
        <v>0</v>
      </c>
      <c r="GP310" s="2">
        <f t="shared" si="253"/>
        <v>0</v>
      </c>
      <c r="GQ310" s="2"/>
      <c r="GR310" s="2">
        <v>0</v>
      </c>
      <c r="GS310" s="2">
        <v>0</v>
      </c>
      <c r="GT310" s="2">
        <v>0</v>
      </c>
      <c r="GU310" s="2" t="s">
        <v>3</v>
      </c>
      <c r="GV310" s="2">
        <f t="shared" si="254"/>
        <v>0</v>
      </c>
      <c r="GW310" s="2">
        <v>1</v>
      </c>
      <c r="GX310" s="2">
        <f t="shared" si="255"/>
        <v>0</v>
      </c>
      <c r="GY310" s="2"/>
      <c r="GZ310" s="2"/>
      <c r="HA310" s="2">
        <v>0</v>
      </c>
      <c r="HB310" s="2">
        <v>0</v>
      </c>
      <c r="HC310" s="2">
        <f t="shared" si="256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3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">
      <c r="A311">
        <v>17</v>
      </c>
      <c r="B311">
        <v>1</v>
      </c>
      <c r="C311">
        <f>ROW(SmtRes!A196)</f>
        <v>196</v>
      </c>
      <c r="D311">
        <f>ROW(EtalonRes!A494)</f>
        <v>494</v>
      </c>
      <c r="E311" t="s">
        <v>375</v>
      </c>
      <c r="F311" t="s">
        <v>376</v>
      </c>
      <c r="G311" t="s">
        <v>377</v>
      </c>
      <c r="H311" t="s">
        <v>98</v>
      </c>
      <c r="I311">
        <v>0</v>
      </c>
      <c r="J311">
        <v>0</v>
      </c>
      <c r="K311">
        <v>0</v>
      </c>
      <c r="O311">
        <f t="shared" si="222"/>
        <v>0</v>
      </c>
      <c r="P311">
        <f t="shared" si="223"/>
        <v>0</v>
      </c>
      <c r="Q311">
        <f>(ROUND((ROUND((((ET311*1.1))*AV311*I311),2)*BB311),2)+ROUND((ROUND(((AE311-((EU311*1.1)))*AV311*I311),2)*BS311),2))</f>
        <v>0</v>
      </c>
      <c r="R311">
        <f t="shared" si="225"/>
        <v>0</v>
      </c>
      <c r="S311">
        <f t="shared" si="226"/>
        <v>0</v>
      </c>
      <c r="T311">
        <f t="shared" si="227"/>
        <v>0</v>
      </c>
      <c r="U311">
        <f t="shared" si="228"/>
        <v>0</v>
      </c>
      <c r="V311">
        <f t="shared" si="229"/>
        <v>0</v>
      </c>
      <c r="W311">
        <f t="shared" si="230"/>
        <v>0</v>
      </c>
      <c r="X311">
        <f t="shared" si="231"/>
        <v>0</v>
      </c>
      <c r="Y311">
        <f t="shared" si="232"/>
        <v>0</v>
      </c>
      <c r="AA311">
        <v>56611490</v>
      </c>
      <c r="AB311">
        <f t="shared" si="233"/>
        <v>456.62</v>
      </c>
      <c r="AC311">
        <f t="shared" si="234"/>
        <v>210.11</v>
      </c>
      <c r="AD311">
        <f>ROUND(((((ET311*1.1))-((EU311*1.1)))+AE311),6)</f>
        <v>127.941</v>
      </c>
      <c r="AE311">
        <f>ROUND(((EU311*1.1)),6)</f>
        <v>11.352</v>
      </c>
      <c r="AF311">
        <f>ROUND(((EV311*1.1)),6)</f>
        <v>118.569</v>
      </c>
      <c r="AG311">
        <f t="shared" si="237"/>
        <v>0</v>
      </c>
      <c r="AH311">
        <f>((EW311*1.1))</f>
        <v>9.8560000000000016</v>
      </c>
      <c r="AI311">
        <f>((EX311*1.1))</f>
        <v>0</v>
      </c>
      <c r="AJ311">
        <f t="shared" si="239"/>
        <v>0</v>
      </c>
      <c r="AK311">
        <v>434.21</v>
      </c>
      <c r="AL311">
        <v>210.11</v>
      </c>
      <c r="AM311">
        <v>116.31</v>
      </c>
      <c r="AN311">
        <v>10.32</v>
      </c>
      <c r="AO311">
        <v>107.79</v>
      </c>
      <c r="AP311">
        <v>0</v>
      </c>
      <c r="AQ311">
        <v>8.9600000000000009</v>
      </c>
      <c r="AR311">
        <v>0</v>
      </c>
      <c r="AS311">
        <v>0</v>
      </c>
      <c r="AT311">
        <v>109</v>
      </c>
      <c r="AU311">
        <v>41</v>
      </c>
      <c r="AV311">
        <v>1.0469999999999999</v>
      </c>
      <c r="AW311">
        <v>1</v>
      </c>
      <c r="AZ311">
        <v>1</v>
      </c>
      <c r="BA311">
        <v>34.51</v>
      </c>
      <c r="BB311">
        <v>11.89</v>
      </c>
      <c r="BC311">
        <v>14.55</v>
      </c>
      <c r="BD311" t="s">
        <v>3</v>
      </c>
      <c r="BE311" t="s">
        <v>3</v>
      </c>
      <c r="BF311" t="s">
        <v>3</v>
      </c>
      <c r="BG311" t="s">
        <v>3</v>
      </c>
      <c r="BH311">
        <v>0</v>
      </c>
      <c r="BI311">
        <v>1</v>
      </c>
      <c r="BJ311" t="s">
        <v>378</v>
      </c>
      <c r="BM311">
        <v>159</v>
      </c>
      <c r="BN311">
        <v>0</v>
      </c>
      <c r="BO311" t="s">
        <v>376</v>
      </c>
      <c r="BP311">
        <v>1</v>
      </c>
      <c r="BQ311">
        <v>30</v>
      </c>
      <c r="BR311">
        <v>0</v>
      </c>
      <c r="BS311">
        <v>34.51</v>
      </c>
      <c r="BT311">
        <v>1</v>
      </c>
      <c r="BU311">
        <v>1</v>
      </c>
      <c r="BV311">
        <v>1</v>
      </c>
      <c r="BW311">
        <v>1</v>
      </c>
      <c r="BX311">
        <v>1</v>
      </c>
      <c r="BY311" t="s">
        <v>3</v>
      </c>
      <c r="BZ311">
        <v>109</v>
      </c>
      <c r="CA311">
        <v>41</v>
      </c>
      <c r="CB311" t="s">
        <v>3</v>
      </c>
      <c r="CE311">
        <v>30</v>
      </c>
      <c r="CF311">
        <v>0</v>
      </c>
      <c r="CG311">
        <v>0</v>
      </c>
      <c r="CM311">
        <v>0</v>
      </c>
      <c r="CN311" t="s">
        <v>689</v>
      </c>
      <c r="CO311">
        <v>0</v>
      </c>
      <c r="CP311">
        <f t="shared" si="240"/>
        <v>0</v>
      </c>
      <c r="CQ311">
        <f t="shared" si="241"/>
        <v>3057.1</v>
      </c>
      <c r="CR311">
        <f>(ROUND((ROUND((((ET311*1.1))*AV311*1),2)*BB311),2)+ROUND((ROUND(((AE311-((EU311*1.1)))*AV311*1),2)*BS311),2))</f>
        <v>1592.67</v>
      </c>
      <c r="CS311">
        <f t="shared" si="243"/>
        <v>410.32</v>
      </c>
      <c r="CT311">
        <f t="shared" si="244"/>
        <v>4284.07</v>
      </c>
      <c r="CU311">
        <f t="shared" si="245"/>
        <v>0</v>
      </c>
      <c r="CV311">
        <f t="shared" si="246"/>
        <v>10.319232000000001</v>
      </c>
      <c r="CW311">
        <f t="shared" si="247"/>
        <v>0</v>
      </c>
      <c r="CX311">
        <f t="shared" si="248"/>
        <v>0</v>
      </c>
      <c r="CY311">
        <f>S311*(BZ311/100)</f>
        <v>0</v>
      </c>
      <c r="CZ311">
        <f>S311*(CA311/100)</f>
        <v>0</v>
      </c>
      <c r="DC311" t="s">
        <v>3</v>
      </c>
      <c r="DD311" t="s">
        <v>3</v>
      </c>
      <c r="DE311" t="s">
        <v>22</v>
      </c>
      <c r="DF311" t="s">
        <v>22</v>
      </c>
      <c r="DG311" t="s">
        <v>22</v>
      </c>
      <c r="DH311" t="s">
        <v>3</v>
      </c>
      <c r="DI311" t="s">
        <v>22</v>
      </c>
      <c r="DJ311" t="s">
        <v>22</v>
      </c>
      <c r="DK311" t="s">
        <v>3</v>
      </c>
      <c r="DL311" t="s">
        <v>3</v>
      </c>
      <c r="DM311" t="s">
        <v>3</v>
      </c>
      <c r="DN311">
        <v>134</v>
      </c>
      <c r="DO311">
        <v>83</v>
      </c>
      <c r="DP311">
        <v>1.0469999999999999</v>
      </c>
      <c r="DQ311">
        <v>1</v>
      </c>
      <c r="DU311">
        <v>1013</v>
      </c>
      <c r="DV311" t="s">
        <v>98</v>
      </c>
      <c r="DW311" t="s">
        <v>98</v>
      </c>
      <c r="DX311">
        <v>1</v>
      </c>
      <c r="DZ311" t="s">
        <v>3</v>
      </c>
      <c r="EA311" t="s">
        <v>3</v>
      </c>
      <c r="EB311" t="s">
        <v>3</v>
      </c>
      <c r="EC311" t="s">
        <v>3</v>
      </c>
      <c r="EE311">
        <v>51696198</v>
      </c>
      <c r="EF311">
        <v>30</v>
      </c>
      <c r="EG311" t="s">
        <v>23</v>
      </c>
      <c r="EH311">
        <v>0</v>
      </c>
      <c r="EI311" t="s">
        <v>3</v>
      </c>
      <c r="EJ311">
        <v>1</v>
      </c>
      <c r="EK311">
        <v>159</v>
      </c>
      <c r="EL311" t="s">
        <v>371</v>
      </c>
      <c r="EM311" t="s">
        <v>372</v>
      </c>
      <c r="EO311" t="s">
        <v>26</v>
      </c>
      <c r="EQ311">
        <v>131072</v>
      </c>
      <c r="ER311">
        <v>434.21</v>
      </c>
      <c r="ES311">
        <v>210.11</v>
      </c>
      <c r="ET311">
        <v>116.31</v>
      </c>
      <c r="EU311">
        <v>10.32</v>
      </c>
      <c r="EV311">
        <v>107.79</v>
      </c>
      <c r="EW311">
        <v>8.9600000000000009</v>
      </c>
      <c r="EX311">
        <v>0</v>
      </c>
      <c r="EY311">
        <v>0</v>
      </c>
      <c r="FQ311">
        <v>0</v>
      </c>
      <c r="FR311">
        <v>0</v>
      </c>
      <c r="FS311">
        <v>0</v>
      </c>
      <c r="FX311">
        <v>134</v>
      </c>
      <c r="FY311">
        <v>83</v>
      </c>
      <c r="GA311" t="s">
        <v>3</v>
      </c>
      <c r="GD311">
        <v>0</v>
      </c>
      <c r="GF311">
        <v>6860709</v>
      </c>
      <c r="GG311">
        <v>2</v>
      </c>
      <c r="GH311">
        <v>1</v>
      </c>
      <c r="GI311">
        <v>2</v>
      </c>
      <c r="GJ311">
        <v>0</v>
      </c>
      <c r="GK311">
        <f>ROUND(R311*(S12)/100,2)</f>
        <v>0</v>
      </c>
      <c r="GL311">
        <f t="shared" si="249"/>
        <v>0</v>
      </c>
      <c r="GM311">
        <f t="shared" si="250"/>
        <v>0</v>
      </c>
      <c r="GN311">
        <f t="shared" si="251"/>
        <v>0</v>
      </c>
      <c r="GO311">
        <f t="shared" si="252"/>
        <v>0</v>
      </c>
      <c r="GP311">
        <f t="shared" si="253"/>
        <v>0</v>
      </c>
      <c r="GR311">
        <v>0</v>
      </c>
      <c r="GS311">
        <v>3</v>
      </c>
      <c r="GT311">
        <v>0</v>
      </c>
      <c r="GU311" t="s">
        <v>3</v>
      </c>
      <c r="GV311">
        <f t="shared" si="254"/>
        <v>0</v>
      </c>
      <c r="GW311">
        <v>1</v>
      </c>
      <c r="GX311">
        <f t="shared" si="255"/>
        <v>0</v>
      </c>
      <c r="HA311">
        <v>0</v>
      </c>
      <c r="HB311">
        <v>0</v>
      </c>
      <c r="HC311">
        <f t="shared" si="256"/>
        <v>0</v>
      </c>
      <c r="HE311" t="s">
        <v>3</v>
      </c>
      <c r="HF311" t="s">
        <v>3</v>
      </c>
      <c r="HM311" t="s">
        <v>3</v>
      </c>
      <c r="HN311" t="s">
        <v>3</v>
      </c>
      <c r="HO311" t="s">
        <v>3</v>
      </c>
      <c r="HP311" t="s">
        <v>3</v>
      </c>
      <c r="HQ311" t="s">
        <v>3</v>
      </c>
      <c r="HS311">
        <v>0</v>
      </c>
      <c r="IK311">
        <v>0</v>
      </c>
    </row>
    <row r="312" spans="1:255" x14ac:dyDescent="0.2">
      <c r="A312" s="2">
        <v>18</v>
      </c>
      <c r="B312" s="2">
        <v>1</v>
      </c>
      <c r="C312" s="2">
        <v>195</v>
      </c>
      <c r="D312" s="2"/>
      <c r="E312" s="2" t="s">
        <v>379</v>
      </c>
      <c r="F312" s="2" t="s">
        <v>380</v>
      </c>
      <c r="G312" s="2" t="s">
        <v>381</v>
      </c>
      <c r="H312" s="2" t="s">
        <v>330</v>
      </c>
      <c r="I312" s="2">
        <f>I310*J312</f>
        <v>0</v>
      </c>
      <c r="J312" s="2">
        <v>9.4962</v>
      </c>
      <c r="K312" s="2">
        <v>7.14</v>
      </c>
      <c r="L312" s="2"/>
      <c r="M312" s="2"/>
      <c r="N312" s="2"/>
      <c r="O312" s="2">
        <f t="shared" si="222"/>
        <v>0</v>
      </c>
      <c r="P312" s="2">
        <f t="shared" si="223"/>
        <v>0</v>
      </c>
      <c r="Q312" s="2">
        <f>(ROUND((ROUND(((ET312)*AV312*I312),2)*BB312),2)+ROUND((ROUND(((AE312-(EU312))*AV312*I312),2)*BS312),2))</f>
        <v>0</v>
      </c>
      <c r="R312" s="2">
        <f t="shared" si="225"/>
        <v>0</v>
      </c>
      <c r="S312" s="2">
        <f t="shared" si="226"/>
        <v>0</v>
      </c>
      <c r="T312" s="2">
        <f t="shared" si="227"/>
        <v>0</v>
      </c>
      <c r="U312" s="2">
        <f t="shared" si="228"/>
        <v>0</v>
      </c>
      <c r="V312" s="2">
        <f t="shared" si="229"/>
        <v>0</v>
      </c>
      <c r="W312" s="2">
        <f t="shared" si="230"/>
        <v>0</v>
      </c>
      <c r="X312" s="2">
        <f t="shared" si="231"/>
        <v>0</v>
      </c>
      <c r="Y312" s="2">
        <f t="shared" si="232"/>
        <v>0</v>
      </c>
      <c r="Z312" s="2"/>
      <c r="AA312" s="2">
        <v>56622523</v>
      </c>
      <c r="AB312" s="2">
        <f t="shared" si="233"/>
        <v>293.51</v>
      </c>
      <c r="AC312" s="2">
        <f t="shared" si="234"/>
        <v>293.51</v>
      </c>
      <c r="AD312" s="2">
        <f>ROUND((((ET312)-(EU312))+AE312),6)</f>
        <v>0</v>
      </c>
      <c r="AE312" s="2">
        <f>ROUND((EU312),6)</f>
        <v>0</v>
      </c>
      <c r="AF312" s="2">
        <f>ROUND((EV312),6)</f>
        <v>0</v>
      </c>
      <c r="AG312" s="2">
        <f t="shared" si="237"/>
        <v>0</v>
      </c>
      <c r="AH312" s="2">
        <f>(EW312)</f>
        <v>0</v>
      </c>
      <c r="AI312" s="2">
        <f>(EX312)</f>
        <v>0</v>
      </c>
      <c r="AJ312" s="2">
        <f t="shared" si="239"/>
        <v>0</v>
      </c>
      <c r="AK312" s="2">
        <v>293.51</v>
      </c>
      <c r="AL312" s="2">
        <v>293.51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134</v>
      </c>
      <c r="AU312" s="2">
        <v>83</v>
      </c>
      <c r="AV312" s="2">
        <v>1.0469999999999999</v>
      </c>
      <c r="AW312" s="2">
        <v>1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3</v>
      </c>
      <c r="BI312" s="2">
        <v>1</v>
      </c>
      <c r="BJ312" s="2" t="s">
        <v>382</v>
      </c>
      <c r="BK312" s="2"/>
      <c r="BL312" s="2"/>
      <c r="BM312" s="2">
        <v>159</v>
      </c>
      <c r="BN312" s="2">
        <v>0</v>
      </c>
      <c r="BO312" s="2" t="s">
        <v>3</v>
      </c>
      <c r="BP312" s="2">
        <v>0</v>
      </c>
      <c r="BQ312" s="2">
        <v>30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134</v>
      </c>
      <c r="CA312" s="2">
        <v>83</v>
      </c>
      <c r="CB312" s="2" t="s">
        <v>3</v>
      </c>
      <c r="CC312" s="2"/>
      <c r="CD312" s="2"/>
      <c r="CE312" s="2">
        <v>30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689</v>
      </c>
      <c r="CO312" s="2">
        <v>0</v>
      </c>
      <c r="CP312" s="2">
        <f t="shared" si="240"/>
        <v>0</v>
      </c>
      <c r="CQ312" s="2">
        <f t="shared" si="241"/>
        <v>293.51</v>
      </c>
      <c r="CR312" s="2">
        <f>(ROUND((ROUND(((ET312)*AV312*1),2)*BB312),2)+ROUND((ROUND(((AE312-(EU312))*AV312*1),2)*BS312),2))</f>
        <v>0</v>
      </c>
      <c r="CS312" s="2">
        <f t="shared" si="243"/>
        <v>0</v>
      </c>
      <c r="CT312" s="2">
        <f t="shared" si="244"/>
        <v>0</v>
      </c>
      <c r="CU312" s="2">
        <f t="shared" si="245"/>
        <v>0</v>
      </c>
      <c r="CV312" s="2">
        <f t="shared" si="246"/>
        <v>0</v>
      </c>
      <c r="CW312" s="2">
        <f t="shared" si="247"/>
        <v>0</v>
      </c>
      <c r="CX312" s="2">
        <f t="shared" si="248"/>
        <v>0</v>
      </c>
      <c r="CY312" s="2">
        <f>((S312*BZ312)/100)</f>
        <v>0</v>
      </c>
      <c r="CZ312" s="2">
        <f>((S312*CA312)/100)</f>
        <v>0</v>
      </c>
      <c r="DA312" s="2"/>
      <c r="DB312" s="2"/>
      <c r="DC312" s="2" t="s">
        <v>3</v>
      </c>
      <c r="DD312" s="2" t="s">
        <v>3</v>
      </c>
      <c r="DE312" s="2" t="s">
        <v>3</v>
      </c>
      <c r="DF312" s="2" t="s">
        <v>3</v>
      </c>
      <c r="DG312" s="2" t="s">
        <v>3</v>
      </c>
      <c r="DH312" s="2" t="s">
        <v>3</v>
      </c>
      <c r="DI312" s="2" t="s">
        <v>3</v>
      </c>
      <c r="DJ312" s="2" t="s">
        <v>3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1009</v>
      </c>
      <c r="DV312" s="2" t="s">
        <v>330</v>
      </c>
      <c r="DW312" s="2" t="s">
        <v>330</v>
      </c>
      <c r="DX312" s="2">
        <v>1000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51696198</v>
      </c>
      <c r="EF312" s="2">
        <v>30</v>
      </c>
      <c r="EG312" s="2" t="s">
        <v>23</v>
      </c>
      <c r="EH312" s="2">
        <v>0</v>
      </c>
      <c r="EI312" s="2" t="s">
        <v>3</v>
      </c>
      <c r="EJ312" s="2">
        <v>1</v>
      </c>
      <c r="EK312" s="2">
        <v>159</v>
      </c>
      <c r="EL312" s="2" t="s">
        <v>371</v>
      </c>
      <c r="EM312" s="2" t="s">
        <v>372</v>
      </c>
      <c r="EN312" s="2"/>
      <c r="EO312" s="2" t="s">
        <v>26</v>
      </c>
      <c r="EP312" s="2"/>
      <c r="EQ312" s="2">
        <v>0</v>
      </c>
      <c r="ER312" s="2">
        <v>293.51</v>
      </c>
      <c r="ES312" s="2">
        <v>293.51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134</v>
      </c>
      <c r="FY312" s="2">
        <v>83</v>
      </c>
      <c r="FZ312" s="2"/>
      <c r="GA312" s="2" t="s">
        <v>3</v>
      </c>
      <c r="GB312" s="2"/>
      <c r="GC312" s="2"/>
      <c r="GD312" s="2">
        <v>0</v>
      </c>
      <c r="GE312" s="2"/>
      <c r="GF312" s="2">
        <v>-1088409324</v>
      </c>
      <c r="GG312" s="2">
        <v>2</v>
      </c>
      <c r="GH312" s="2">
        <v>1</v>
      </c>
      <c r="GI312" s="2">
        <v>-2</v>
      </c>
      <c r="GJ312" s="2">
        <v>0</v>
      </c>
      <c r="GK312" s="2">
        <f>ROUND(R312*(R12)/100,2)</f>
        <v>0</v>
      </c>
      <c r="GL312" s="2">
        <f t="shared" si="249"/>
        <v>0</v>
      </c>
      <c r="GM312" s="2">
        <f t="shared" si="250"/>
        <v>0</v>
      </c>
      <c r="GN312" s="2">
        <f t="shared" si="251"/>
        <v>0</v>
      </c>
      <c r="GO312" s="2">
        <f t="shared" si="252"/>
        <v>0</v>
      </c>
      <c r="GP312" s="2">
        <f t="shared" si="253"/>
        <v>0</v>
      </c>
      <c r="GQ312" s="2"/>
      <c r="GR312" s="2">
        <v>0</v>
      </c>
      <c r="GS312" s="2">
        <v>0</v>
      </c>
      <c r="GT312" s="2">
        <v>0</v>
      </c>
      <c r="GU312" s="2" t="s">
        <v>3</v>
      </c>
      <c r="GV312" s="2">
        <f t="shared" si="254"/>
        <v>0</v>
      </c>
      <c r="GW312" s="2">
        <v>1</v>
      </c>
      <c r="GX312" s="2">
        <f t="shared" si="255"/>
        <v>0</v>
      </c>
      <c r="GY312" s="2"/>
      <c r="GZ312" s="2"/>
      <c r="HA312" s="2">
        <v>0</v>
      </c>
      <c r="HB312" s="2">
        <v>0</v>
      </c>
      <c r="HC312" s="2">
        <f t="shared" si="256"/>
        <v>0</v>
      </c>
      <c r="HD312" s="2"/>
      <c r="HE312" s="2" t="s">
        <v>3</v>
      </c>
      <c r="HF312" s="2" t="s">
        <v>3</v>
      </c>
      <c r="HG312" s="2"/>
      <c r="HH312" s="2"/>
      <c r="HI312" s="2"/>
      <c r="HJ312" s="2"/>
      <c r="HK312" s="2"/>
      <c r="HL312" s="2"/>
      <c r="HM312" s="2" t="s">
        <v>374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">
      <c r="A313">
        <v>18</v>
      </c>
      <c r="B313">
        <v>1</v>
      </c>
      <c r="C313">
        <v>196</v>
      </c>
      <c r="E313" t="s">
        <v>379</v>
      </c>
      <c r="F313" t="s">
        <v>380</v>
      </c>
      <c r="G313" t="s">
        <v>381</v>
      </c>
      <c r="H313" t="s">
        <v>330</v>
      </c>
      <c r="I313">
        <f>I311*J313</f>
        <v>0</v>
      </c>
      <c r="J313">
        <v>9.4962</v>
      </c>
      <c r="K313">
        <v>7.14</v>
      </c>
      <c r="O313">
        <f t="shared" si="222"/>
        <v>0</v>
      </c>
      <c r="P313">
        <f t="shared" si="223"/>
        <v>0</v>
      </c>
      <c r="Q313">
        <f>(ROUND((ROUND(((ET313)*AV313*I313),2)*BB313),2)+ROUND((ROUND(((AE313-(EU313))*AV313*I313),2)*BS313),2))</f>
        <v>0</v>
      </c>
      <c r="R313">
        <f t="shared" si="225"/>
        <v>0</v>
      </c>
      <c r="S313">
        <f t="shared" si="226"/>
        <v>0</v>
      </c>
      <c r="T313">
        <f t="shared" si="227"/>
        <v>0</v>
      </c>
      <c r="U313">
        <f t="shared" si="228"/>
        <v>0</v>
      </c>
      <c r="V313">
        <f t="shared" si="229"/>
        <v>0</v>
      </c>
      <c r="W313">
        <f t="shared" si="230"/>
        <v>0</v>
      </c>
      <c r="X313">
        <f t="shared" si="231"/>
        <v>0</v>
      </c>
      <c r="Y313">
        <f t="shared" si="232"/>
        <v>0</v>
      </c>
      <c r="AA313">
        <v>56611490</v>
      </c>
      <c r="AB313">
        <f t="shared" si="233"/>
        <v>293.51</v>
      </c>
      <c r="AC313">
        <f t="shared" si="234"/>
        <v>293.51</v>
      </c>
      <c r="AD313">
        <f>ROUND((((ET313)-(EU313))+AE313),6)</f>
        <v>0</v>
      </c>
      <c r="AE313">
        <f>ROUND((EU313),6)</f>
        <v>0</v>
      </c>
      <c r="AF313">
        <f>ROUND((EV313),6)</f>
        <v>0</v>
      </c>
      <c r="AG313">
        <f t="shared" si="237"/>
        <v>0</v>
      </c>
      <c r="AH313">
        <f>(EW313)</f>
        <v>0</v>
      </c>
      <c r="AI313">
        <f>(EX313)</f>
        <v>0</v>
      </c>
      <c r="AJ313">
        <f t="shared" si="239"/>
        <v>0</v>
      </c>
      <c r="AK313">
        <v>293.51</v>
      </c>
      <c r="AL313">
        <v>293.51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1</v>
      </c>
      <c r="AZ313">
        <v>1</v>
      </c>
      <c r="BA313">
        <v>1</v>
      </c>
      <c r="BB313">
        <v>1</v>
      </c>
      <c r="BC313">
        <v>17.559999999999999</v>
      </c>
      <c r="BD313" t="s">
        <v>3</v>
      </c>
      <c r="BE313" t="s">
        <v>3</v>
      </c>
      <c r="BF313" t="s">
        <v>3</v>
      </c>
      <c r="BG313" t="s">
        <v>3</v>
      </c>
      <c r="BH313">
        <v>3</v>
      </c>
      <c r="BI313">
        <v>1</v>
      </c>
      <c r="BJ313" t="s">
        <v>382</v>
      </c>
      <c r="BM313">
        <v>159</v>
      </c>
      <c r="BN313">
        <v>0</v>
      </c>
      <c r="BO313" t="s">
        <v>380</v>
      </c>
      <c r="BP313">
        <v>1</v>
      </c>
      <c r="BQ313">
        <v>30</v>
      </c>
      <c r="BR313">
        <v>0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 t="s">
        <v>3</v>
      </c>
      <c r="BZ313">
        <v>0</v>
      </c>
      <c r="CA313">
        <v>0</v>
      </c>
      <c r="CB313" t="s">
        <v>3</v>
      </c>
      <c r="CE313">
        <v>30</v>
      </c>
      <c r="CF313">
        <v>0</v>
      </c>
      <c r="CG313">
        <v>0</v>
      </c>
      <c r="CM313">
        <v>0</v>
      </c>
      <c r="CN313" t="s">
        <v>689</v>
      </c>
      <c r="CO313">
        <v>0</v>
      </c>
      <c r="CP313">
        <f t="shared" si="240"/>
        <v>0</v>
      </c>
      <c r="CQ313">
        <f t="shared" si="241"/>
        <v>5154.04</v>
      </c>
      <c r="CR313">
        <f>(ROUND((ROUND(((ET313)*AV313*1),2)*BB313),2)+ROUND((ROUND(((AE313-(EU313))*AV313*1),2)*BS313),2))</f>
        <v>0</v>
      </c>
      <c r="CS313">
        <f t="shared" si="243"/>
        <v>0</v>
      </c>
      <c r="CT313">
        <f t="shared" si="244"/>
        <v>0</v>
      </c>
      <c r="CU313">
        <f t="shared" si="245"/>
        <v>0</v>
      </c>
      <c r="CV313">
        <f t="shared" si="246"/>
        <v>0</v>
      </c>
      <c r="CW313">
        <f t="shared" si="247"/>
        <v>0</v>
      </c>
      <c r="CX313">
        <f t="shared" si="248"/>
        <v>0</v>
      </c>
      <c r="CY313">
        <f>S313*(BZ313/100)</f>
        <v>0</v>
      </c>
      <c r="CZ313">
        <f>S313*(CA313/100)</f>
        <v>0</v>
      </c>
      <c r="DC313" t="s">
        <v>3</v>
      </c>
      <c r="DD313" t="s">
        <v>3</v>
      </c>
      <c r="DE313" t="s">
        <v>3</v>
      </c>
      <c r="DF313" t="s">
        <v>3</v>
      </c>
      <c r="DG313" t="s">
        <v>3</v>
      </c>
      <c r="DH313" t="s">
        <v>3</v>
      </c>
      <c r="DI313" t="s">
        <v>3</v>
      </c>
      <c r="DJ313" t="s">
        <v>3</v>
      </c>
      <c r="DK313" t="s">
        <v>3</v>
      </c>
      <c r="DL313" t="s">
        <v>3</v>
      </c>
      <c r="DM313" t="s">
        <v>3</v>
      </c>
      <c r="DN313">
        <v>134</v>
      </c>
      <c r="DO313">
        <v>83</v>
      </c>
      <c r="DP313">
        <v>1.0469999999999999</v>
      </c>
      <c r="DQ313">
        <v>1</v>
      </c>
      <c r="DU313">
        <v>1009</v>
      </c>
      <c r="DV313" t="s">
        <v>330</v>
      </c>
      <c r="DW313" t="s">
        <v>330</v>
      </c>
      <c r="DX313">
        <v>1000</v>
      </c>
      <c r="DZ313" t="s">
        <v>3</v>
      </c>
      <c r="EA313" t="s">
        <v>3</v>
      </c>
      <c r="EB313" t="s">
        <v>3</v>
      </c>
      <c r="EC313" t="s">
        <v>3</v>
      </c>
      <c r="EE313">
        <v>51696198</v>
      </c>
      <c r="EF313">
        <v>30</v>
      </c>
      <c r="EG313" t="s">
        <v>23</v>
      </c>
      <c r="EH313">
        <v>0</v>
      </c>
      <c r="EI313" t="s">
        <v>3</v>
      </c>
      <c r="EJ313">
        <v>1</v>
      </c>
      <c r="EK313">
        <v>159</v>
      </c>
      <c r="EL313" t="s">
        <v>371</v>
      </c>
      <c r="EM313" t="s">
        <v>372</v>
      </c>
      <c r="EO313" t="s">
        <v>26</v>
      </c>
      <c r="EQ313">
        <v>0</v>
      </c>
      <c r="ER313">
        <v>293.51</v>
      </c>
      <c r="ES313">
        <v>293.51</v>
      </c>
      <c r="ET313">
        <v>0</v>
      </c>
      <c r="EU313">
        <v>0</v>
      </c>
      <c r="EV313">
        <v>0</v>
      </c>
      <c r="EW313">
        <v>0</v>
      </c>
      <c r="EX313">
        <v>0</v>
      </c>
      <c r="FQ313">
        <v>0</v>
      </c>
      <c r="FR313">
        <v>0</v>
      </c>
      <c r="FS313">
        <v>0</v>
      </c>
      <c r="FX313">
        <v>134</v>
      </c>
      <c r="FY313">
        <v>83</v>
      </c>
      <c r="GA313" t="s">
        <v>3</v>
      </c>
      <c r="GD313">
        <v>0</v>
      </c>
      <c r="GF313">
        <v>-1088409324</v>
      </c>
      <c r="GG313">
        <v>2</v>
      </c>
      <c r="GH313">
        <v>1</v>
      </c>
      <c r="GI313">
        <v>2</v>
      </c>
      <c r="GJ313">
        <v>0</v>
      </c>
      <c r="GK313">
        <f>ROUND(R313*(S12)/100,2)</f>
        <v>0</v>
      </c>
      <c r="GL313">
        <f t="shared" si="249"/>
        <v>0</v>
      </c>
      <c r="GM313">
        <f t="shared" si="250"/>
        <v>0</v>
      </c>
      <c r="GN313">
        <f t="shared" si="251"/>
        <v>0</v>
      </c>
      <c r="GO313">
        <f t="shared" si="252"/>
        <v>0</v>
      </c>
      <c r="GP313">
        <f t="shared" si="253"/>
        <v>0</v>
      </c>
      <c r="GR313">
        <v>0</v>
      </c>
      <c r="GS313">
        <v>3</v>
      </c>
      <c r="GT313">
        <v>0</v>
      </c>
      <c r="GU313" t="s">
        <v>3</v>
      </c>
      <c r="GV313">
        <f t="shared" si="254"/>
        <v>0</v>
      </c>
      <c r="GW313">
        <v>1</v>
      </c>
      <c r="GX313">
        <f t="shared" si="255"/>
        <v>0</v>
      </c>
      <c r="HA313">
        <v>0</v>
      </c>
      <c r="HB313">
        <v>0</v>
      </c>
      <c r="HC313">
        <f t="shared" si="256"/>
        <v>0</v>
      </c>
      <c r="HE313" t="s">
        <v>3</v>
      </c>
      <c r="HF313" t="s">
        <v>3</v>
      </c>
      <c r="HM313" t="s">
        <v>374</v>
      </c>
      <c r="HN313" t="s">
        <v>3</v>
      </c>
      <c r="HO313" t="s">
        <v>3</v>
      </c>
      <c r="HP313" t="s">
        <v>3</v>
      </c>
      <c r="HQ313" t="s">
        <v>3</v>
      </c>
      <c r="HS313">
        <v>0</v>
      </c>
      <c r="IK313">
        <v>0</v>
      </c>
    </row>
    <row r="314" spans="1:255" x14ac:dyDescent="0.2">
      <c r="A314" s="2">
        <v>17</v>
      </c>
      <c r="B314" s="2">
        <v>1</v>
      </c>
      <c r="C314" s="2">
        <f>ROW(SmtRes!A197)</f>
        <v>197</v>
      </c>
      <c r="D314" s="2">
        <f>ROW(EtalonRes!A495)</f>
        <v>495</v>
      </c>
      <c r="E314" s="2" t="s">
        <v>383</v>
      </c>
      <c r="F314" s="2" t="s">
        <v>384</v>
      </c>
      <c r="G314" s="2" t="s">
        <v>385</v>
      </c>
      <c r="H314" s="2" t="s">
        <v>386</v>
      </c>
      <c r="I314" s="2">
        <v>0</v>
      </c>
      <c r="J314" s="2">
        <v>0</v>
      </c>
      <c r="K314" s="2">
        <v>0</v>
      </c>
      <c r="L314" s="2"/>
      <c r="M314" s="2"/>
      <c r="N314" s="2"/>
      <c r="O314" s="2">
        <f t="shared" si="222"/>
        <v>0</v>
      </c>
      <c r="P314" s="2">
        <f t="shared" si="223"/>
        <v>0</v>
      </c>
      <c r="Q314" s="2">
        <f>(ROUND((ROUND((((ET314*1.1))*AV314*I314),2)*BB314),2)+ROUND((ROUND(((AE314-((EU314*1.1)))*AV314*I314),2)*BS314),2))</f>
        <v>0</v>
      </c>
      <c r="R314" s="2">
        <f t="shared" si="225"/>
        <v>0</v>
      </c>
      <c r="S314" s="2">
        <f t="shared" si="226"/>
        <v>0</v>
      </c>
      <c r="T314" s="2">
        <f t="shared" si="227"/>
        <v>0</v>
      </c>
      <c r="U314" s="2">
        <f t="shared" si="228"/>
        <v>0</v>
      </c>
      <c r="V314" s="2">
        <f t="shared" si="229"/>
        <v>0</v>
      </c>
      <c r="W314" s="2">
        <f t="shared" si="230"/>
        <v>0</v>
      </c>
      <c r="X314" s="2">
        <f t="shared" si="231"/>
        <v>0</v>
      </c>
      <c r="Y314" s="2">
        <f t="shared" si="232"/>
        <v>0</v>
      </c>
      <c r="Z314" s="2"/>
      <c r="AA314" s="2">
        <v>56622523</v>
      </c>
      <c r="AB314" s="2">
        <f t="shared" si="233"/>
        <v>943.26099999999997</v>
      </c>
      <c r="AC314" s="2">
        <f t="shared" si="234"/>
        <v>0</v>
      </c>
      <c r="AD314" s="2">
        <f>ROUND(((((ET314*1.1))-((EU314*1.1)))+AE314),6)</f>
        <v>0</v>
      </c>
      <c r="AE314" s="2">
        <f t="shared" ref="AE314:AF317" si="257">ROUND(((EU314*1.1)),6)</f>
        <v>0</v>
      </c>
      <c r="AF314" s="2">
        <f t="shared" si="257"/>
        <v>943.26099999999997</v>
      </c>
      <c r="AG314" s="2">
        <f t="shared" si="237"/>
        <v>0</v>
      </c>
      <c r="AH314" s="2">
        <f t="shared" ref="AH314:AI317" si="258">((EW314*1.1))</f>
        <v>84.37</v>
      </c>
      <c r="AI314" s="2">
        <f t="shared" si="258"/>
        <v>0</v>
      </c>
      <c r="AJ314" s="2">
        <f t="shared" si="239"/>
        <v>0</v>
      </c>
      <c r="AK314" s="2">
        <v>857.51</v>
      </c>
      <c r="AL314" s="2">
        <v>0</v>
      </c>
      <c r="AM314" s="2">
        <v>0</v>
      </c>
      <c r="AN314" s="2">
        <v>0</v>
      </c>
      <c r="AO314" s="2">
        <v>857.51</v>
      </c>
      <c r="AP314" s="2">
        <v>0</v>
      </c>
      <c r="AQ314" s="2">
        <v>76.7</v>
      </c>
      <c r="AR314" s="2">
        <v>0</v>
      </c>
      <c r="AS314" s="2">
        <v>0</v>
      </c>
      <c r="AT314" s="2">
        <v>80</v>
      </c>
      <c r="AU314" s="2">
        <v>55</v>
      </c>
      <c r="AV314" s="2">
        <v>1.0469999999999999</v>
      </c>
      <c r="AW314" s="2">
        <v>1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0</v>
      </c>
      <c r="BI314" s="2">
        <v>1</v>
      </c>
      <c r="BJ314" s="2" t="s">
        <v>387</v>
      </c>
      <c r="BK314" s="2"/>
      <c r="BL314" s="2"/>
      <c r="BM314" s="2">
        <v>674</v>
      </c>
      <c r="BN314" s="2">
        <v>0</v>
      </c>
      <c r="BO314" s="2" t="s">
        <v>3</v>
      </c>
      <c r="BP314" s="2">
        <v>0</v>
      </c>
      <c r="BQ314" s="2">
        <v>60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80</v>
      </c>
      <c r="CA314" s="2">
        <v>55</v>
      </c>
      <c r="CB314" s="2" t="s">
        <v>3</v>
      </c>
      <c r="CC314" s="2"/>
      <c r="CD314" s="2"/>
      <c r="CE314" s="2">
        <v>30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689</v>
      </c>
      <c r="CO314" s="2">
        <v>0</v>
      </c>
      <c r="CP314" s="2">
        <f t="shared" si="240"/>
        <v>0</v>
      </c>
      <c r="CQ314" s="2">
        <f t="shared" si="241"/>
        <v>0</v>
      </c>
      <c r="CR314" s="2">
        <f>(ROUND((ROUND((((ET314*1.1))*AV314*1),2)*BB314),2)+ROUND((ROUND(((AE314-((EU314*1.1)))*AV314*1),2)*BS314),2))</f>
        <v>0</v>
      </c>
      <c r="CS314" s="2">
        <f t="shared" si="243"/>
        <v>0</v>
      </c>
      <c r="CT314" s="2">
        <f t="shared" si="244"/>
        <v>987.59</v>
      </c>
      <c r="CU314" s="2">
        <f t="shared" si="245"/>
        <v>0</v>
      </c>
      <c r="CV314" s="2">
        <f t="shared" si="246"/>
        <v>88.335390000000004</v>
      </c>
      <c r="CW314" s="2">
        <f t="shared" si="247"/>
        <v>0</v>
      </c>
      <c r="CX314" s="2">
        <f t="shared" si="248"/>
        <v>0</v>
      </c>
      <c r="CY314" s="2">
        <f>((S314*BZ314)/100)</f>
        <v>0</v>
      </c>
      <c r="CZ314" s="2">
        <f>((S314*CA314)/100)</f>
        <v>0</v>
      </c>
      <c r="DA314" s="2"/>
      <c r="DB314" s="2"/>
      <c r="DC314" s="2" t="s">
        <v>3</v>
      </c>
      <c r="DD314" s="2" t="s">
        <v>3</v>
      </c>
      <c r="DE314" s="2" t="s">
        <v>22</v>
      </c>
      <c r="DF314" s="2" t="s">
        <v>22</v>
      </c>
      <c r="DG314" s="2" t="s">
        <v>22</v>
      </c>
      <c r="DH314" s="2" t="s">
        <v>3</v>
      </c>
      <c r="DI314" s="2" t="s">
        <v>22</v>
      </c>
      <c r="DJ314" s="2" t="s">
        <v>22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1003</v>
      </c>
      <c r="DV314" s="2" t="s">
        <v>386</v>
      </c>
      <c r="DW314" s="2" t="s">
        <v>386</v>
      </c>
      <c r="DX314" s="2">
        <v>100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51696713</v>
      </c>
      <c r="EF314" s="2">
        <v>60</v>
      </c>
      <c r="EG314" s="2" t="s">
        <v>282</v>
      </c>
      <c r="EH314" s="2">
        <v>0</v>
      </c>
      <c r="EI314" s="2" t="s">
        <v>3</v>
      </c>
      <c r="EJ314" s="2">
        <v>1</v>
      </c>
      <c r="EK314" s="2">
        <v>674</v>
      </c>
      <c r="EL314" s="2" t="s">
        <v>283</v>
      </c>
      <c r="EM314" s="2" t="s">
        <v>284</v>
      </c>
      <c r="EN314" s="2"/>
      <c r="EO314" s="2" t="s">
        <v>26</v>
      </c>
      <c r="EP314" s="2"/>
      <c r="EQ314" s="2">
        <v>131072</v>
      </c>
      <c r="ER314" s="2">
        <v>857.51</v>
      </c>
      <c r="ES314" s="2">
        <v>0</v>
      </c>
      <c r="ET314" s="2">
        <v>0</v>
      </c>
      <c r="EU314" s="2">
        <v>0</v>
      </c>
      <c r="EV314" s="2">
        <v>857.51</v>
      </c>
      <c r="EW314" s="2">
        <v>76.7</v>
      </c>
      <c r="EX314" s="2">
        <v>0</v>
      </c>
      <c r="EY314" s="2">
        <v>0</v>
      </c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80</v>
      </c>
      <c r="FY314" s="2">
        <v>55</v>
      </c>
      <c r="FZ314" s="2"/>
      <c r="GA314" s="2" t="s">
        <v>3</v>
      </c>
      <c r="GB314" s="2"/>
      <c r="GC314" s="2"/>
      <c r="GD314" s="2">
        <v>0</v>
      </c>
      <c r="GE314" s="2"/>
      <c r="GF314" s="2">
        <v>665913781</v>
      </c>
      <c r="GG314" s="2">
        <v>2</v>
      </c>
      <c r="GH314" s="2">
        <v>1</v>
      </c>
      <c r="GI314" s="2">
        <v>-2</v>
      </c>
      <c r="GJ314" s="2">
        <v>0</v>
      </c>
      <c r="GK314" s="2">
        <f>ROUND(R314*(R12)/100,2)</f>
        <v>0</v>
      </c>
      <c r="GL314" s="2">
        <f t="shared" si="249"/>
        <v>0</v>
      </c>
      <c r="GM314" s="2">
        <f t="shared" si="250"/>
        <v>0</v>
      </c>
      <c r="GN314" s="2">
        <f t="shared" si="251"/>
        <v>0</v>
      </c>
      <c r="GO314" s="2">
        <f t="shared" si="252"/>
        <v>0</v>
      </c>
      <c r="GP314" s="2">
        <f t="shared" si="253"/>
        <v>0</v>
      </c>
      <c r="GQ314" s="2"/>
      <c r="GR314" s="2">
        <v>0</v>
      </c>
      <c r="GS314" s="2">
        <v>0</v>
      </c>
      <c r="GT314" s="2">
        <v>0</v>
      </c>
      <c r="GU314" s="2" t="s">
        <v>3</v>
      </c>
      <c r="GV314" s="2">
        <f t="shared" si="254"/>
        <v>0</v>
      </c>
      <c r="GW314" s="2">
        <v>1</v>
      </c>
      <c r="GX314" s="2">
        <f t="shared" si="255"/>
        <v>0</v>
      </c>
      <c r="GY314" s="2"/>
      <c r="GZ314" s="2"/>
      <c r="HA314" s="2">
        <v>0</v>
      </c>
      <c r="HB314" s="2">
        <v>0</v>
      </c>
      <c r="HC314" s="2">
        <f t="shared" si="256"/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3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">
      <c r="A315">
        <v>17</v>
      </c>
      <c r="B315">
        <v>1</v>
      </c>
      <c r="C315">
        <f>ROW(SmtRes!A198)</f>
        <v>198</v>
      </c>
      <c r="D315">
        <f>ROW(EtalonRes!A496)</f>
        <v>496</v>
      </c>
      <c r="E315" t="s">
        <v>383</v>
      </c>
      <c r="F315" t="s">
        <v>384</v>
      </c>
      <c r="G315" t="s">
        <v>385</v>
      </c>
      <c r="H315" t="s">
        <v>386</v>
      </c>
      <c r="I315">
        <v>0</v>
      </c>
      <c r="J315">
        <v>0</v>
      </c>
      <c r="K315">
        <v>0</v>
      </c>
      <c r="O315">
        <f t="shared" si="222"/>
        <v>0</v>
      </c>
      <c r="P315">
        <f t="shared" si="223"/>
        <v>0</v>
      </c>
      <c r="Q315">
        <f>(ROUND((ROUND((((ET315*1.1))*AV315*I315),2)*BB315),2)+ROUND((ROUND(((AE315-((EU315*1.1)))*AV315*I315),2)*BS315),2))</f>
        <v>0</v>
      </c>
      <c r="R315">
        <f t="shared" si="225"/>
        <v>0</v>
      </c>
      <c r="S315">
        <f t="shared" si="226"/>
        <v>0</v>
      </c>
      <c r="T315">
        <f t="shared" si="227"/>
        <v>0</v>
      </c>
      <c r="U315">
        <f t="shared" si="228"/>
        <v>0</v>
      </c>
      <c r="V315">
        <f t="shared" si="229"/>
        <v>0</v>
      </c>
      <c r="W315">
        <f t="shared" si="230"/>
        <v>0</v>
      </c>
      <c r="X315">
        <f t="shared" si="231"/>
        <v>0</v>
      </c>
      <c r="Y315">
        <f t="shared" si="232"/>
        <v>0</v>
      </c>
      <c r="AA315">
        <v>56611490</v>
      </c>
      <c r="AB315">
        <f t="shared" si="233"/>
        <v>943.26099999999997</v>
      </c>
      <c r="AC315">
        <f t="shared" si="234"/>
        <v>0</v>
      </c>
      <c r="AD315">
        <f>ROUND(((((ET315*1.1))-((EU315*1.1)))+AE315),6)</f>
        <v>0</v>
      </c>
      <c r="AE315">
        <f t="shared" si="257"/>
        <v>0</v>
      </c>
      <c r="AF315">
        <f t="shared" si="257"/>
        <v>943.26099999999997</v>
      </c>
      <c r="AG315">
        <f t="shared" si="237"/>
        <v>0</v>
      </c>
      <c r="AH315">
        <f t="shared" si="258"/>
        <v>84.37</v>
      </c>
      <c r="AI315">
        <f t="shared" si="258"/>
        <v>0</v>
      </c>
      <c r="AJ315">
        <f t="shared" si="239"/>
        <v>0</v>
      </c>
      <c r="AK315">
        <v>857.51</v>
      </c>
      <c r="AL315">
        <v>0</v>
      </c>
      <c r="AM315">
        <v>0</v>
      </c>
      <c r="AN315">
        <v>0</v>
      </c>
      <c r="AO315">
        <v>857.51</v>
      </c>
      <c r="AP315">
        <v>0</v>
      </c>
      <c r="AQ315">
        <v>76.7</v>
      </c>
      <c r="AR315">
        <v>0</v>
      </c>
      <c r="AS315">
        <v>0</v>
      </c>
      <c r="AT315">
        <v>70</v>
      </c>
      <c r="AU315">
        <v>41</v>
      </c>
      <c r="AV315">
        <v>1.0469999999999999</v>
      </c>
      <c r="AW315">
        <v>1</v>
      </c>
      <c r="AZ315">
        <v>1</v>
      </c>
      <c r="BA315">
        <v>34.51</v>
      </c>
      <c r="BB315">
        <v>1</v>
      </c>
      <c r="BC315">
        <v>1</v>
      </c>
      <c r="BD315" t="s">
        <v>3</v>
      </c>
      <c r="BE315" t="s">
        <v>3</v>
      </c>
      <c r="BF315" t="s">
        <v>3</v>
      </c>
      <c r="BG315" t="s">
        <v>3</v>
      </c>
      <c r="BH315">
        <v>0</v>
      </c>
      <c r="BI315">
        <v>1</v>
      </c>
      <c r="BJ315" t="s">
        <v>387</v>
      </c>
      <c r="BM315">
        <v>674</v>
      </c>
      <c r="BN315">
        <v>0</v>
      </c>
      <c r="BO315" t="s">
        <v>384</v>
      </c>
      <c r="BP315">
        <v>1</v>
      </c>
      <c r="BQ315">
        <v>60</v>
      </c>
      <c r="BR315">
        <v>0</v>
      </c>
      <c r="BS315">
        <v>34.51</v>
      </c>
      <c r="BT315">
        <v>1</v>
      </c>
      <c r="BU315">
        <v>1</v>
      </c>
      <c r="BV315">
        <v>1</v>
      </c>
      <c r="BW315">
        <v>1</v>
      </c>
      <c r="BX315">
        <v>1</v>
      </c>
      <c r="BY315" t="s">
        <v>3</v>
      </c>
      <c r="BZ315">
        <v>70</v>
      </c>
      <c r="CA315">
        <v>41</v>
      </c>
      <c r="CB315" t="s">
        <v>3</v>
      </c>
      <c r="CE315">
        <v>30</v>
      </c>
      <c r="CF315">
        <v>0</v>
      </c>
      <c r="CG315">
        <v>0</v>
      </c>
      <c r="CM315">
        <v>0</v>
      </c>
      <c r="CN315" t="s">
        <v>689</v>
      </c>
      <c r="CO315">
        <v>0</v>
      </c>
      <c r="CP315">
        <f t="shared" si="240"/>
        <v>0</v>
      </c>
      <c r="CQ315">
        <f t="shared" si="241"/>
        <v>0</v>
      </c>
      <c r="CR315">
        <f>(ROUND((ROUND((((ET315*1.1))*AV315*1),2)*BB315),2)+ROUND((ROUND(((AE315-((EU315*1.1)))*AV315*1),2)*BS315),2))</f>
        <v>0</v>
      </c>
      <c r="CS315">
        <f t="shared" si="243"/>
        <v>0</v>
      </c>
      <c r="CT315">
        <f t="shared" si="244"/>
        <v>34081.730000000003</v>
      </c>
      <c r="CU315">
        <f t="shared" si="245"/>
        <v>0</v>
      </c>
      <c r="CV315">
        <f t="shared" si="246"/>
        <v>88.335390000000004</v>
      </c>
      <c r="CW315">
        <f t="shared" si="247"/>
        <v>0</v>
      </c>
      <c r="CX315">
        <f t="shared" si="248"/>
        <v>0</v>
      </c>
      <c r="CY315">
        <f>S315*(BZ315/100)</f>
        <v>0</v>
      </c>
      <c r="CZ315">
        <f>S315*(CA315/100)</f>
        <v>0</v>
      </c>
      <c r="DC315" t="s">
        <v>3</v>
      </c>
      <c r="DD315" t="s">
        <v>3</v>
      </c>
      <c r="DE315" t="s">
        <v>22</v>
      </c>
      <c r="DF315" t="s">
        <v>22</v>
      </c>
      <c r="DG315" t="s">
        <v>22</v>
      </c>
      <c r="DH315" t="s">
        <v>3</v>
      </c>
      <c r="DI315" t="s">
        <v>22</v>
      </c>
      <c r="DJ315" t="s">
        <v>22</v>
      </c>
      <c r="DK315" t="s">
        <v>3</v>
      </c>
      <c r="DL315" t="s">
        <v>3</v>
      </c>
      <c r="DM315" t="s">
        <v>3</v>
      </c>
      <c r="DN315">
        <v>80</v>
      </c>
      <c r="DO315">
        <v>55</v>
      </c>
      <c r="DP315">
        <v>1.0469999999999999</v>
      </c>
      <c r="DQ315">
        <v>1</v>
      </c>
      <c r="DU315">
        <v>1003</v>
      </c>
      <c r="DV315" t="s">
        <v>386</v>
      </c>
      <c r="DW315" t="s">
        <v>386</v>
      </c>
      <c r="DX315">
        <v>100</v>
      </c>
      <c r="DZ315" t="s">
        <v>3</v>
      </c>
      <c r="EA315" t="s">
        <v>3</v>
      </c>
      <c r="EB315" t="s">
        <v>3</v>
      </c>
      <c r="EC315" t="s">
        <v>3</v>
      </c>
      <c r="EE315">
        <v>51696713</v>
      </c>
      <c r="EF315">
        <v>60</v>
      </c>
      <c r="EG315" t="s">
        <v>282</v>
      </c>
      <c r="EH315">
        <v>0</v>
      </c>
      <c r="EI315" t="s">
        <v>3</v>
      </c>
      <c r="EJ315">
        <v>1</v>
      </c>
      <c r="EK315">
        <v>674</v>
      </c>
      <c r="EL315" t="s">
        <v>283</v>
      </c>
      <c r="EM315" t="s">
        <v>284</v>
      </c>
      <c r="EO315" t="s">
        <v>26</v>
      </c>
      <c r="EQ315">
        <v>131072</v>
      </c>
      <c r="ER315">
        <v>857.51</v>
      </c>
      <c r="ES315">
        <v>0</v>
      </c>
      <c r="ET315">
        <v>0</v>
      </c>
      <c r="EU315">
        <v>0</v>
      </c>
      <c r="EV315">
        <v>857.51</v>
      </c>
      <c r="EW315">
        <v>76.7</v>
      </c>
      <c r="EX315">
        <v>0</v>
      </c>
      <c r="EY315">
        <v>0</v>
      </c>
      <c r="FQ315">
        <v>0</v>
      </c>
      <c r="FR315">
        <v>0</v>
      </c>
      <c r="FS315">
        <v>0</v>
      </c>
      <c r="FX315">
        <v>80</v>
      </c>
      <c r="FY315">
        <v>55</v>
      </c>
      <c r="GA315" t="s">
        <v>3</v>
      </c>
      <c r="GD315">
        <v>0</v>
      </c>
      <c r="GF315">
        <v>665913781</v>
      </c>
      <c r="GG315">
        <v>2</v>
      </c>
      <c r="GH315">
        <v>1</v>
      </c>
      <c r="GI315">
        <v>2</v>
      </c>
      <c r="GJ315">
        <v>0</v>
      </c>
      <c r="GK315">
        <f>ROUND(R315*(S12)/100,2)</f>
        <v>0</v>
      </c>
      <c r="GL315">
        <f t="shared" si="249"/>
        <v>0</v>
      </c>
      <c r="GM315">
        <f t="shared" si="250"/>
        <v>0</v>
      </c>
      <c r="GN315">
        <f t="shared" si="251"/>
        <v>0</v>
      </c>
      <c r="GO315">
        <f t="shared" si="252"/>
        <v>0</v>
      </c>
      <c r="GP315">
        <f t="shared" si="253"/>
        <v>0</v>
      </c>
      <c r="GR315">
        <v>0</v>
      </c>
      <c r="GS315">
        <v>3</v>
      </c>
      <c r="GT315">
        <v>0</v>
      </c>
      <c r="GU315" t="s">
        <v>3</v>
      </c>
      <c r="GV315">
        <f t="shared" si="254"/>
        <v>0</v>
      </c>
      <c r="GW315">
        <v>1</v>
      </c>
      <c r="GX315">
        <f t="shared" si="255"/>
        <v>0</v>
      </c>
      <c r="HA315">
        <v>0</v>
      </c>
      <c r="HB315">
        <v>0</v>
      </c>
      <c r="HC315">
        <f t="shared" si="256"/>
        <v>0</v>
      </c>
      <c r="HE315" t="s">
        <v>3</v>
      </c>
      <c r="HF315" t="s">
        <v>3</v>
      </c>
      <c r="HM315" t="s">
        <v>3</v>
      </c>
      <c r="HN315" t="s">
        <v>3</v>
      </c>
      <c r="HO315" t="s">
        <v>3</v>
      </c>
      <c r="HP315" t="s">
        <v>3</v>
      </c>
      <c r="HQ315" t="s">
        <v>3</v>
      </c>
      <c r="HS315">
        <v>0</v>
      </c>
      <c r="IK315">
        <v>0</v>
      </c>
    </row>
    <row r="316" spans="1:255" x14ac:dyDescent="0.2">
      <c r="A316" s="2">
        <v>17</v>
      </c>
      <c r="B316" s="2">
        <v>1</v>
      </c>
      <c r="C316" s="2"/>
      <c r="D316" s="2">
        <f>ROW(EtalonRes!A503)</f>
        <v>503</v>
      </c>
      <c r="E316" s="2" t="s">
        <v>388</v>
      </c>
      <c r="F316" s="2" t="s">
        <v>389</v>
      </c>
      <c r="G316" s="2" t="s">
        <v>390</v>
      </c>
      <c r="H316" s="2" t="s">
        <v>391</v>
      </c>
      <c r="I316" s="2">
        <v>0</v>
      </c>
      <c r="J316" s="2">
        <v>0</v>
      </c>
      <c r="K316" s="2">
        <v>0</v>
      </c>
      <c r="L316" s="2"/>
      <c r="M316" s="2"/>
      <c r="N316" s="2"/>
      <c r="O316" s="2">
        <f t="shared" si="222"/>
        <v>0</v>
      </c>
      <c r="P316" s="2">
        <f t="shared" si="223"/>
        <v>0</v>
      </c>
      <c r="Q316" s="2">
        <f>(ROUND((ROUND((((ET316*1.1))*AV316*I316),2)*BB316),2)+ROUND((ROUND(((AE316-((EU316*1.1)))*AV316*I316),2)*BS316),2))</f>
        <v>0</v>
      </c>
      <c r="R316" s="2">
        <f t="shared" si="225"/>
        <v>0</v>
      </c>
      <c r="S316" s="2">
        <f t="shared" si="226"/>
        <v>0</v>
      </c>
      <c r="T316" s="2">
        <f t="shared" si="227"/>
        <v>0</v>
      </c>
      <c r="U316" s="2">
        <f t="shared" si="228"/>
        <v>0</v>
      </c>
      <c r="V316" s="2">
        <f t="shared" si="229"/>
        <v>0</v>
      </c>
      <c r="W316" s="2">
        <f t="shared" si="230"/>
        <v>0</v>
      </c>
      <c r="X316" s="2">
        <f t="shared" si="231"/>
        <v>0</v>
      </c>
      <c r="Y316" s="2">
        <f t="shared" si="232"/>
        <v>0</v>
      </c>
      <c r="Z316" s="2"/>
      <c r="AA316" s="2">
        <v>56622523</v>
      </c>
      <c r="AB316" s="2">
        <f t="shared" si="233"/>
        <v>4057.549</v>
      </c>
      <c r="AC316" s="2">
        <f t="shared" si="234"/>
        <v>3093.52</v>
      </c>
      <c r="AD316" s="2">
        <f>ROUND(((((ET316*1.1))-((EU316*1.1)))+AE316),6)</f>
        <v>120.21899999999999</v>
      </c>
      <c r="AE316" s="2">
        <f t="shared" si="257"/>
        <v>11.363</v>
      </c>
      <c r="AF316" s="2">
        <f t="shared" si="257"/>
        <v>843.81</v>
      </c>
      <c r="AG316" s="2">
        <f t="shared" si="237"/>
        <v>0</v>
      </c>
      <c r="AH316" s="2">
        <f t="shared" si="258"/>
        <v>76.78</v>
      </c>
      <c r="AI316" s="2">
        <f t="shared" si="258"/>
        <v>0</v>
      </c>
      <c r="AJ316" s="2">
        <f t="shared" si="239"/>
        <v>0</v>
      </c>
      <c r="AK316" s="2">
        <v>3969.91</v>
      </c>
      <c r="AL316" s="2">
        <v>3093.52</v>
      </c>
      <c r="AM316" s="2">
        <v>109.29</v>
      </c>
      <c r="AN316" s="2">
        <v>10.33</v>
      </c>
      <c r="AO316" s="2">
        <v>767.1</v>
      </c>
      <c r="AP316" s="2">
        <v>0</v>
      </c>
      <c r="AQ316" s="2">
        <v>69.8</v>
      </c>
      <c r="AR316" s="2">
        <v>0</v>
      </c>
      <c r="AS316" s="2">
        <v>0</v>
      </c>
      <c r="AT316" s="2">
        <v>161</v>
      </c>
      <c r="AU316" s="2">
        <v>107</v>
      </c>
      <c r="AV316" s="2">
        <v>1.0469999999999999</v>
      </c>
      <c r="AW316" s="2">
        <v>1.03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0</v>
      </c>
      <c r="BI316" s="2">
        <v>1</v>
      </c>
      <c r="BJ316" s="2" t="s">
        <v>392</v>
      </c>
      <c r="BK316" s="2"/>
      <c r="BL316" s="2"/>
      <c r="BM316" s="2">
        <v>148</v>
      </c>
      <c r="BN316" s="2">
        <v>0</v>
      </c>
      <c r="BO316" s="2" t="s">
        <v>3</v>
      </c>
      <c r="BP316" s="2">
        <v>0</v>
      </c>
      <c r="BQ316" s="2">
        <v>30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161</v>
      </c>
      <c r="CA316" s="2">
        <v>107</v>
      </c>
      <c r="CB316" s="2" t="s">
        <v>3</v>
      </c>
      <c r="CC316" s="2"/>
      <c r="CD316" s="2"/>
      <c r="CE316" s="2">
        <v>30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689</v>
      </c>
      <c r="CO316" s="2">
        <v>0</v>
      </c>
      <c r="CP316" s="2">
        <f t="shared" si="240"/>
        <v>0</v>
      </c>
      <c r="CQ316" s="2">
        <f t="shared" si="241"/>
        <v>3186.33</v>
      </c>
      <c r="CR316" s="2">
        <f>(ROUND((ROUND((((ET316*1.1))*AV316*1),2)*BB316),2)+ROUND((ROUND(((AE316-((EU316*1.1)))*AV316*1),2)*BS316),2))</f>
        <v>125.87</v>
      </c>
      <c r="CS316" s="2">
        <f t="shared" si="243"/>
        <v>11.9</v>
      </c>
      <c r="CT316" s="2">
        <f t="shared" si="244"/>
        <v>883.47</v>
      </c>
      <c r="CU316" s="2">
        <f t="shared" si="245"/>
        <v>0</v>
      </c>
      <c r="CV316" s="2">
        <f t="shared" si="246"/>
        <v>80.388660000000002</v>
      </c>
      <c r="CW316" s="2">
        <f t="shared" si="247"/>
        <v>0</v>
      </c>
      <c r="CX316" s="2">
        <f t="shared" si="248"/>
        <v>0</v>
      </c>
      <c r="CY316" s="2">
        <f>((S316*BZ316)/100)</f>
        <v>0</v>
      </c>
      <c r="CZ316" s="2">
        <f>((S316*CA316)/100)</f>
        <v>0</v>
      </c>
      <c r="DA316" s="2"/>
      <c r="DB316" s="2"/>
      <c r="DC316" s="2" t="s">
        <v>3</v>
      </c>
      <c r="DD316" s="2" t="s">
        <v>3</v>
      </c>
      <c r="DE316" s="2" t="s">
        <v>22</v>
      </c>
      <c r="DF316" s="2" t="s">
        <v>22</v>
      </c>
      <c r="DG316" s="2" t="s">
        <v>22</v>
      </c>
      <c r="DH316" s="2" t="s">
        <v>3</v>
      </c>
      <c r="DI316" s="2" t="s">
        <v>22</v>
      </c>
      <c r="DJ316" s="2" t="s">
        <v>22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1013</v>
      </c>
      <c r="DV316" s="2" t="s">
        <v>391</v>
      </c>
      <c r="DW316" s="2" t="s">
        <v>391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51696187</v>
      </c>
      <c r="EF316" s="2">
        <v>30</v>
      </c>
      <c r="EG316" s="2" t="s">
        <v>23</v>
      </c>
      <c r="EH316" s="2">
        <v>0</v>
      </c>
      <c r="EI316" s="2" t="s">
        <v>3</v>
      </c>
      <c r="EJ316" s="2">
        <v>1</v>
      </c>
      <c r="EK316" s="2">
        <v>148</v>
      </c>
      <c r="EL316" s="2" t="s">
        <v>393</v>
      </c>
      <c r="EM316" s="2" t="s">
        <v>394</v>
      </c>
      <c r="EN316" s="2"/>
      <c r="EO316" s="2" t="s">
        <v>26</v>
      </c>
      <c r="EP316" s="2"/>
      <c r="EQ316" s="2">
        <v>131072</v>
      </c>
      <c r="ER316" s="2">
        <v>3969.91</v>
      </c>
      <c r="ES316" s="2">
        <v>3093.52</v>
      </c>
      <c r="ET316" s="2">
        <v>109.29</v>
      </c>
      <c r="EU316" s="2">
        <v>10.33</v>
      </c>
      <c r="EV316" s="2">
        <v>767.1</v>
      </c>
      <c r="EW316" s="2">
        <v>69.8</v>
      </c>
      <c r="EX316" s="2">
        <v>0</v>
      </c>
      <c r="EY316" s="2">
        <v>0</v>
      </c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161</v>
      </c>
      <c r="FY316" s="2">
        <v>107</v>
      </c>
      <c r="FZ316" s="2"/>
      <c r="GA316" s="2" t="s">
        <v>3</v>
      </c>
      <c r="GB316" s="2"/>
      <c r="GC316" s="2"/>
      <c r="GD316" s="2">
        <v>0</v>
      </c>
      <c r="GE316" s="2"/>
      <c r="GF316" s="2">
        <v>1981713923</v>
      </c>
      <c r="GG316" s="2">
        <v>2</v>
      </c>
      <c r="GH316" s="2">
        <v>1</v>
      </c>
      <c r="GI316" s="2">
        <v>-2</v>
      </c>
      <c r="GJ316" s="2">
        <v>0</v>
      </c>
      <c r="GK316" s="2">
        <f>ROUND(R316*(R12)/100,2)</f>
        <v>0</v>
      </c>
      <c r="GL316" s="2">
        <f t="shared" si="249"/>
        <v>0</v>
      </c>
      <c r="GM316" s="2">
        <f t="shared" si="250"/>
        <v>0</v>
      </c>
      <c r="GN316" s="2">
        <f t="shared" si="251"/>
        <v>0</v>
      </c>
      <c r="GO316" s="2">
        <f t="shared" si="252"/>
        <v>0</v>
      </c>
      <c r="GP316" s="2">
        <f t="shared" si="253"/>
        <v>0</v>
      </c>
      <c r="GQ316" s="2"/>
      <c r="GR316" s="2">
        <v>0</v>
      </c>
      <c r="GS316" s="2">
        <v>0</v>
      </c>
      <c r="GT316" s="2">
        <v>0</v>
      </c>
      <c r="GU316" s="2" t="s">
        <v>3</v>
      </c>
      <c r="GV316" s="2">
        <f t="shared" si="254"/>
        <v>0</v>
      </c>
      <c r="GW316" s="2">
        <v>1</v>
      </c>
      <c r="GX316" s="2">
        <f t="shared" si="255"/>
        <v>0</v>
      </c>
      <c r="GY316" s="2"/>
      <c r="GZ316" s="2"/>
      <c r="HA316" s="2">
        <v>0</v>
      </c>
      <c r="HB316" s="2">
        <v>0</v>
      </c>
      <c r="HC316" s="2">
        <f t="shared" si="256"/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">
      <c r="A317">
        <v>17</v>
      </c>
      <c r="B317">
        <v>1</v>
      </c>
      <c r="D317">
        <f>ROW(EtalonRes!A510)</f>
        <v>510</v>
      </c>
      <c r="E317" t="s">
        <v>388</v>
      </c>
      <c r="F317" t="s">
        <v>389</v>
      </c>
      <c r="G317" t="s">
        <v>390</v>
      </c>
      <c r="H317" t="s">
        <v>391</v>
      </c>
      <c r="I317">
        <v>0</v>
      </c>
      <c r="J317">
        <v>0</v>
      </c>
      <c r="K317">
        <v>0</v>
      </c>
      <c r="O317">
        <f t="shared" si="222"/>
        <v>0</v>
      </c>
      <c r="P317">
        <f t="shared" si="223"/>
        <v>0</v>
      </c>
      <c r="Q317">
        <f>(ROUND((ROUND((((ET317*1.1))*AV317*I317),2)*BB317),2)+ROUND((ROUND(((AE317-((EU317*1.1)))*AV317*I317),2)*BS317),2))</f>
        <v>0</v>
      </c>
      <c r="R317">
        <f t="shared" si="225"/>
        <v>0</v>
      </c>
      <c r="S317">
        <f t="shared" si="226"/>
        <v>0</v>
      </c>
      <c r="T317">
        <f t="shared" si="227"/>
        <v>0</v>
      </c>
      <c r="U317">
        <f t="shared" si="228"/>
        <v>0</v>
      </c>
      <c r="V317">
        <f t="shared" si="229"/>
        <v>0</v>
      </c>
      <c r="W317">
        <f t="shared" si="230"/>
        <v>0</v>
      </c>
      <c r="X317">
        <f t="shared" si="231"/>
        <v>0</v>
      </c>
      <c r="Y317">
        <f t="shared" si="232"/>
        <v>0</v>
      </c>
      <c r="AA317">
        <v>56611490</v>
      </c>
      <c r="AB317">
        <f t="shared" si="233"/>
        <v>4057.549</v>
      </c>
      <c r="AC317">
        <f t="shared" si="234"/>
        <v>3093.52</v>
      </c>
      <c r="AD317">
        <f>ROUND(((((ET317*1.1))-((EU317*1.1)))+AE317),6)</f>
        <v>120.21899999999999</v>
      </c>
      <c r="AE317">
        <f t="shared" si="257"/>
        <v>11.363</v>
      </c>
      <c r="AF317">
        <f t="shared" si="257"/>
        <v>843.81</v>
      </c>
      <c r="AG317">
        <f t="shared" si="237"/>
        <v>0</v>
      </c>
      <c r="AH317">
        <f t="shared" si="258"/>
        <v>76.78</v>
      </c>
      <c r="AI317">
        <f t="shared" si="258"/>
        <v>0</v>
      </c>
      <c r="AJ317">
        <f t="shared" si="239"/>
        <v>0</v>
      </c>
      <c r="AK317">
        <v>3969.91</v>
      </c>
      <c r="AL317">
        <v>3093.52</v>
      </c>
      <c r="AM317">
        <v>109.29</v>
      </c>
      <c r="AN317">
        <v>10.33</v>
      </c>
      <c r="AO317">
        <v>767.1</v>
      </c>
      <c r="AP317">
        <v>0</v>
      </c>
      <c r="AQ317">
        <v>69.8</v>
      </c>
      <c r="AR317">
        <v>0</v>
      </c>
      <c r="AS317">
        <v>0</v>
      </c>
      <c r="AT317">
        <v>134</v>
      </c>
      <c r="AU317">
        <v>55</v>
      </c>
      <c r="AV317">
        <v>1.0469999999999999</v>
      </c>
      <c r="AW317">
        <v>1.03</v>
      </c>
      <c r="AZ317">
        <v>1</v>
      </c>
      <c r="BA317">
        <v>34.51</v>
      </c>
      <c r="BB317">
        <v>11.46</v>
      </c>
      <c r="BC317">
        <v>8.0500000000000007</v>
      </c>
      <c r="BD317" t="s">
        <v>3</v>
      </c>
      <c r="BE317" t="s">
        <v>3</v>
      </c>
      <c r="BF317" t="s">
        <v>3</v>
      </c>
      <c r="BG317" t="s">
        <v>3</v>
      </c>
      <c r="BH317">
        <v>0</v>
      </c>
      <c r="BI317">
        <v>1</v>
      </c>
      <c r="BJ317" t="s">
        <v>392</v>
      </c>
      <c r="BM317">
        <v>148</v>
      </c>
      <c r="BN317">
        <v>0</v>
      </c>
      <c r="BO317" t="s">
        <v>389</v>
      </c>
      <c r="BP317">
        <v>1</v>
      </c>
      <c r="BQ317">
        <v>30</v>
      </c>
      <c r="BR317">
        <v>0</v>
      </c>
      <c r="BS317">
        <v>34.51</v>
      </c>
      <c r="BT317">
        <v>1</v>
      </c>
      <c r="BU317">
        <v>1</v>
      </c>
      <c r="BV317">
        <v>1</v>
      </c>
      <c r="BW317">
        <v>1</v>
      </c>
      <c r="BX317">
        <v>1</v>
      </c>
      <c r="BY317" t="s">
        <v>3</v>
      </c>
      <c r="BZ317">
        <v>134</v>
      </c>
      <c r="CA317">
        <v>55</v>
      </c>
      <c r="CB317" t="s">
        <v>3</v>
      </c>
      <c r="CE317">
        <v>30</v>
      </c>
      <c r="CF317">
        <v>0</v>
      </c>
      <c r="CG317">
        <v>0</v>
      </c>
      <c r="CM317">
        <v>0</v>
      </c>
      <c r="CN317" t="s">
        <v>689</v>
      </c>
      <c r="CO317">
        <v>0</v>
      </c>
      <c r="CP317">
        <f t="shared" si="240"/>
        <v>0</v>
      </c>
      <c r="CQ317">
        <f t="shared" si="241"/>
        <v>25649.96</v>
      </c>
      <c r="CR317">
        <f>(ROUND((ROUND((((ET317*1.1))*AV317*1),2)*BB317),2)+ROUND((ROUND(((AE317-((EU317*1.1)))*AV317*1),2)*BS317),2))</f>
        <v>1442.47</v>
      </c>
      <c r="CS317">
        <f t="shared" si="243"/>
        <v>410.67</v>
      </c>
      <c r="CT317">
        <f t="shared" si="244"/>
        <v>30488.55</v>
      </c>
      <c r="CU317">
        <f t="shared" si="245"/>
        <v>0</v>
      </c>
      <c r="CV317">
        <f t="shared" si="246"/>
        <v>80.388660000000002</v>
      </c>
      <c r="CW317">
        <f t="shared" si="247"/>
        <v>0</v>
      </c>
      <c r="CX317">
        <f t="shared" si="248"/>
        <v>0</v>
      </c>
      <c r="CY317">
        <f>S317*(BZ317/100)</f>
        <v>0</v>
      </c>
      <c r="CZ317">
        <f>S317*(CA317/100)</f>
        <v>0</v>
      </c>
      <c r="DC317" t="s">
        <v>3</v>
      </c>
      <c r="DD317" t="s">
        <v>3</v>
      </c>
      <c r="DE317" t="s">
        <v>22</v>
      </c>
      <c r="DF317" t="s">
        <v>22</v>
      </c>
      <c r="DG317" t="s">
        <v>22</v>
      </c>
      <c r="DH317" t="s">
        <v>3</v>
      </c>
      <c r="DI317" t="s">
        <v>22</v>
      </c>
      <c r="DJ317" t="s">
        <v>22</v>
      </c>
      <c r="DK317" t="s">
        <v>3</v>
      </c>
      <c r="DL317" t="s">
        <v>3</v>
      </c>
      <c r="DM317" t="s">
        <v>3</v>
      </c>
      <c r="DN317">
        <v>161</v>
      </c>
      <c r="DO317">
        <v>107</v>
      </c>
      <c r="DP317">
        <v>1.0469999999999999</v>
      </c>
      <c r="DQ317">
        <v>1.03</v>
      </c>
      <c r="DU317">
        <v>1013</v>
      </c>
      <c r="DV317" t="s">
        <v>391</v>
      </c>
      <c r="DW317" t="s">
        <v>391</v>
      </c>
      <c r="DX317">
        <v>1</v>
      </c>
      <c r="DZ317" t="s">
        <v>3</v>
      </c>
      <c r="EA317" t="s">
        <v>3</v>
      </c>
      <c r="EB317" t="s">
        <v>3</v>
      </c>
      <c r="EC317" t="s">
        <v>3</v>
      </c>
      <c r="EE317">
        <v>51696187</v>
      </c>
      <c r="EF317">
        <v>30</v>
      </c>
      <c r="EG317" t="s">
        <v>23</v>
      </c>
      <c r="EH317">
        <v>0</v>
      </c>
      <c r="EI317" t="s">
        <v>3</v>
      </c>
      <c r="EJ317">
        <v>1</v>
      </c>
      <c r="EK317">
        <v>148</v>
      </c>
      <c r="EL317" t="s">
        <v>393</v>
      </c>
      <c r="EM317" t="s">
        <v>394</v>
      </c>
      <c r="EO317" t="s">
        <v>26</v>
      </c>
      <c r="EQ317">
        <v>131072</v>
      </c>
      <c r="ER317">
        <v>3969.91</v>
      </c>
      <c r="ES317">
        <v>3093.52</v>
      </c>
      <c r="ET317">
        <v>109.29</v>
      </c>
      <c r="EU317">
        <v>10.33</v>
      </c>
      <c r="EV317">
        <v>767.1</v>
      </c>
      <c r="EW317">
        <v>69.8</v>
      </c>
      <c r="EX317">
        <v>0</v>
      </c>
      <c r="EY317">
        <v>0</v>
      </c>
      <c r="FQ317">
        <v>0</v>
      </c>
      <c r="FR317">
        <v>0</v>
      </c>
      <c r="FS317">
        <v>0</v>
      </c>
      <c r="FX317">
        <v>161</v>
      </c>
      <c r="FY317">
        <v>107</v>
      </c>
      <c r="GA317" t="s">
        <v>3</v>
      </c>
      <c r="GD317">
        <v>0</v>
      </c>
      <c r="GF317">
        <v>1981713923</v>
      </c>
      <c r="GG317">
        <v>2</v>
      </c>
      <c r="GH317">
        <v>1</v>
      </c>
      <c r="GI317">
        <v>2</v>
      </c>
      <c r="GJ317">
        <v>0</v>
      </c>
      <c r="GK317">
        <f>ROUND(R317*(S12)/100,2)</f>
        <v>0</v>
      </c>
      <c r="GL317">
        <f t="shared" si="249"/>
        <v>0</v>
      </c>
      <c r="GM317">
        <f t="shared" si="250"/>
        <v>0</v>
      </c>
      <c r="GN317">
        <f t="shared" si="251"/>
        <v>0</v>
      </c>
      <c r="GO317">
        <f t="shared" si="252"/>
        <v>0</v>
      </c>
      <c r="GP317">
        <f t="shared" si="253"/>
        <v>0</v>
      </c>
      <c r="GR317">
        <v>0</v>
      </c>
      <c r="GS317">
        <v>3</v>
      </c>
      <c r="GT317">
        <v>0</v>
      </c>
      <c r="GU317" t="s">
        <v>3</v>
      </c>
      <c r="GV317">
        <f t="shared" si="254"/>
        <v>0</v>
      </c>
      <c r="GW317">
        <v>1</v>
      </c>
      <c r="GX317">
        <f t="shared" si="255"/>
        <v>0</v>
      </c>
      <c r="HA317">
        <v>0</v>
      </c>
      <c r="HB317">
        <v>0</v>
      </c>
      <c r="HC317">
        <f t="shared" si="256"/>
        <v>0</v>
      </c>
      <c r="HE317" t="s">
        <v>3</v>
      </c>
      <c r="HF317" t="s">
        <v>3</v>
      </c>
      <c r="HM317" t="s">
        <v>3</v>
      </c>
      <c r="HN317" t="s">
        <v>3</v>
      </c>
      <c r="HO317" t="s">
        <v>3</v>
      </c>
      <c r="HP317" t="s">
        <v>3</v>
      </c>
      <c r="HQ317" t="s">
        <v>3</v>
      </c>
      <c r="HS317">
        <v>0</v>
      </c>
      <c r="IK317">
        <v>0</v>
      </c>
    </row>
    <row r="319" spans="1:255" x14ac:dyDescent="0.2">
      <c r="A319" s="3">
        <v>51</v>
      </c>
      <c r="B319" s="3">
        <f>B288</f>
        <v>1</v>
      </c>
      <c r="C319" s="3">
        <f>A288</f>
        <v>5</v>
      </c>
      <c r="D319" s="3">
        <f>ROW(A288)</f>
        <v>288</v>
      </c>
      <c r="E319" s="3"/>
      <c r="F319" s="3" t="str">
        <f>IF(F288&lt;&gt;"",F288,"")</f>
        <v>Новый подраздел</v>
      </c>
      <c r="G319" s="3" t="str">
        <f>IF(G288&lt;&gt;"",G288,"")</f>
        <v>Тротуар</v>
      </c>
      <c r="H319" s="3">
        <v>0</v>
      </c>
      <c r="I319" s="3"/>
      <c r="J319" s="3"/>
      <c r="K319" s="3"/>
      <c r="L319" s="3"/>
      <c r="M319" s="3"/>
      <c r="N319" s="3"/>
      <c r="O319" s="3">
        <f t="shared" ref="O319:T319" si="259">ROUND(AB319,2)</f>
        <v>0</v>
      </c>
      <c r="P319" s="3">
        <f t="shared" si="259"/>
        <v>0</v>
      </c>
      <c r="Q319" s="3">
        <f t="shared" si="259"/>
        <v>0</v>
      </c>
      <c r="R319" s="3">
        <f t="shared" si="259"/>
        <v>0</v>
      </c>
      <c r="S319" s="3">
        <f t="shared" si="259"/>
        <v>0</v>
      </c>
      <c r="T319" s="3">
        <f t="shared" si="259"/>
        <v>0</v>
      </c>
      <c r="U319" s="3">
        <f>AH319</f>
        <v>0</v>
      </c>
      <c r="V319" s="3">
        <f>AI319</f>
        <v>0</v>
      </c>
      <c r="W319" s="3">
        <f>ROUND(AJ319,2)</f>
        <v>0</v>
      </c>
      <c r="X319" s="3">
        <f>ROUND(AK319,2)</f>
        <v>0</v>
      </c>
      <c r="Y319" s="3">
        <f>ROUND(AL319,2)</f>
        <v>0</v>
      </c>
      <c r="Z319" s="3"/>
      <c r="AA319" s="3"/>
      <c r="AB319" s="3">
        <f>ROUND(SUMIF(AA292:AA317,"=56622523",O292:O317),2)</f>
        <v>0</v>
      </c>
      <c r="AC319" s="3">
        <f>ROUND(SUMIF(AA292:AA317,"=56622523",P292:P317),2)</f>
        <v>0</v>
      </c>
      <c r="AD319" s="3">
        <f>ROUND(SUMIF(AA292:AA317,"=56622523",Q292:Q317),2)</f>
        <v>0</v>
      </c>
      <c r="AE319" s="3">
        <f>ROUND(SUMIF(AA292:AA317,"=56622523",R292:R317),2)</f>
        <v>0</v>
      </c>
      <c r="AF319" s="3">
        <f>ROUND(SUMIF(AA292:AA317,"=56622523",S292:S317),2)</f>
        <v>0</v>
      </c>
      <c r="AG319" s="3">
        <f>ROUND(SUMIF(AA292:AA317,"=56622523",T292:T317),2)</f>
        <v>0</v>
      </c>
      <c r="AH319" s="3">
        <f>SUMIF(AA292:AA317,"=56622523",U292:U317)</f>
        <v>0</v>
      </c>
      <c r="AI319" s="3">
        <f>SUMIF(AA292:AA317,"=56622523",V292:V317)</f>
        <v>0</v>
      </c>
      <c r="AJ319" s="3">
        <f>ROUND(SUMIF(AA292:AA317,"=56622523",W292:W317),2)</f>
        <v>0</v>
      </c>
      <c r="AK319" s="3">
        <f>ROUND(SUMIF(AA292:AA317,"=56622523",X292:X317),2)</f>
        <v>0</v>
      </c>
      <c r="AL319" s="3">
        <f>ROUND(SUMIF(AA292:AA317,"=56622523",Y292:Y317),2)</f>
        <v>0</v>
      </c>
      <c r="AM319" s="3"/>
      <c r="AN319" s="3"/>
      <c r="AO319" s="3">
        <f t="shared" ref="AO319:BD319" si="260">ROUND(BX319,2)</f>
        <v>0</v>
      </c>
      <c r="AP319" s="3">
        <f t="shared" si="260"/>
        <v>0</v>
      </c>
      <c r="AQ319" s="3">
        <f t="shared" si="260"/>
        <v>0</v>
      </c>
      <c r="AR319" s="3">
        <f t="shared" si="260"/>
        <v>0</v>
      </c>
      <c r="AS319" s="3">
        <f t="shared" si="260"/>
        <v>0</v>
      </c>
      <c r="AT319" s="3">
        <f t="shared" si="260"/>
        <v>0</v>
      </c>
      <c r="AU319" s="3">
        <f t="shared" si="260"/>
        <v>0</v>
      </c>
      <c r="AV319" s="3">
        <f t="shared" si="260"/>
        <v>0</v>
      </c>
      <c r="AW319" s="3">
        <f t="shared" si="260"/>
        <v>0</v>
      </c>
      <c r="AX319" s="3">
        <f t="shared" si="260"/>
        <v>0</v>
      </c>
      <c r="AY319" s="3">
        <f t="shared" si="260"/>
        <v>0</v>
      </c>
      <c r="AZ319" s="3">
        <f t="shared" si="260"/>
        <v>0</v>
      </c>
      <c r="BA319" s="3">
        <f t="shared" si="260"/>
        <v>0</v>
      </c>
      <c r="BB319" s="3">
        <f t="shared" si="260"/>
        <v>0</v>
      </c>
      <c r="BC319" s="3">
        <f t="shared" si="260"/>
        <v>0</v>
      </c>
      <c r="BD319" s="3">
        <f t="shared" si="260"/>
        <v>0</v>
      </c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>
        <f>ROUND(SUMIF(AA292:AA317,"=56622523",FQ292:FQ317),2)</f>
        <v>0</v>
      </c>
      <c r="BY319" s="3">
        <f>ROUND(SUMIF(AA292:AA317,"=56622523",FR292:FR317),2)</f>
        <v>0</v>
      </c>
      <c r="BZ319" s="3">
        <f>ROUND(SUMIF(AA292:AA317,"=56622523",GL292:GL317),2)</f>
        <v>0</v>
      </c>
      <c r="CA319" s="3">
        <f>ROUND(SUMIF(AA292:AA317,"=56622523",GM292:GM317),2)</f>
        <v>0</v>
      </c>
      <c r="CB319" s="3">
        <f>ROUND(SUMIF(AA292:AA317,"=56622523",GN292:GN317),2)</f>
        <v>0</v>
      </c>
      <c r="CC319" s="3">
        <f>ROUND(SUMIF(AA292:AA317,"=56622523",GO292:GO317),2)</f>
        <v>0</v>
      </c>
      <c r="CD319" s="3">
        <f>ROUND(SUMIF(AA292:AA317,"=56622523",GP292:GP317),2)</f>
        <v>0</v>
      </c>
      <c r="CE319" s="3">
        <f>AC319-BX319</f>
        <v>0</v>
      </c>
      <c r="CF319" s="3">
        <f>AC319-BY319</f>
        <v>0</v>
      </c>
      <c r="CG319" s="3">
        <f>BX319-BZ319</f>
        <v>0</v>
      </c>
      <c r="CH319" s="3">
        <f>AC319-BX319-BY319+BZ319</f>
        <v>0</v>
      </c>
      <c r="CI319" s="3">
        <f>BY319-BZ319</f>
        <v>0</v>
      </c>
      <c r="CJ319" s="3">
        <f>ROUND(SUMIF(AA292:AA317,"=56622523",GX292:GX317),2)</f>
        <v>0</v>
      </c>
      <c r="CK319" s="3">
        <f>ROUND(SUMIF(AA292:AA317,"=56622523",GY292:GY317),2)</f>
        <v>0</v>
      </c>
      <c r="CL319" s="3">
        <f>ROUND(SUMIF(AA292:AA317,"=56622523",GZ292:GZ317),2)</f>
        <v>0</v>
      </c>
      <c r="CM319" s="3">
        <f>ROUND(SUMIF(AA292:AA317,"=56622523",HD292:HD317),2)</f>
        <v>0</v>
      </c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4">
        <f t="shared" ref="DG319:DL319" si="261">ROUND(DT319,2)</f>
        <v>0</v>
      </c>
      <c r="DH319" s="4">
        <f t="shared" si="261"/>
        <v>0</v>
      </c>
      <c r="DI319" s="4">
        <f t="shared" si="261"/>
        <v>0</v>
      </c>
      <c r="DJ319" s="4">
        <f t="shared" si="261"/>
        <v>0</v>
      </c>
      <c r="DK319" s="4">
        <f t="shared" si="261"/>
        <v>0</v>
      </c>
      <c r="DL319" s="4">
        <f t="shared" si="261"/>
        <v>0</v>
      </c>
      <c r="DM319" s="4">
        <f>DZ319</f>
        <v>0</v>
      </c>
      <c r="DN319" s="4">
        <f>EA319</f>
        <v>0</v>
      </c>
      <c r="DO319" s="4">
        <f>ROUND(EB319,2)</f>
        <v>0</v>
      </c>
      <c r="DP319" s="4">
        <f>ROUND(EC319,2)</f>
        <v>0</v>
      </c>
      <c r="DQ319" s="4">
        <f>ROUND(ED319,2)</f>
        <v>0</v>
      </c>
      <c r="DR319" s="4"/>
      <c r="DS319" s="4"/>
      <c r="DT319" s="4">
        <f>ROUND(SUMIF(AA292:AA317,"=56611490",O292:O317),2)</f>
        <v>0</v>
      </c>
      <c r="DU319" s="4">
        <f>ROUND(SUMIF(AA292:AA317,"=56611490",P292:P317),2)</f>
        <v>0</v>
      </c>
      <c r="DV319" s="4">
        <f>ROUND(SUMIF(AA292:AA317,"=56611490",Q292:Q317),2)</f>
        <v>0</v>
      </c>
      <c r="DW319" s="4">
        <f>ROUND(SUMIF(AA292:AA317,"=56611490",R292:R317),2)</f>
        <v>0</v>
      </c>
      <c r="DX319" s="4">
        <f>ROUND(SUMIF(AA292:AA317,"=56611490",S292:S317),2)</f>
        <v>0</v>
      </c>
      <c r="DY319" s="4">
        <f>ROUND(SUMIF(AA292:AA317,"=56611490",T292:T317),2)</f>
        <v>0</v>
      </c>
      <c r="DZ319" s="4">
        <f>SUMIF(AA292:AA317,"=56611490",U292:U317)</f>
        <v>0</v>
      </c>
      <c r="EA319" s="4">
        <f>SUMIF(AA292:AA317,"=56611490",V292:V317)</f>
        <v>0</v>
      </c>
      <c r="EB319" s="4">
        <f>ROUND(SUMIF(AA292:AA317,"=56611490",W292:W317),2)</f>
        <v>0</v>
      </c>
      <c r="EC319" s="4">
        <f>ROUND(SUMIF(AA292:AA317,"=56611490",X292:X317),2)</f>
        <v>0</v>
      </c>
      <c r="ED319" s="4">
        <f>ROUND(SUMIF(AA292:AA317,"=56611490",Y292:Y317),2)</f>
        <v>0</v>
      </c>
      <c r="EE319" s="4"/>
      <c r="EF319" s="4"/>
      <c r="EG319" s="4">
        <f t="shared" ref="EG319:EV319" si="262">ROUND(FP319,2)</f>
        <v>0</v>
      </c>
      <c r="EH319" s="4">
        <f t="shared" si="262"/>
        <v>0</v>
      </c>
      <c r="EI319" s="4">
        <f t="shared" si="262"/>
        <v>0</v>
      </c>
      <c r="EJ319" s="4">
        <f t="shared" si="262"/>
        <v>0</v>
      </c>
      <c r="EK319" s="4">
        <f t="shared" si="262"/>
        <v>0</v>
      </c>
      <c r="EL319" s="4">
        <f t="shared" si="262"/>
        <v>0</v>
      </c>
      <c r="EM319" s="4">
        <f t="shared" si="262"/>
        <v>0</v>
      </c>
      <c r="EN319" s="4">
        <f t="shared" si="262"/>
        <v>0</v>
      </c>
      <c r="EO319" s="4">
        <f t="shared" si="262"/>
        <v>0</v>
      </c>
      <c r="EP319" s="4">
        <f t="shared" si="262"/>
        <v>0</v>
      </c>
      <c r="EQ319" s="4">
        <f t="shared" si="262"/>
        <v>0</v>
      </c>
      <c r="ER319" s="4">
        <f t="shared" si="262"/>
        <v>0</v>
      </c>
      <c r="ES319" s="4">
        <f t="shared" si="262"/>
        <v>0</v>
      </c>
      <c r="ET319" s="4">
        <f t="shared" si="262"/>
        <v>0</v>
      </c>
      <c r="EU319" s="4">
        <f t="shared" si="262"/>
        <v>0</v>
      </c>
      <c r="EV319" s="4">
        <f t="shared" si="262"/>
        <v>0</v>
      </c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>
        <f>ROUND(SUMIF(AA292:AA317,"=56611490",FQ292:FQ317),2)</f>
        <v>0</v>
      </c>
      <c r="FQ319" s="4">
        <f>ROUND(SUMIF(AA292:AA317,"=56611490",FR292:FR317),2)</f>
        <v>0</v>
      </c>
      <c r="FR319" s="4">
        <f>ROUND(SUMIF(AA292:AA317,"=56611490",GL292:GL317),2)</f>
        <v>0</v>
      </c>
      <c r="FS319" s="4">
        <f>ROUND(SUMIF(AA292:AA317,"=56611490",GM292:GM317),2)</f>
        <v>0</v>
      </c>
      <c r="FT319" s="4">
        <f>ROUND(SUMIF(AA292:AA317,"=56611490",GN292:GN317),2)</f>
        <v>0</v>
      </c>
      <c r="FU319" s="4">
        <f>ROUND(SUMIF(AA292:AA317,"=56611490",GO292:GO317),2)</f>
        <v>0</v>
      </c>
      <c r="FV319" s="4">
        <f>ROUND(SUMIF(AA292:AA317,"=56611490",GP292:GP317),2)</f>
        <v>0</v>
      </c>
      <c r="FW319" s="4">
        <f>DU319-FP319</f>
        <v>0</v>
      </c>
      <c r="FX319" s="4">
        <f>DU319-FQ319</f>
        <v>0</v>
      </c>
      <c r="FY319" s="4">
        <f>FP319-FR319</f>
        <v>0</v>
      </c>
      <c r="FZ319" s="4">
        <f>DU319-FP319-FQ319+FR319</f>
        <v>0</v>
      </c>
      <c r="GA319" s="4">
        <f>FQ319-FR319</f>
        <v>0</v>
      </c>
      <c r="GB319" s="4">
        <f>ROUND(SUMIF(AA292:AA317,"=56611490",GX292:GX317),2)</f>
        <v>0</v>
      </c>
      <c r="GC319" s="4">
        <f>ROUND(SUMIF(AA292:AA317,"=56611490",GY292:GY317),2)</f>
        <v>0</v>
      </c>
      <c r="GD319" s="4">
        <f>ROUND(SUMIF(AA292:AA317,"=56611490",GZ292:GZ317),2)</f>
        <v>0</v>
      </c>
      <c r="GE319" s="4">
        <f>ROUND(SUMIF(AA292:AA317,"=56611490",HD292:HD317),2)</f>
        <v>0</v>
      </c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>
        <v>0</v>
      </c>
    </row>
    <row r="321" spans="1:28" x14ac:dyDescent="0.2">
      <c r="A321" s="5">
        <v>50</v>
      </c>
      <c r="B321" s="5">
        <v>0</v>
      </c>
      <c r="C321" s="5">
        <v>0</v>
      </c>
      <c r="D321" s="5">
        <v>1</v>
      </c>
      <c r="E321" s="5">
        <v>201</v>
      </c>
      <c r="F321" s="5">
        <f>ROUND(Source!O319,O321)</f>
        <v>0</v>
      </c>
      <c r="G321" s="5" t="s">
        <v>106</v>
      </c>
      <c r="H321" s="5" t="s">
        <v>107</v>
      </c>
      <c r="I321" s="5"/>
      <c r="J321" s="5"/>
      <c r="K321" s="5">
        <v>201</v>
      </c>
      <c r="L321" s="5">
        <v>1</v>
      </c>
      <c r="M321" s="5">
        <v>3</v>
      </c>
      <c r="N321" s="5" t="s">
        <v>3</v>
      </c>
      <c r="O321" s="5">
        <v>2</v>
      </c>
      <c r="P321" s="5">
        <f>ROUND(Source!DG319,O321)</f>
        <v>0</v>
      </c>
      <c r="Q321" s="5"/>
      <c r="R321" s="5"/>
      <c r="S321" s="5"/>
      <c r="T321" s="5"/>
      <c r="U321" s="5"/>
      <c r="V321" s="5"/>
      <c r="W321" s="5">
        <v>0</v>
      </c>
      <c r="X321" s="5">
        <v>1</v>
      </c>
      <c r="Y321" s="5">
        <v>0</v>
      </c>
      <c r="Z321" s="5">
        <v>0</v>
      </c>
      <c r="AA321" s="5">
        <v>1</v>
      </c>
      <c r="AB321" s="5">
        <v>0</v>
      </c>
    </row>
    <row r="322" spans="1:28" x14ac:dyDescent="0.2">
      <c r="A322" s="5">
        <v>50</v>
      </c>
      <c r="B322" s="5">
        <v>0</v>
      </c>
      <c r="C322" s="5">
        <v>0</v>
      </c>
      <c r="D322" s="5">
        <v>1</v>
      </c>
      <c r="E322" s="5">
        <v>202</v>
      </c>
      <c r="F322" s="5">
        <f>ROUND(Source!P319,O322)</f>
        <v>0</v>
      </c>
      <c r="G322" s="5" t="s">
        <v>108</v>
      </c>
      <c r="H322" s="5" t="s">
        <v>109</v>
      </c>
      <c r="I322" s="5"/>
      <c r="J322" s="5"/>
      <c r="K322" s="5">
        <v>202</v>
      </c>
      <c r="L322" s="5">
        <v>2</v>
      </c>
      <c r="M322" s="5">
        <v>3</v>
      </c>
      <c r="N322" s="5" t="s">
        <v>3</v>
      </c>
      <c r="O322" s="5">
        <v>2</v>
      </c>
      <c r="P322" s="5">
        <f>ROUND(Source!DH319,O322)</f>
        <v>0</v>
      </c>
      <c r="Q322" s="5"/>
      <c r="R322" s="5"/>
      <c r="S322" s="5"/>
      <c r="T322" s="5"/>
      <c r="U322" s="5"/>
      <c r="V322" s="5"/>
      <c r="W322" s="5">
        <v>0</v>
      </c>
      <c r="X322" s="5">
        <v>1</v>
      </c>
      <c r="Y322" s="5">
        <v>0</v>
      </c>
      <c r="Z322" s="5">
        <v>0</v>
      </c>
      <c r="AA322" s="5">
        <v>1</v>
      </c>
      <c r="AB322" s="5">
        <v>0</v>
      </c>
    </row>
    <row r="323" spans="1:28" x14ac:dyDescent="0.2">
      <c r="A323" s="5">
        <v>50</v>
      </c>
      <c r="B323" s="5">
        <v>0</v>
      </c>
      <c r="C323" s="5">
        <v>0</v>
      </c>
      <c r="D323" s="5">
        <v>1</v>
      </c>
      <c r="E323" s="5">
        <v>222</v>
      </c>
      <c r="F323" s="5">
        <f>ROUND(Source!AO319,O323)</f>
        <v>0</v>
      </c>
      <c r="G323" s="5" t="s">
        <v>110</v>
      </c>
      <c r="H323" s="5" t="s">
        <v>111</v>
      </c>
      <c r="I323" s="5"/>
      <c r="J323" s="5"/>
      <c r="K323" s="5">
        <v>222</v>
      </c>
      <c r="L323" s="5">
        <v>3</v>
      </c>
      <c r="M323" s="5">
        <v>3</v>
      </c>
      <c r="N323" s="5" t="s">
        <v>3</v>
      </c>
      <c r="O323" s="5">
        <v>2</v>
      </c>
      <c r="P323" s="5">
        <f>ROUND(Source!EG319,O323)</f>
        <v>0</v>
      </c>
      <c r="Q323" s="5"/>
      <c r="R323" s="5"/>
      <c r="S323" s="5"/>
      <c r="T323" s="5"/>
      <c r="U323" s="5"/>
      <c r="V323" s="5"/>
      <c r="W323" s="5">
        <v>0</v>
      </c>
      <c r="X323" s="5">
        <v>1</v>
      </c>
      <c r="Y323" s="5">
        <v>0</v>
      </c>
      <c r="Z323" s="5">
        <v>0</v>
      </c>
      <c r="AA323" s="5">
        <v>1</v>
      </c>
      <c r="AB323" s="5">
        <v>0</v>
      </c>
    </row>
    <row r="324" spans="1:28" x14ac:dyDescent="0.2">
      <c r="A324" s="5">
        <v>50</v>
      </c>
      <c r="B324" s="5">
        <v>0</v>
      </c>
      <c r="C324" s="5">
        <v>0</v>
      </c>
      <c r="D324" s="5">
        <v>1</v>
      </c>
      <c r="E324" s="5">
        <v>225</v>
      </c>
      <c r="F324" s="5">
        <f>ROUND(Source!AV319,O324)</f>
        <v>0</v>
      </c>
      <c r="G324" s="5" t="s">
        <v>112</v>
      </c>
      <c r="H324" s="5" t="s">
        <v>113</v>
      </c>
      <c r="I324" s="5"/>
      <c r="J324" s="5"/>
      <c r="K324" s="5">
        <v>225</v>
      </c>
      <c r="L324" s="5">
        <v>4</v>
      </c>
      <c r="M324" s="5">
        <v>3</v>
      </c>
      <c r="N324" s="5" t="s">
        <v>3</v>
      </c>
      <c r="O324" s="5">
        <v>2</v>
      </c>
      <c r="P324" s="5">
        <f>ROUND(Source!EN319,O324)</f>
        <v>0</v>
      </c>
      <c r="Q324" s="5"/>
      <c r="R324" s="5"/>
      <c r="S324" s="5"/>
      <c r="T324" s="5"/>
      <c r="U324" s="5"/>
      <c r="V324" s="5"/>
      <c r="W324" s="5">
        <v>0</v>
      </c>
      <c r="X324" s="5">
        <v>1</v>
      </c>
      <c r="Y324" s="5">
        <v>0</v>
      </c>
      <c r="Z324" s="5">
        <v>0</v>
      </c>
      <c r="AA324" s="5">
        <v>1</v>
      </c>
      <c r="AB324" s="5">
        <v>0</v>
      </c>
    </row>
    <row r="325" spans="1:28" x14ac:dyDescent="0.2">
      <c r="A325" s="5">
        <v>50</v>
      </c>
      <c r="B325" s="5">
        <v>0</v>
      </c>
      <c r="C325" s="5">
        <v>0</v>
      </c>
      <c r="D325" s="5">
        <v>1</v>
      </c>
      <c r="E325" s="5">
        <v>226</v>
      </c>
      <c r="F325" s="5">
        <f>ROUND(Source!AW319,O325)</f>
        <v>0</v>
      </c>
      <c r="G325" s="5" t="s">
        <v>114</v>
      </c>
      <c r="H325" s="5" t="s">
        <v>115</v>
      </c>
      <c r="I325" s="5"/>
      <c r="J325" s="5"/>
      <c r="K325" s="5">
        <v>226</v>
      </c>
      <c r="L325" s="5">
        <v>5</v>
      </c>
      <c r="M325" s="5">
        <v>3</v>
      </c>
      <c r="N325" s="5" t="s">
        <v>3</v>
      </c>
      <c r="O325" s="5">
        <v>2</v>
      </c>
      <c r="P325" s="5">
        <f>ROUND(Source!EO319,O325)</f>
        <v>0</v>
      </c>
      <c r="Q325" s="5"/>
      <c r="R325" s="5"/>
      <c r="S325" s="5"/>
      <c r="T325" s="5"/>
      <c r="U325" s="5"/>
      <c r="V325" s="5"/>
      <c r="W325" s="5">
        <v>0</v>
      </c>
      <c r="X325" s="5">
        <v>1</v>
      </c>
      <c r="Y325" s="5">
        <v>0</v>
      </c>
      <c r="Z325" s="5">
        <v>0</v>
      </c>
      <c r="AA325" s="5">
        <v>1</v>
      </c>
      <c r="AB325" s="5">
        <v>0</v>
      </c>
    </row>
    <row r="326" spans="1:28" x14ac:dyDescent="0.2">
      <c r="A326" s="5">
        <v>50</v>
      </c>
      <c r="B326" s="5">
        <v>0</v>
      </c>
      <c r="C326" s="5">
        <v>0</v>
      </c>
      <c r="D326" s="5">
        <v>1</v>
      </c>
      <c r="E326" s="5">
        <v>227</v>
      </c>
      <c r="F326" s="5">
        <f>ROUND(Source!AX319,O326)</f>
        <v>0</v>
      </c>
      <c r="G326" s="5" t="s">
        <v>116</v>
      </c>
      <c r="H326" s="5" t="s">
        <v>117</v>
      </c>
      <c r="I326" s="5"/>
      <c r="J326" s="5"/>
      <c r="K326" s="5">
        <v>227</v>
      </c>
      <c r="L326" s="5">
        <v>6</v>
      </c>
      <c r="M326" s="5">
        <v>3</v>
      </c>
      <c r="N326" s="5" t="s">
        <v>3</v>
      </c>
      <c r="O326" s="5">
        <v>2</v>
      </c>
      <c r="P326" s="5">
        <f>ROUND(Source!EP319,O326)</f>
        <v>0</v>
      </c>
      <c r="Q326" s="5"/>
      <c r="R326" s="5"/>
      <c r="S326" s="5"/>
      <c r="T326" s="5"/>
      <c r="U326" s="5"/>
      <c r="V326" s="5"/>
      <c r="W326" s="5">
        <v>0</v>
      </c>
      <c r="X326" s="5">
        <v>1</v>
      </c>
      <c r="Y326" s="5">
        <v>0</v>
      </c>
      <c r="Z326" s="5">
        <v>0</v>
      </c>
      <c r="AA326" s="5">
        <v>1</v>
      </c>
      <c r="AB326" s="5">
        <v>0</v>
      </c>
    </row>
    <row r="327" spans="1:28" x14ac:dyDescent="0.2">
      <c r="A327" s="5">
        <v>50</v>
      </c>
      <c r="B327" s="5">
        <v>0</v>
      </c>
      <c r="C327" s="5">
        <v>0</v>
      </c>
      <c r="D327" s="5">
        <v>1</v>
      </c>
      <c r="E327" s="5">
        <v>228</v>
      </c>
      <c r="F327" s="5">
        <f>ROUND(Source!AY319,O327)</f>
        <v>0</v>
      </c>
      <c r="G327" s="5" t="s">
        <v>118</v>
      </c>
      <c r="H327" s="5" t="s">
        <v>119</v>
      </c>
      <c r="I327" s="5"/>
      <c r="J327" s="5"/>
      <c r="K327" s="5">
        <v>228</v>
      </c>
      <c r="L327" s="5">
        <v>7</v>
      </c>
      <c r="M327" s="5">
        <v>3</v>
      </c>
      <c r="N327" s="5" t="s">
        <v>3</v>
      </c>
      <c r="O327" s="5">
        <v>2</v>
      </c>
      <c r="P327" s="5">
        <f>ROUND(Source!EQ319,O327)</f>
        <v>0</v>
      </c>
      <c r="Q327" s="5"/>
      <c r="R327" s="5"/>
      <c r="S327" s="5"/>
      <c r="T327" s="5"/>
      <c r="U327" s="5"/>
      <c r="V327" s="5"/>
      <c r="W327" s="5">
        <v>0</v>
      </c>
      <c r="X327" s="5">
        <v>1</v>
      </c>
      <c r="Y327" s="5">
        <v>0</v>
      </c>
      <c r="Z327" s="5">
        <v>0</v>
      </c>
      <c r="AA327" s="5">
        <v>1</v>
      </c>
      <c r="AB327" s="5">
        <v>0</v>
      </c>
    </row>
    <row r="328" spans="1:28" x14ac:dyDescent="0.2">
      <c r="A328" s="5">
        <v>50</v>
      </c>
      <c r="B328" s="5">
        <v>0</v>
      </c>
      <c r="C328" s="5">
        <v>0</v>
      </c>
      <c r="D328" s="5">
        <v>1</v>
      </c>
      <c r="E328" s="5">
        <v>216</v>
      </c>
      <c r="F328" s="5">
        <f>ROUND(Source!AP319,O328)</f>
        <v>0</v>
      </c>
      <c r="G328" s="5" t="s">
        <v>120</v>
      </c>
      <c r="H328" s="5" t="s">
        <v>121</v>
      </c>
      <c r="I328" s="5"/>
      <c r="J328" s="5"/>
      <c r="K328" s="5">
        <v>216</v>
      </c>
      <c r="L328" s="5">
        <v>8</v>
      </c>
      <c r="M328" s="5">
        <v>3</v>
      </c>
      <c r="N328" s="5" t="s">
        <v>3</v>
      </c>
      <c r="O328" s="5">
        <v>2</v>
      </c>
      <c r="P328" s="5">
        <f>ROUND(Source!EH319,O328)</f>
        <v>0</v>
      </c>
      <c r="Q328" s="5"/>
      <c r="R328" s="5"/>
      <c r="S328" s="5"/>
      <c r="T328" s="5"/>
      <c r="U328" s="5"/>
      <c r="V328" s="5"/>
      <c r="W328" s="5">
        <v>0</v>
      </c>
      <c r="X328" s="5">
        <v>1</v>
      </c>
      <c r="Y328" s="5">
        <v>0</v>
      </c>
      <c r="Z328" s="5">
        <v>0</v>
      </c>
      <c r="AA328" s="5">
        <v>1</v>
      </c>
      <c r="AB328" s="5">
        <v>0</v>
      </c>
    </row>
    <row r="329" spans="1:28" x14ac:dyDescent="0.2">
      <c r="A329" s="5">
        <v>50</v>
      </c>
      <c r="B329" s="5">
        <v>0</v>
      </c>
      <c r="C329" s="5">
        <v>0</v>
      </c>
      <c r="D329" s="5">
        <v>1</v>
      </c>
      <c r="E329" s="5">
        <v>223</v>
      </c>
      <c r="F329" s="5">
        <f>ROUND(Source!AQ319,O329)</f>
        <v>0</v>
      </c>
      <c r="G329" s="5" t="s">
        <v>122</v>
      </c>
      <c r="H329" s="5" t="s">
        <v>123</v>
      </c>
      <c r="I329" s="5"/>
      <c r="J329" s="5"/>
      <c r="K329" s="5">
        <v>223</v>
      </c>
      <c r="L329" s="5">
        <v>9</v>
      </c>
      <c r="M329" s="5">
        <v>3</v>
      </c>
      <c r="N329" s="5" t="s">
        <v>3</v>
      </c>
      <c r="O329" s="5">
        <v>2</v>
      </c>
      <c r="P329" s="5">
        <f>ROUND(Source!EI319,O329)</f>
        <v>0</v>
      </c>
      <c r="Q329" s="5"/>
      <c r="R329" s="5"/>
      <c r="S329" s="5"/>
      <c r="T329" s="5"/>
      <c r="U329" s="5"/>
      <c r="V329" s="5"/>
      <c r="W329" s="5">
        <v>0</v>
      </c>
      <c r="X329" s="5">
        <v>1</v>
      </c>
      <c r="Y329" s="5">
        <v>0</v>
      </c>
      <c r="Z329" s="5">
        <v>0</v>
      </c>
      <c r="AA329" s="5">
        <v>1</v>
      </c>
      <c r="AB329" s="5">
        <v>0</v>
      </c>
    </row>
    <row r="330" spans="1:28" x14ac:dyDescent="0.2">
      <c r="A330" s="5">
        <v>50</v>
      </c>
      <c r="B330" s="5">
        <v>0</v>
      </c>
      <c r="C330" s="5">
        <v>0</v>
      </c>
      <c r="D330" s="5">
        <v>1</v>
      </c>
      <c r="E330" s="5">
        <v>229</v>
      </c>
      <c r="F330" s="5">
        <f>ROUND(Source!AZ319,O330)</f>
        <v>0</v>
      </c>
      <c r="G330" s="5" t="s">
        <v>124</v>
      </c>
      <c r="H330" s="5" t="s">
        <v>125</v>
      </c>
      <c r="I330" s="5"/>
      <c r="J330" s="5"/>
      <c r="K330" s="5">
        <v>229</v>
      </c>
      <c r="L330" s="5">
        <v>10</v>
      </c>
      <c r="M330" s="5">
        <v>3</v>
      </c>
      <c r="N330" s="5" t="s">
        <v>3</v>
      </c>
      <c r="O330" s="5">
        <v>2</v>
      </c>
      <c r="P330" s="5">
        <f>ROUND(Source!ER319,O330)</f>
        <v>0</v>
      </c>
      <c r="Q330" s="5"/>
      <c r="R330" s="5"/>
      <c r="S330" s="5"/>
      <c r="T330" s="5"/>
      <c r="U330" s="5"/>
      <c r="V330" s="5"/>
      <c r="W330" s="5">
        <v>0</v>
      </c>
      <c r="X330" s="5">
        <v>1</v>
      </c>
      <c r="Y330" s="5">
        <v>0</v>
      </c>
      <c r="Z330" s="5">
        <v>0</v>
      </c>
      <c r="AA330" s="5">
        <v>1</v>
      </c>
      <c r="AB330" s="5">
        <v>0</v>
      </c>
    </row>
    <row r="331" spans="1:28" x14ac:dyDescent="0.2">
      <c r="A331" s="5">
        <v>50</v>
      </c>
      <c r="B331" s="5">
        <v>0</v>
      </c>
      <c r="C331" s="5">
        <v>0</v>
      </c>
      <c r="D331" s="5">
        <v>1</v>
      </c>
      <c r="E331" s="5">
        <v>203</v>
      </c>
      <c r="F331" s="5">
        <f>ROUND(Source!Q319,O331)</f>
        <v>0</v>
      </c>
      <c r="G331" s="5" t="s">
        <v>126</v>
      </c>
      <c r="H331" s="5" t="s">
        <v>127</v>
      </c>
      <c r="I331" s="5"/>
      <c r="J331" s="5"/>
      <c r="K331" s="5">
        <v>203</v>
      </c>
      <c r="L331" s="5">
        <v>11</v>
      </c>
      <c r="M331" s="5">
        <v>3</v>
      </c>
      <c r="N331" s="5" t="s">
        <v>3</v>
      </c>
      <c r="O331" s="5">
        <v>2</v>
      </c>
      <c r="P331" s="5">
        <f>ROUND(Source!DI319,O331)</f>
        <v>0</v>
      </c>
      <c r="Q331" s="5"/>
      <c r="R331" s="5"/>
      <c r="S331" s="5"/>
      <c r="T331" s="5"/>
      <c r="U331" s="5"/>
      <c r="V331" s="5"/>
      <c r="W331" s="5">
        <v>0</v>
      </c>
      <c r="X331" s="5">
        <v>1</v>
      </c>
      <c r="Y331" s="5">
        <v>0</v>
      </c>
      <c r="Z331" s="5">
        <v>0</v>
      </c>
      <c r="AA331" s="5">
        <v>1</v>
      </c>
      <c r="AB331" s="5">
        <v>0</v>
      </c>
    </row>
    <row r="332" spans="1:28" x14ac:dyDescent="0.2">
      <c r="A332" s="5">
        <v>50</v>
      </c>
      <c r="B332" s="5">
        <v>0</v>
      </c>
      <c r="C332" s="5">
        <v>0</v>
      </c>
      <c r="D332" s="5">
        <v>1</v>
      </c>
      <c r="E332" s="5">
        <v>231</v>
      </c>
      <c r="F332" s="5">
        <f>ROUND(Source!BB319,O332)</f>
        <v>0</v>
      </c>
      <c r="G332" s="5" t="s">
        <v>128</v>
      </c>
      <c r="H332" s="5" t="s">
        <v>129</v>
      </c>
      <c r="I332" s="5"/>
      <c r="J332" s="5"/>
      <c r="K332" s="5">
        <v>231</v>
      </c>
      <c r="L332" s="5">
        <v>12</v>
      </c>
      <c r="M332" s="5">
        <v>3</v>
      </c>
      <c r="N332" s="5" t="s">
        <v>3</v>
      </c>
      <c r="O332" s="5">
        <v>2</v>
      </c>
      <c r="P332" s="5">
        <f>ROUND(Source!ET319,O332)</f>
        <v>0</v>
      </c>
      <c r="Q332" s="5"/>
      <c r="R332" s="5"/>
      <c r="S332" s="5"/>
      <c r="T332" s="5"/>
      <c r="U332" s="5"/>
      <c r="V332" s="5"/>
      <c r="W332" s="5">
        <v>0</v>
      </c>
      <c r="X332" s="5">
        <v>1</v>
      </c>
      <c r="Y332" s="5">
        <v>0</v>
      </c>
      <c r="Z332" s="5">
        <v>0</v>
      </c>
      <c r="AA332" s="5">
        <v>1</v>
      </c>
      <c r="AB332" s="5">
        <v>0</v>
      </c>
    </row>
    <row r="333" spans="1:28" x14ac:dyDescent="0.2">
      <c r="A333" s="5">
        <v>50</v>
      </c>
      <c r="B333" s="5">
        <v>0</v>
      </c>
      <c r="C333" s="5">
        <v>0</v>
      </c>
      <c r="D333" s="5">
        <v>1</v>
      </c>
      <c r="E333" s="5">
        <v>204</v>
      </c>
      <c r="F333" s="5">
        <f>ROUND(Source!R319,O333)</f>
        <v>0</v>
      </c>
      <c r="G333" s="5" t="s">
        <v>130</v>
      </c>
      <c r="H333" s="5" t="s">
        <v>131</v>
      </c>
      <c r="I333" s="5"/>
      <c r="J333" s="5"/>
      <c r="K333" s="5">
        <v>204</v>
      </c>
      <c r="L333" s="5">
        <v>13</v>
      </c>
      <c r="M333" s="5">
        <v>3</v>
      </c>
      <c r="N333" s="5" t="s">
        <v>3</v>
      </c>
      <c r="O333" s="5">
        <v>2</v>
      </c>
      <c r="P333" s="5">
        <f>ROUND(Source!DJ319,O333)</f>
        <v>0</v>
      </c>
      <c r="Q333" s="5"/>
      <c r="R333" s="5"/>
      <c r="S333" s="5"/>
      <c r="T333" s="5"/>
      <c r="U333" s="5"/>
      <c r="V333" s="5"/>
      <c r="W333" s="5">
        <v>0</v>
      </c>
      <c r="X333" s="5">
        <v>1</v>
      </c>
      <c r="Y333" s="5">
        <v>0</v>
      </c>
      <c r="Z333" s="5">
        <v>0</v>
      </c>
      <c r="AA333" s="5">
        <v>1</v>
      </c>
      <c r="AB333" s="5">
        <v>0</v>
      </c>
    </row>
    <row r="334" spans="1:28" x14ac:dyDescent="0.2">
      <c r="A334" s="5">
        <v>50</v>
      </c>
      <c r="B334" s="5">
        <v>0</v>
      </c>
      <c r="C334" s="5">
        <v>0</v>
      </c>
      <c r="D334" s="5">
        <v>1</v>
      </c>
      <c r="E334" s="5">
        <v>205</v>
      </c>
      <c r="F334" s="5">
        <f>ROUND(Source!S319,O334)</f>
        <v>0</v>
      </c>
      <c r="G334" s="5" t="s">
        <v>132</v>
      </c>
      <c r="H334" s="5" t="s">
        <v>133</v>
      </c>
      <c r="I334" s="5"/>
      <c r="J334" s="5"/>
      <c r="K334" s="5">
        <v>205</v>
      </c>
      <c r="L334" s="5">
        <v>14</v>
      </c>
      <c r="M334" s="5">
        <v>3</v>
      </c>
      <c r="N334" s="5" t="s">
        <v>3</v>
      </c>
      <c r="O334" s="5">
        <v>2</v>
      </c>
      <c r="P334" s="5">
        <f>ROUND(Source!DK319,O334)</f>
        <v>0</v>
      </c>
      <c r="Q334" s="5"/>
      <c r="R334" s="5"/>
      <c r="S334" s="5"/>
      <c r="T334" s="5"/>
      <c r="U334" s="5"/>
      <c r="V334" s="5"/>
      <c r="W334" s="5">
        <v>0</v>
      </c>
      <c r="X334" s="5">
        <v>1</v>
      </c>
      <c r="Y334" s="5">
        <v>0</v>
      </c>
      <c r="Z334" s="5">
        <v>0</v>
      </c>
      <c r="AA334" s="5">
        <v>1</v>
      </c>
      <c r="AB334" s="5">
        <v>0</v>
      </c>
    </row>
    <row r="335" spans="1:28" x14ac:dyDescent="0.2">
      <c r="A335" s="5">
        <v>50</v>
      </c>
      <c r="B335" s="5">
        <v>0</v>
      </c>
      <c r="C335" s="5">
        <v>0</v>
      </c>
      <c r="D335" s="5">
        <v>1</v>
      </c>
      <c r="E335" s="5">
        <v>232</v>
      </c>
      <c r="F335" s="5">
        <f>ROUND(Source!BC319,O335)</f>
        <v>0</v>
      </c>
      <c r="G335" s="5" t="s">
        <v>134</v>
      </c>
      <c r="H335" s="5" t="s">
        <v>135</v>
      </c>
      <c r="I335" s="5"/>
      <c r="J335" s="5"/>
      <c r="K335" s="5">
        <v>232</v>
      </c>
      <c r="L335" s="5">
        <v>15</v>
      </c>
      <c r="M335" s="5">
        <v>3</v>
      </c>
      <c r="N335" s="5" t="s">
        <v>3</v>
      </c>
      <c r="O335" s="5">
        <v>2</v>
      </c>
      <c r="P335" s="5">
        <f>ROUND(Source!EU319,O335)</f>
        <v>0</v>
      </c>
      <c r="Q335" s="5"/>
      <c r="R335" s="5"/>
      <c r="S335" s="5"/>
      <c r="T335" s="5"/>
      <c r="U335" s="5"/>
      <c r="V335" s="5"/>
      <c r="W335" s="5">
        <v>0</v>
      </c>
      <c r="X335" s="5">
        <v>1</v>
      </c>
      <c r="Y335" s="5">
        <v>0</v>
      </c>
      <c r="Z335" s="5">
        <v>0</v>
      </c>
      <c r="AA335" s="5">
        <v>1</v>
      </c>
      <c r="AB335" s="5">
        <v>0</v>
      </c>
    </row>
    <row r="336" spans="1:28" x14ac:dyDescent="0.2">
      <c r="A336" s="5">
        <v>50</v>
      </c>
      <c r="B336" s="5">
        <v>0</v>
      </c>
      <c r="C336" s="5">
        <v>0</v>
      </c>
      <c r="D336" s="5">
        <v>1</v>
      </c>
      <c r="E336" s="5">
        <v>214</v>
      </c>
      <c r="F336" s="5">
        <f>ROUND(Source!AS319,O336)</f>
        <v>0</v>
      </c>
      <c r="G336" s="5" t="s">
        <v>136</v>
      </c>
      <c r="H336" s="5" t="s">
        <v>137</v>
      </c>
      <c r="I336" s="5"/>
      <c r="J336" s="5"/>
      <c r="K336" s="5">
        <v>214</v>
      </c>
      <c r="L336" s="5">
        <v>16</v>
      </c>
      <c r="M336" s="5">
        <v>3</v>
      </c>
      <c r="N336" s="5" t="s">
        <v>3</v>
      </c>
      <c r="O336" s="5">
        <v>2</v>
      </c>
      <c r="P336" s="5">
        <f>ROUND(Source!EK319,O336)</f>
        <v>0</v>
      </c>
      <c r="Q336" s="5"/>
      <c r="R336" s="5"/>
      <c r="S336" s="5"/>
      <c r="T336" s="5"/>
      <c r="U336" s="5"/>
      <c r="V336" s="5"/>
      <c r="W336" s="5">
        <v>0</v>
      </c>
      <c r="X336" s="5">
        <v>1</v>
      </c>
      <c r="Y336" s="5">
        <v>0</v>
      </c>
      <c r="Z336" s="5">
        <v>0</v>
      </c>
      <c r="AA336" s="5">
        <v>1</v>
      </c>
      <c r="AB336" s="5">
        <v>0</v>
      </c>
    </row>
    <row r="337" spans="1:206" x14ac:dyDescent="0.2">
      <c r="A337" s="5">
        <v>50</v>
      </c>
      <c r="B337" s="5">
        <v>0</v>
      </c>
      <c r="C337" s="5">
        <v>0</v>
      </c>
      <c r="D337" s="5">
        <v>1</v>
      </c>
      <c r="E337" s="5">
        <v>215</v>
      </c>
      <c r="F337" s="5">
        <f>ROUND(Source!AT319,O337)</f>
        <v>0</v>
      </c>
      <c r="G337" s="5" t="s">
        <v>138</v>
      </c>
      <c r="H337" s="5" t="s">
        <v>139</v>
      </c>
      <c r="I337" s="5"/>
      <c r="J337" s="5"/>
      <c r="K337" s="5">
        <v>215</v>
      </c>
      <c r="L337" s="5">
        <v>17</v>
      </c>
      <c r="M337" s="5">
        <v>3</v>
      </c>
      <c r="N337" s="5" t="s">
        <v>3</v>
      </c>
      <c r="O337" s="5">
        <v>2</v>
      </c>
      <c r="P337" s="5">
        <f>ROUND(Source!EL319,O337)</f>
        <v>0</v>
      </c>
      <c r="Q337" s="5"/>
      <c r="R337" s="5"/>
      <c r="S337" s="5"/>
      <c r="T337" s="5"/>
      <c r="U337" s="5"/>
      <c r="V337" s="5"/>
      <c r="W337" s="5">
        <v>0</v>
      </c>
      <c r="X337" s="5">
        <v>1</v>
      </c>
      <c r="Y337" s="5">
        <v>0</v>
      </c>
      <c r="Z337" s="5">
        <v>0</v>
      </c>
      <c r="AA337" s="5">
        <v>1</v>
      </c>
      <c r="AB337" s="5">
        <v>0</v>
      </c>
    </row>
    <row r="338" spans="1:206" x14ac:dyDescent="0.2">
      <c r="A338" s="5">
        <v>50</v>
      </c>
      <c r="B338" s="5">
        <v>0</v>
      </c>
      <c r="C338" s="5">
        <v>0</v>
      </c>
      <c r="D338" s="5">
        <v>1</v>
      </c>
      <c r="E338" s="5">
        <v>217</v>
      </c>
      <c r="F338" s="5">
        <f>ROUND(Source!AU319,O338)</f>
        <v>0</v>
      </c>
      <c r="G338" s="5" t="s">
        <v>140</v>
      </c>
      <c r="H338" s="5" t="s">
        <v>141</v>
      </c>
      <c r="I338" s="5"/>
      <c r="J338" s="5"/>
      <c r="K338" s="5">
        <v>217</v>
      </c>
      <c r="L338" s="5">
        <v>18</v>
      </c>
      <c r="M338" s="5">
        <v>3</v>
      </c>
      <c r="N338" s="5" t="s">
        <v>3</v>
      </c>
      <c r="O338" s="5">
        <v>2</v>
      </c>
      <c r="P338" s="5">
        <f>ROUND(Source!EM319,O338)</f>
        <v>0</v>
      </c>
      <c r="Q338" s="5"/>
      <c r="R338" s="5"/>
      <c r="S338" s="5"/>
      <c r="T338" s="5"/>
      <c r="U338" s="5"/>
      <c r="V338" s="5"/>
      <c r="W338" s="5">
        <v>0</v>
      </c>
      <c r="X338" s="5">
        <v>1</v>
      </c>
      <c r="Y338" s="5">
        <v>0</v>
      </c>
      <c r="Z338" s="5">
        <v>0</v>
      </c>
      <c r="AA338" s="5">
        <v>1</v>
      </c>
      <c r="AB338" s="5">
        <v>0</v>
      </c>
    </row>
    <row r="339" spans="1:206" x14ac:dyDescent="0.2">
      <c r="A339" s="5">
        <v>50</v>
      </c>
      <c r="B339" s="5">
        <v>0</v>
      </c>
      <c r="C339" s="5">
        <v>0</v>
      </c>
      <c r="D339" s="5">
        <v>1</v>
      </c>
      <c r="E339" s="5">
        <v>230</v>
      </c>
      <c r="F339" s="5">
        <f>ROUND(Source!BA319,O339)</f>
        <v>0</v>
      </c>
      <c r="G339" s="5" t="s">
        <v>142</v>
      </c>
      <c r="H339" s="5" t="s">
        <v>143</v>
      </c>
      <c r="I339" s="5"/>
      <c r="J339" s="5"/>
      <c r="K339" s="5">
        <v>230</v>
      </c>
      <c r="L339" s="5">
        <v>19</v>
      </c>
      <c r="M339" s="5">
        <v>3</v>
      </c>
      <c r="N339" s="5" t="s">
        <v>3</v>
      </c>
      <c r="O339" s="5">
        <v>2</v>
      </c>
      <c r="P339" s="5">
        <f>ROUND(Source!ES319,O339)</f>
        <v>0</v>
      </c>
      <c r="Q339" s="5"/>
      <c r="R339" s="5"/>
      <c r="S339" s="5"/>
      <c r="T339" s="5"/>
      <c r="U339" s="5"/>
      <c r="V339" s="5"/>
      <c r="W339" s="5">
        <v>0</v>
      </c>
      <c r="X339" s="5">
        <v>1</v>
      </c>
      <c r="Y339" s="5">
        <v>0</v>
      </c>
      <c r="Z339" s="5">
        <v>0</v>
      </c>
      <c r="AA339" s="5">
        <v>1</v>
      </c>
      <c r="AB339" s="5">
        <v>0</v>
      </c>
    </row>
    <row r="340" spans="1:206" x14ac:dyDescent="0.2">
      <c r="A340" s="5">
        <v>50</v>
      </c>
      <c r="B340" s="5">
        <v>0</v>
      </c>
      <c r="C340" s="5">
        <v>0</v>
      </c>
      <c r="D340" s="5">
        <v>1</v>
      </c>
      <c r="E340" s="5">
        <v>206</v>
      </c>
      <c r="F340" s="5">
        <f>ROUND(Source!T319,O340)</f>
        <v>0</v>
      </c>
      <c r="G340" s="5" t="s">
        <v>144</v>
      </c>
      <c r="H340" s="5" t="s">
        <v>145</v>
      </c>
      <c r="I340" s="5"/>
      <c r="J340" s="5"/>
      <c r="K340" s="5">
        <v>206</v>
      </c>
      <c r="L340" s="5">
        <v>20</v>
      </c>
      <c r="M340" s="5">
        <v>3</v>
      </c>
      <c r="N340" s="5" t="s">
        <v>3</v>
      </c>
      <c r="O340" s="5">
        <v>2</v>
      </c>
      <c r="P340" s="5">
        <f>ROUND(Source!DL319,O340)</f>
        <v>0</v>
      </c>
      <c r="Q340" s="5"/>
      <c r="R340" s="5"/>
      <c r="S340" s="5"/>
      <c r="T340" s="5"/>
      <c r="U340" s="5"/>
      <c r="V340" s="5"/>
      <c r="W340" s="5">
        <v>0</v>
      </c>
      <c r="X340" s="5">
        <v>1</v>
      </c>
      <c r="Y340" s="5">
        <v>0</v>
      </c>
      <c r="Z340" s="5">
        <v>0</v>
      </c>
      <c r="AA340" s="5">
        <v>1</v>
      </c>
      <c r="AB340" s="5">
        <v>0</v>
      </c>
    </row>
    <row r="341" spans="1:206" x14ac:dyDescent="0.2">
      <c r="A341" s="5">
        <v>50</v>
      </c>
      <c r="B341" s="5">
        <v>0</v>
      </c>
      <c r="C341" s="5">
        <v>0</v>
      </c>
      <c r="D341" s="5">
        <v>1</v>
      </c>
      <c r="E341" s="5">
        <v>207</v>
      </c>
      <c r="F341" s="5">
        <f>Source!U319</f>
        <v>0</v>
      </c>
      <c r="G341" s="5" t="s">
        <v>146</v>
      </c>
      <c r="H341" s="5" t="s">
        <v>147</v>
      </c>
      <c r="I341" s="5"/>
      <c r="J341" s="5"/>
      <c r="K341" s="5">
        <v>207</v>
      </c>
      <c r="L341" s="5">
        <v>21</v>
      </c>
      <c r="M341" s="5">
        <v>3</v>
      </c>
      <c r="N341" s="5" t="s">
        <v>3</v>
      </c>
      <c r="O341" s="5">
        <v>-1</v>
      </c>
      <c r="P341" s="5">
        <f>Source!DM319</f>
        <v>0</v>
      </c>
      <c r="Q341" s="5"/>
      <c r="R341" s="5"/>
      <c r="S341" s="5"/>
      <c r="T341" s="5"/>
      <c r="U341" s="5"/>
      <c r="V341" s="5"/>
      <c r="W341" s="5">
        <v>0</v>
      </c>
      <c r="X341" s="5">
        <v>1</v>
      </c>
      <c r="Y341" s="5">
        <v>0</v>
      </c>
      <c r="Z341" s="5">
        <v>0</v>
      </c>
      <c r="AA341" s="5">
        <v>1</v>
      </c>
      <c r="AB341" s="5">
        <v>0</v>
      </c>
    </row>
    <row r="342" spans="1:206" x14ac:dyDescent="0.2">
      <c r="A342" s="5">
        <v>50</v>
      </c>
      <c r="B342" s="5">
        <v>0</v>
      </c>
      <c r="C342" s="5">
        <v>0</v>
      </c>
      <c r="D342" s="5">
        <v>1</v>
      </c>
      <c r="E342" s="5">
        <v>208</v>
      </c>
      <c r="F342" s="5">
        <f>Source!V319</f>
        <v>0</v>
      </c>
      <c r="G342" s="5" t="s">
        <v>148</v>
      </c>
      <c r="H342" s="5" t="s">
        <v>149</v>
      </c>
      <c r="I342" s="5"/>
      <c r="J342" s="5"/>
      <c r="K342" s="5">
        <v>208</v>
      </c>
      <c r="L342" s="5">
        <v>22</v>
      </c>
      <c r="M342" s="5">
        <v>3</v>
      </c>
      <c r="N342" s="5" t="s">
        <v>3</v>
      </c>
      <c r="O342" s="5">
        <v>-1</v>
      </c>
      <c r="P342" s="5">
        <f>Source!DN319</f>
        <v>0</v>
      </c>
      <c r="Q342" s="5"/>
      <c r="R342" s="5"/>
      <c r="S342" s="5"/>
      <c r="T342" s="5"/>
      <c r="U342" s="5"/>
      <c r="V342" s="5"/>
      <c r="W342" s="5">
        <v>0</v>
      </c>
      <c r="X342" s="5">
        <v>1</v>
      </c>
      <c r="Y342" s="5">
        <v>0</v>
      </c>
      <c r="Z342" s="5">
        <v>0</v>
      </c>
      <c r="AA342" s="5">
        <v>1</v>
      </c>
      <c r="AB342" s="5">
        <v>0</v>
      </c>
    </row>
    <row r="343" spans="1:206" x14ac:dyDescent="0.2">
      <c r="A343" s="5">
        <v>50</v>
      </c>
      <c r="B343" s="5">
        <v>0</v>
      </c>
      <c r="C343" s="5">
        <v>0</v>
      </c>
      <c r="D343" s="5">
        <v>1</v>
      </c>
      <c r="E343" s="5">
        <v>209</v>
      </c>
      <c r="F343" s="5">
        <f>ROUND(Source!W319,O343)</f>
        <v>0</v>
      </c>
      <c r="G343" s="5" t="s">
        <v>150</v>
      </c>
      <c r="H343" s="5" t="s">
        <v>151</v>
      </c>
      <c r="I343" s="5"/>
      <c r="J343" s="5"/>
      <c r="K343" s="5">
        <v>209</v>
      </c>
      <c r="L343" s="5">
        <v>23</v>
      </c>
      <c r="M343" s="5">
        <v>3</v>
      </c>
      <c r="N343" s="5" t="s">
        <v>3</v>
      </c>
      <c r="O343" s="5">
        <v>2</v>
      </c>
      <c r="P343" s="5">
        <f>ROUND(Source!DO319,O343)</f>
        <v>0</v>
      </c>
      <c r="Q343" s="5"/>
      <c r="R343" s="5"/>
      <c r="S343" s="5"/>
      <c r="T343" s="5"/>
      <c r="U343" s="5"/>
      <c r="V343" s="5"/>
      <c r="W343" s="5">
        <v>0</v>
      </c>
      <c r="X343" s="5">
        <v>1</v>
      </c>
      <c r="Y343" s="5">
        <v>0</v>
      </c>
      <c r="Z343" s="5">
        <v>0</v>
      </c>
      <c r="AA343" s="5">
        <v>1</v>
      </c>
      <c r="AB343" s="5">
        <v>0</v>
      </c>
    </row>
    <row r="344" spans="1:206" x14ac:dyDescent="0.2">
      <c r="A344" s="5">
        <v>50</v>
      </c>
      <c r="B344" s="5">
        <v>0</v>
      </c>
      <c r="C344" s="5">
        <v>0</v>
      </c>
      <c r="D344" s="5">
        <v>1</v>
      </c>
      <c r="E344" s="5">
        <v>233</v>
      </c>
      <c r="F344" s="5">
        <f>ROUND(Source!BD319,O344)</f>
        <v>0</v>
      </c>
      <c r="G344" s="5" t="s">
        <v>152</v>
      </c>
      <c r="H344" s="5" t="s">
        <v>153</v>
      </c>
      <c r="I344" s="5"/>
      <c r="J344" s="5"/>
      <c r="K344" s="5">
        <v>233</v>
      </c>
      <c r="L344" s="5">
        <v>24</v>
      </c>
      <c r="M344" s="5">
        <v>3</v>
      </c>
      <c r="N344" s="5" t="s">
        <v>3</v>
      </c>
      <c r="O344" s="5">
        <v>2</v>
      </c>
      <c r="P344" s="5">
        <f>ROUND(Source!EV319,O344)</f>
        <v>0</v>
      </c>
      <c r="Q344" s="5"/>
      <c r="R344" s="5"/>
      <c r="S344" s="5"/>
      <c r="T344" s="5"/>
      <c r="U344" s="5"/>
      <c r="V344" s="5"/>
      <c r="W344" s="5">
        <v>0</v>
      </c>
      <c r="X344" s="5">
        <v>1</v>
      </c>
      <c r="Y344" s="5">
        <v>0</v>
      </c>
      <c r="Z344" s="5">
        <v>0</v>
      </c>
      <c r="AA344" s="5">
        <v>1</v>
      </c>
      <c r="AB344" s="5">
        <v>0</v>
      </c>
    </row>
    <row r="345" spans="1:206" x14ac:dyDescent="0.2">
      <c r="A345" s="5">
        <v>50</v>
      </c>
      <c r="B345" s="5">
        <v>0</v>
      </c>
      <c r="C345" s="5">
        <v>0</v>
      </c>
      <c r="D345" s="5">
        <v>1</v>
      </c>
      <c r="E345" s="5">
        <v>210</v>
      </c>
      <c r="F345" s="5">
        <f>ROUND(Source!X319,O345)</f>
        <v>0</v>
      </c>
      <c r="G345" s="5" t="s">
        <v>154</v>
      </c>
      <c r="H345" s="5" t="s">
        <v>155</v>
      </c>
      <c r="I345" s="5"/>
      <c r="J345" s="5"/>
      <c r="K345" s="5">
        <v>210</v>
      </c>
      <c r="L345" s="5">
        <v>25</v>
      </c>
      <c r="M345" s="5">
        <v>3</v>
      </c>
      <c r="N345" s="5" t="s">
        <v>3</v>
      </c>
      <c r="O345" s="5">
        <v>2</v>
      </c>
      <c r="P345" s="5">
        <f>ROUND(Source!DP319,O345)</f>
        <v>0</v>
      </c>
      <c r="Q345" s="5"/>
      <c r="R345" s="5"/>
      <c r="S345" s="5"/>
      <c r="T345" s="5"/>
      <c r="U345" s="5"/>
      <c r="V345" s="5"/>
      <c r="W345" s="5">
        <v>0</v>
      </c>
      <c r="X345" s="5">
        <v>1</v>
      </c>
      <c r="Y345" s="5">
        <v>0</v>
      </c>
      <c r="Z345" s="5">
        <v>0</v>
      </c>
      <c r="AA345" s="5">
        <v>1</v>
      </c>
      <c r="AB345" s="5">
        <v>0</v>
      </c>
    </row>
    <row r="346" spans="1:206" x14ac:dyDescent="0.2">
      <c r="A346" s="5">
        <v>50</v>
      </c>
      <c r="B346" s="5">
        <v>0</v>
      </c>
      <c r="C346" s="5">
        <v>0</v>
      </c>
      <c r="D346" s="5">
        <v>1</v>
      </c>
      <c r="E346" s="5">
        <v>211</v>
      </c>
      <c r="F346" s="5">
        <f>ROUND(Source!Y319,O346)</f>
        <v>0</v>
      </c>
      <c r="G346" s="5" t="s">
        <v>156</v>
      </c>
      <c r="H346" s="5" t="s">
        <v>157</v>
      </c>
      <c r="I346" s="5"/>
      <c r="J346" s="5"/>
      <c r="K346" s="5">
        <v>211</v>
      </c>
      <c r="L346" s="5">
        <v>26</v>
      </c>
      <c r="M346" s="5">
        <v>3</v>
      </c>
      <c r="N346" s="5" t="s">
        <v>3</v>
      </c>
      <c r="O346" s="5">
        <v>2</v>
      </c>
      <c r="P346" s="5">
        <f>ROUND(Source!DQ319,O346)</f>
        <v>0</v>
      </c>
      <c r="Q346" s="5"/>
      <c r="R346" s="5"/>
      <c r="S346" s="5"/>
      <c r="T346" s="5"/>
      <c r="U346" s="5"/>
      <c r="V346" s="5"/>
      <c r="W346" s="5">
        <v>0</v>
      </c>
      <c r="X346" s="5">
        <v>1</v>
      </c>
      <c r="Y346" s="5">
        <v>0</v>
      </c>
      <c r="Z346" s="5">
        <v>0</v>
      </c>
      <c r="AA346" s="5">
        <v>1</v>
      </c>
      <c r="AB346" s="5">
        <v>0</v>
      </c>
    </row>
    <row r="347" spans="1:206" x14ac:dyDescent="0.2">
      <c r="A347" s="5">
        <v>50</v>
      </c>
      <c r="B347" s="5">
        <v>0</v>
      </c>
      <c r="C347" s="5">
        <v>0</v>
      </c>
      <c r="D347" s="5">
        <v>1</v>
      </c>
      <c r="E347" s="5">
        <v>224</v>
      </c>
      <c r="F347" s="5">
        <f>ROUND(Source!AR319,O347)</f>
        <v>0</v>
      </c>
      <c r="G347" s="5" t="s">
        <v>158</v>
      </c>
      <c r="H347" s="5" t="s">
        <v>159</v>
      </c>
      <c r="I347" s="5"/>
      <c r="J347" s="5"/>
      <c r="K347" s="5">
        <v>224</v>
      </c>
      <c r="L347" s="5">
        <v>27</v>
      </c>
      <c r="M347" s="5">
        <v>3</v>
      </c>
      <c r="N347" s="5" t="s">
        <v>3</v>
      </c>
      <c r="O347" s="5">
        <v>2</v>
      </c>
      <c r="P347" s="5">
        <f>ROUND(Source!EJ319,O347)</f>
        <v>0</v>
      </c>
      <c r="Q347" s="5"/>
      <c r="R347" s="5"/>
      <c r="S347" s="5"/>
      <c r="T347" s="5"/>
      <c r="U347" s="5"/>
      <c r="V347" s="5"/>
      <c r="W347" s="5">
        <v>0</v>
      </c>
      <c r="X347" s="5">
        <v>1</v>
      </c>
      <c r="Y347" s="5">
        <v>0</v>
      </c>
      <c r="Z347" s="5">
        <v>0</v>
      </c>
      <c r="AA347" s="5">
        <v>1</v>
      </c>
      <c r="AB347" s="5">
        <v>0</v>
      </c>
    </row>
    <row r="349" spans="1:206" x14ac:dyDescent="0.2">
      <c r="A349" s="1">
        <v>5</v>
      </c>
      <c r="B349" s="1">
        <v>1</v>
      </c>
      <c r="C349" s="1"/>
      <c r="D349" s="1">
        <f>ROW(A380)</f>
        <v>380</v>
      </c>
      <c r="E349" s="1"/>
      <c r="F349" s="1" t="s">
        <v>245</v>
      </c>
      <c r="G349" s="1" t="s">
        <v>395</v>
      </c>
      <c r="H349" s="1" t="s">
        <v>3</v>
      </c>
      <c r="I349" s="1">
        <v>0</v>
      </c>
      <c r="J349" s="1"/>
      <c r="K349" s="1">
        <v>0</v>
      </c>
      <c r="L349" s="1"/>
      <c r="M349" s="1" t="s">
        <v>3</v>
      </c>
      <c r="N349" s="1"/>
      <c r="O349" s="1"/>
      <c r="P349" s="1"/>
      <c r="Q349" s="1"/>
      <c r="R349" s="1"/>
      <c r="S349" s="1">
        <v>0</v>
      </c>
      <c r="T349" s="1">
        <v>0</v>
      </c>
      <c r="U349" s="1" t="s">
        <v>3</v>
      </c>
      <c r="V349" s="1">
        <v>0</v>
      </c>
      <c r="W349" s="1"/>
      <c r="X349" s="1"/>
      <c r="Y349" s="1"/>
      <c r="Z349" s="1"/>
      <c r="AA349" s="1"/>
      <c r="AB349" s="1" t="s">
        <v>3</v>
      </c>
      <c r="AC349" s="1" t="s">
        <v>3</v>
      </c>
      <c r="AD349" s="1" t="s">
        <v>3</v>
      </c>
      <c r="AE349" s="1" t="s">
        <v>3</v>
      </c>
      <c r="AF349" s="1" t="s">
        <v>3</v>
      </c>
      <c r="AG349" s="1" t="s">
        <v>3</v>
      </c>
      <c r="AH349" s="1"/>
      <c r="AI349" s="1"/>
      <c r="AJ349" s="1"/>
      <c r="AK349" s="1"/>
      <c r="AL349" s="1"/>
      <c r="AM349" s="1"/>
      <c r="AN349" s="1"/>
      <c r="AO349" s="1"/>
      <c r="AP349" s="1" t="s">
        <v>3</v>
      </c>
      <c r="AQ349" s="1" t="s">
        <v>3</v>
      </c>
      <c r="AR349" s="1" t="s">
        <v>3</v>
      </c>
      <c r="AS349" s="1"/>
      <c r="AT349" s="1"/>
      <c r="AU349" s="1"/>
      <c r="AV349" s="1"/>
      <c r="AW349" s="1"/>
      <c r="AX349" s="1"/>
      <c r="AY349" s="1"/>
      <c r="AZ349" s="1" t="s">
        <v>3</v>
      </c>
      <c r="BA349" s="1"/>
      <c r="BB349" s="1" t="s">
        <v>3</v>
      </c>
      <c r="BC349" s="1" t="s">
        <v>3</v>
      </c>
      <c r="BD349" s="1" t="s">
        <v>3</v>
      </c>
      <c r="BE349" s="1" t="s">
        <v>3</v>
      </c>
      <c r="BF349" s="1" t="s">
        <v>3</v>
      </c>
      <c r="BG349" s="1" t="s">
        <v>3</v>
      </c>
      <c r="BH349" s="1" t="s">
        <v>3</v>
      </c>
      <c r="BI349" s="1" t="s">
        <v>3</v>
      </c>
      <c r="BJ349" s="1" t="s">
        <v>3</v>
      </c>
      <c r="BK349" s="1" t="s">
        <v>3</v>
      </c>
      <c r="BL349" s="1" t="s">
        <v>3</v>
      </c>
      <c r="BM349" s="1" t="s">
        <v>3</v>
      </c>
      <c r="BN349" s="1" t="s">
        <v>3</v>
      </c>
      <c r="BO349" s="1" t="s">
        <v>3</v>
      </c>
      <c r="BP349" s="1" t="s">
        <v>3</v>
      </c>
      <c r="BQ349" s="1"/>
      <c r="BR349" s="1"/>
      <c r="BS349" s="1"/>
      <c r="BT349" s="1"/>
      <c r="BU349" s="1"/>
      <c r="BV349" s="1"/>
      <c r="BW349" s="1"/>
      <c r="BX349" s="1">
        <v>0</v>
      </c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>
        <v>0</v>
      </c>
    </row>
    <row r="351" spans="1:206" x14ac:dyDescent="0.2">
      <c r="A351" s="3">
        <v>52</v>
      </c>
      <c r="B351" s="3">
        <f t="shared" ref="B351:G351" si="263">B380</f>
        <v>1</v>
      </c>
      <c r="C351" s="3">
        <f t="shared" si="263"/>
        <v>5</v>
      </c>
      <c r="D351" s="3">
        <f t="shared" si="263"/>
        <v>349</v>
      </c>
      <c r="E351" s="3">
        <f t="shared" si="263"/>
        <v>0</v>
      </c>
      <c r="F351" s="3" t="str">
        <f t="shared" si="263"/>
        <v>Новый подраздел</v>
      </c>
      <c r="G351" s="3" t="str">
        <f t="shared" si="263"/>
        <v>Тротуарная плитка</v>
      </c>
      <c r="H351" s="3"/>
      <c r="I351" s="3"/>
      <c r="J351" s="3"/>
      <c r="K351" s="3"/>
      <c r="L351" s="3"/>
      <c r="M351" s="3"/>
      <c r="N351" s="3"/>
      <c r="O351" s="3">
        <f t="shared" ref="O351:AT351" si="264">O380</f>
        <v>0</v>
      </c>
      <c r="P351" s="3">
        <f t="shared" si="264"/>
        <v>0</v>
      </c>
      <c r="Q351" s="3">
        <f t="shared" si="264"/>
        <v>0</v>
      </c>
      <c r="R351" s="3">
        <f t="shared" si="264"/>
        <v>0</v>
      </c>
      <c r="S351" s="3">
        <f t="shared" si="264"/>
        <v>0</v>
      </c>
      <c r="T351" s="3">
        <f t="shared" si="264"/>
        <v>0</v>
      </c>
      <c r="U351" s="3">
        <f t="shared" si="264"/>
        <v>0</v>
      </c>
      <c r="V351" s="3">
        <f t="shared" si="264"/>
        <v>0</v>
      </c>
      <c r="W351" s="3">
        <f t="shared" si="264"/>
        <v>0</v>
      </c>
      <c r="X351" s="3">
        <f t="shared" si="264"/>
        <v>0</v>
      </c>
      <c r="Y351" s="3">
        <f t="shared" si="264"/>
        <v>0</v>
      </c>
      <c r="Z351" s="3">
        <f t="shared" si="264"/>
        <v>0</v>
      </c>
      <c r="AA351" s="3">
        <f t="shared" si="264"/>
        <v>0</v>
      </c>
      <c r="AB351" s="3">
        <f t="shared" si="264"/>
        <v>0</v>
      </c>
      <c r="AC351" s="3">
        <f t="shared" si="264"/>
        <v>0</v>
      </c>
      <c r="AD351" s="3">
        <f t="shared" si="264"/>
        <v>0</v>
      </c>
      <c r="AE351" s="3">
        <f t="shared" si="264"/>
        <v>0</v>
      </c>
      <c r="AF351" s="3">
        <f t="shared" si="264"/>
        <v>0</v>
      </c>
      <c r="AG351" s="3">
        <f t="shared" si="264"/>
        <v>0</v>
      </c>
      <c r="AH351" s="3">
        <f t="shared" si="264"/>
        <v>0</v>
      </c>
      <c r="AI351" s="3">
        <f t="shared" si="264"/>
        <v>0</v>
      </c>
      <c r="AJ351" s="3">
        <f t="shared" si="264"/>
        <v>0</v>
      </c>
      <c r="AK351" s="3">
        <f t="shared" si="264"/>
        <v>0</v>
      </c>
      <c r="AL351" s="3">
        <f t="shared" si="264"/>
        <v>0</v>
      </c>
      <c r="AM351" s="3">
        <f t="shared" si="264"/>
        <v>0</v>
      </c>
      <c r="AN351" s="3">
        <f t="shared" si="264"/>
        <v>0</v>
      </c>
      <c r="AO351" s="3">
        <f t="shared" si="264"/>
        <v>0</v>
      </c>
      <c r="AP351" s="3">
        <f t="shared" si="264"/>
        <v>0</v>
      </c>
      <c r="AQ351" s="3">
        <f t="shared" si="264"/>
        <v>0</v>
      </c>
      <c r="AR351" s="3">
        <f t="shared" si="264"/>
        <v>0</v>
      </c>
      <c r="AS351" s="3">
        <f t="shared" si="264"/>
        <v>0</v>
      </c>
      <c r="AT351" s="3">
        <f t="shared" si="264"/>
        <v>0</v>
      </c>
      <c r="AU351" s="3">
        <f t="shared" ref="AU351:BZ351" si="265">AU380</f>
        <v>0</v>
      </c>
      <c r="AV351" s="3">
        <f t="shared" si="265"/>
        <v>0</v>
      </c>
      <c r="AW351" s="3">
        <f t="shared" si="265"/>
        <v>0</v>
      </c>
      <c r="AX351" s="3">
        <f t="shared" si="265"/>
        <v>0</v>
      </c>
      <c r="AY351" s="3">
        <f t="shared" si="265"/>
        <v>0</v>
      </c>
      <c r="AZ351" s="3">
        <f t="shared" si="265"/>
        <v>0</v>
      </c>
      <c r="BA351" s="3">
        <f t="shared" si="265"/>
        <v>0</v>
      </c>
      <c r="BB351" s="3">
        <f t="shared" si="265"/>
        <v>0</v>
      </c>
      <c r="BC351" s="3">
        <f t="shared" si="265"/>
        <v>0</v>
      </c>
      <c r="BD351" s="3">
        <f t="shared" si="265"/>
        <v>0</v>
      </c>
      <c r="BE351" s="3">
        <f t="shared" si="265"/>
        <v>0</v>
      </c>
      <c r="BF351" s="3">
        <f t="shared" si="265"/>
        <v>0</v>
      </c>
      <c r="BG351" s="3">
        <f t="shared" si="265"/>
        <v>0</v>
      </c>
      <c r="BH351" s="3">
        <f t="shared" si="265"/>
        <v>0</v>
      </c>
      <c r="BI351" s="3">
        <f t="shared" si="265"/>
        <v>0</v>
      </c>
      <c r="BJ351" s="3">
        <f t="shared" si="265"/>
        <v>0</v>
      </c>
      <c r="BK351" s="3">
        <f t="shared" si="265"/>
        <v>0</v>
      </c>
      <c r="BL351" s="3">
        <f t="shared" si="265"/>
        <v>0</v>
      </c>
      <c r="BM351" s="3">
        <f t="shared" si="265"/>
        <v>0</v>
      </c>
      <c r="BN351" s="3">
        <f t="shared" si="265"/>
        <v>0</v>
      </c>
      <c r="BO351" s="3">
        <f t="shared" si="265"/>
        <v>0</v>
      </c>
      <c r="BP351" s="3">
        <f t="shared" si="265"/>
        <v>0</v>
      </c>
      <c r="BQ351" s="3">
        <f t="shared" si="265"/>
        <v>0</v>
      </c>
      <c r="BR351" s="3">
        <f t="shared" si="265"/>
        <v>0</v>
      </c>
      <c r="BS351" s="3">
        <f t="shared" si="265"/>
        <v>0</v>
      </c>
      <c r="BT351" s="3">
        <f t="shared" si="265"/>
        <v>0</v>
      </c>
      <c r="BU351" s="3">
        <f t="shared" si="265"/>
        <v>0</v>
      </c>
      <c r="BV351" s="3">
        <f t="shared" si="265"/>
        <v>0</v>
      </c>
      <c r="BW351" s="3">
        <f t="shared" si="265"/>
        <v>0</v>
      </c>
      <c r="BX351" s="3">
        <f t="shared" si="265"/>
        <v>0</v>
      </c>
      <c r="BY351" s="3">
        <f t="shared" si="265"/>
        <v>0</v>
      </c>
      <c r="BZ351" s="3">
        <f t="shared" si="265"/>
        <v>0</v>
      </c>
      <c r="CA351" s="3">
        <f t="shared" ref="CA351:DF351" si="266">CA380</f>
        <v>0</v>
      </c>
      <c r="CB351" s="3">
        <f t="shared" si="266"/>
        <v>0</v>
      </c>
      <c r="CC351" s="3">
        <f t="shared" si="266"/>
        <v>0</v>
      </c>
      <c r="CD351" s="3">
        <f t="shared" si="266"/>
        <v>0</v>
      </c>
      <c r="CE351" s="3">
        <f t="shared" si="266"/>
        <v>0</v>
      </c>
      <c r="CF351" s="3">
        <f t="shared" si="266"/>
        <v>0</v>
      </c>
      <c r="CG351" s="3">
        <f t="shared" si="266"/>
        <v>0</v>
      </c>
      <c r="CH351" s="3">
        <f t="shared" si="266"/>
        <v>0</v>
      </c>
      <c r="CI351" s="3">
        <f t="shared" si="266"/>
        <v>0</v>
      </c>
      <c r="CJ351" s="3">
        <f t="shared" si="266"/>
        <v>0</v>
      </c>
      <c r="CK351" s="3">
        <f t="shared" si="266"/>
        <v>0</v>
      </c>
      <c r="CL351" s="3">
        <f t="shared" si="266"/>
        <v>0</v>
      </c>
      <c r="CM351" s="3">
        <f t="shared" si="266"/>
        <v>0</v>
      </c>
      <c r="CN351" s="3">
        <f t="shared" si="266"/>
        <v>0</v>
      </c>
      <c r="CO351" s="3">
        <f t="shared" si="266"/>
        <v>0</v>
      </c>
      <c r="CP351" s="3">
        <f t="shared" si="266"/>
        <v>0</v>
      </c>
      <c r="CQ351" s="3">
        <f t="shared" si="266"/>
        <v>0</v>
      </c>
      <c r="CR351" s="3">
        <f t="shared" si="266"/>
        <v>0</v>
      </c>
      <c r="CS351" s="3">
        <f t="shared" si="266"/>
        <v>0</v>
      </c>
      <c r="CT351" s="3">
        <f t="shared" si="266"/>
        <v>0</v>
      </c>
      <c r="CU351" s="3">
        <f t="shared" si="266"/>
        <v>0</v>
      </c>
      <c r="CV351" s="3">
        <f t="shared" si="266"/>
        <v>0</v>
      </c>
      <c r="CW351" s="3">
        <f t="shared" si="266"/>
        <v>0</v>
      </c>
      <c r="CX351" s="3">
        <f t="shared" si="266"/>
        <v>0</v>
      </c>
      <c r="CY351" s="3">
        <f t="shared" si="266"/>
        <v>0</v>
      </c>
      <c r="CZ351" s="3">
        <f t="shared" si="266"/>
        <v>0</v>
      </c>
      <c r="DA351" s="3">
        <f t="shared" si="266"/>
        <v>0</v>
      </c>
      <c r="DB351" s="3">
        <f t="shared" si="266"/>
        <v>0</v>
      </c>
      <c r="DC351" s="3">
        <f t="shared" si="266"/>
        <v>0</v>
      </c>
      <c r="DD351" s="3">
        <f t="shared" si="266"/>
        <v>0</v>
      </c>
      <c r="DE351" s="3">
        <f t="shared" si="266"/>
        <v>0</v>
      </c>
      <c r="DF351" s="3">
        <f t="shared" si="266"/>
        <v>0</v>
      </c>
      <c r="DG351" s="4">
        <f t="shared" ref="DG351:EL351" si="267">DG380</f>
        <v>0</v>
      </c>
      <c r="DH351" s="4">
        <f t="shared" si="267"/>
        <v>0</v>
      </c>
      <c r="DI351" s="4">
        <f t="shared" si="267"/>
        <v>0</v>
      </c>
      <c r="DJ351" s="4">
        <f t="shared" si="267"/>
        <v>0</v>
      </c>
      <c r="DK351" s="4">
        <f t="shared" si="267"/>
        <v>0</v>
      </c>
      <c r="DL351" s="4">
        <f t="shared" si="267"/>
        <v>0</v>
      </c>
      <c r="DM351" s="4">
        <f t="shared" si="267"/>
        <v>0</v>
      </c>
      <c r="DN351" s="4">
        <f t="shared" si="267"/>
        <v>0</v>
      </c>
      <c r="DO351" s="4">
        <f t="shared" si="267"/>
        <v>0</v>
      </c>
      <c r="DP351" s="4">
        <f t="shared" si="267"/>
        <v>0</v>
      </c>
      <c r="DQ351" s="4">
        <f t="shared" si="267"/>
        <v>0</v>
      </c>
      <c r="DR351" s="4">
        <f t="shared" si="267"/>
        <v>0</v>
      </c>
      <c r="DS351" s="4">
        <f t="shared" si="267"/>
        <v>0</v>
      </c>
      <c r="DT351" s="4">
        <f t="shared" si="267"/>
        <v>0</v>
      </c>
      <c r="DU351" s="4">
        <f t="shared" si="267"/>
        <v>0</v>
      </c>
      <c r="DV351" s="4">
        <f t="shared" si="267"/>
        <v>0</v>
      </c>
      <c r="DW351" s="4">
        <f t="shared" si="267"/>
        <v>0</v>
      </c>
      <c r="DX351" s="4">
        <f t="shared" si="267"/>
        <v>0</v>
      </c>
      <c r="DY351" s="4">
        <f t="shared" si="267"/>
        <v>0</v>
      </c>
      <c r="DZ351" s="4">
        <f t="shared" si="267"/>
        <v>0</v>
      </c>
      <c r="EA351" s="4">
        <f t="shared" si="267"/>
        <v>0</v>
      </c>
      <c r="EB351" s="4">
        <f t="shared" si="267"/>
        <v>0</v>
      </c>
      <c r="EC351" s="4">
        <f t="shared" si="267"/>
        <v>0</v>
      </c>
      <c r="ED351" s="4">
        <f t="shared" si="267"/>
        <v>0</v>
      </c>
      <c r="EE351" s="4">
        <f t="shared" si="267"/>
        <v>0</v>
      </c>
      <c r="EF351" s="4">
        <f t="shared" si="267"/>
        <v>0</v>
      </c>
      <c r="EG351" s="4">
        <f t="shared" si="267"/>
        <v>0</v>
      </c>
      <c r="EH351" s="4">
        <f t="shared" si="267"/>
        <v>0</v>
      </c>
      <c r="EI351" s="4">
        <f t="shared" si="267"/>
        <v>0</v>
      </c>
      <c r="EJ351" s="4">
        <f t="shared" si="267"/>
        <v>0</v>
      </c>
      <c r="EK351" s="4">
        <f t="shared" si="267"/>
        <v>0</v>
      </c>
      <c r="EL351" s="4">
        <f t="shared" si="267"/>
        <v>0</v>
      </c>
      <c r="EM351" s="4">
        <f t="shared" ref="EM351:FR351" si="268">EM380</f>
        <v>0</v>
      </c>
      <c r="EN351" s="4">
        <f t="shared" si="268"/>
        <v>0</v>
      </c>
      <c r="EO351" s="4">
        <f t="shared" si="268"/>
        <v>0</v>
      </c>
      <c r="EP351" s="4">
        <f t="shared" si="268"/>
        <v>0</v>
      </c>
      <c r="EQ351" s="4">
        <f t="shared" si="268"/>
        <v>0</v>
      </c>
      <c r="ER351" s="4">
        <f t="shared" si="268"/>
        <v>0</v>
      </c>
      <c r="ES351" s="4">
        <f t="shared" si="268"/>
        <v>0</v>
      </c>
      <c r="ET351" s="4">
        <f t="shared" si="268"/>
        <v>0</v>
      </c>
      <c r="EU351" s="4">
        <f t="shared" si="268"/>
        <v>0</v>
      </c>
      <c r="EV351" s="4">
        <f t="shared" si="268"/>
        <v>0</v>
      </c>
      <c r="EW351" s="4">
        <f t="shared" si="268"/>
        <v>0</v>
      </c>
      <c r="EX351" s="4">
        <f t="shared" si="268"/>
        <v>0</v>
      </c>
      <c r="EY351" s="4">
        <f t="shared" si="268"/>
        <v>0</v>
      </c>
      <c r="EZ351" s="4">
        <f t="shared" si="268"/>
        <v>0</v>
      </c>
      <c r="FA351" s="4">
        <f t="shared" si="268"/>
        <v>0</v>
      </c>
      <c r="FB351" s="4">
        <f t="shared" si="268"/>
        <v>0</v>
      </c>
      <c r="FC351" s="4">
        <f t="shared" si="268"/>
        <v>0</v>
      </c>
      <c r="FD351" s="4">
        <f t="shared" si="268"/>
        <v>0</v>
      </c>
      <c r="FE351" s="4">
        <f t="shared" si="268"/>
        <v>0</v>
      </c>
      <c r="FF351" s="4">
        <f t="shared" si="268"/>
        <v>0</v>
      </c>
      <c r="FG351" s="4">
        <f t="shared" si="268"/>
        <v>0</v>
      </c>
      <c r="FH351" s="4">
        <f t="shared" si="268"/>
        <v>0</v>
      </c>
      <c r="FI351" s="4">
        <f t="shared" si="268"/>
        <v>0</v>
      </c>
      <c r="FJ351" s="4">
        <f t="shared" si="268"/>
        <v>0</v>
      </c>
      <c r="FK351" s="4">
        <f t="shared" si="268"/>
        <v>0</v>
      </c>
      <c r="FL351" s="4">
        <f t="shared" si="268"/>
        <v>0</v>
      </c>
      <c r="FM351" s="4">
        <f t="shared" si="268"/>
        <v>0</v>
      </c>
      <c r="FN351" s="4">
        <f t="shared" si="268"/>
        <v>0</v>
      </c>
      <c r="FO351" s="4">
        <f t="shared" si="268"/>
        <v>0</v>
      </c>
      <c r="FP351" s="4">
        <f t="shared" si="268"/>
        <v>0</v>
      </c>
      <c r="FQ351" s="4">
        <f t="shared" si="268"/>
        <v>0</v>
      </c>
      <c r="FR351" s="4">
        <f t="shared" si="268"/>
        <v>0</v>
      </c>
      <c r="FS351" s="4">
        <f t="shared" ref="FS351:GX351" si="269">FS380</f>
        <v>0</v>
      </c>
      <c r="FT351" s="4">
        <f t="shared" si="269"/>
        <v>0</v>
      </c>
      <c r="FU351" s="4">
        <f t="shared" si="269"/>
        <v>0</v>
      </c>
      <c r="FV351" s="4">
        <f t="shared" si="269"/>
        <v>0</v>
      </c>
      <c r="FW351" s="4">
        <f t="shared" si="269"/>
        <v>0</v>
      </c>
      <c r="FX351" s="4">
        <f t="shared" si="269"/>
        <v>0</v>
      </c>
      <c r="FY351" s="4">
        <f t="shared" si="269"/>
        <v>0</v>
      </c>
      <c r="FZ351" s="4">
        <f t="shared" si="269"/>
        <v>0</v>
      </c>
      <c r="GA351" s="4">
        <f t="shared" si="269"/>
        <v>0</v>
      </c>
      <c r="GB351" s="4">
        <f t="shared" si="269"/>
        <v>0</v>
      </c>
      <c r="GC351" s="4">
        <f t="shared" si="269"/>
        <v>0</v>
      </c>
      <c r="GD351" s="4">
        <f t="shared" si="269"/>
        <v>0</v>
      </c>
      <c r="GE351" s="4">
        <f t="shared" si="269"/>
        <v>0</v>
      </c>
      <c r="GF351" s="4">
        <f t="shared" si="269"/>
        <v>0</v>
      </c>
      <c r="GG351" s="4">
        <f t="shared" si="269"/>
        <v>0</v>
      </c>
      <c r="GH351" s="4">
        <f t="shared" si="269"/>
        <v>0</v>
      </c>
      <c r="GI351" s="4">
        <f t="shared" si="269"/>
        <v>0</v>
      </c>
      <c r="GJ351" s="4">
        <f t="shared" si="269"/>
        <v>0</v>
      </c>
      <c r="GK351" s="4">
        <f t="shared" si="269"/>
        <v>0</v>
      </c>
      <c r="GL351" s="4">
        <f t="shared" si="269"/>
        <v>0</v>
      </c>
      <c r="GM351" s="4">
        <f t="shared" si="269"/>
        <v>0</v>
      </c>
      <c r="GN351" s="4">
        <f t="shared" si="269"/>
        <v>0</v>
      </c>
      <c r="GO351" s="4">
        <f t="shared" si="269"/>
        <v>0</v>
      </c>
      <c r="GP351" s="4">
        <f t="shared" si="269"/>
        <v>0</v>
      </c>
      <c r="GQ351" s="4">
        <f t="shared" si="269"/>
        <v>0</v>
      </c>
      <c r="GR351" s="4">
        <f t="shared" si="269"/>
        <v>0</v>
      </c>
      <c r="GS351" s="4">
        <f t="shared" si="269"/>
        <v>0</v>
      </c>
      <c r="GT351" s="4">
        <f t="shared" si="269"/>
        <v>0</v>
      </c>
      <c r="GU351" s="4">
        <f t="shared" si="269"/>
        <v>0</v>
      </c>
      <c r="GV351" s="4">
        <f t="shared" si="269"/>
        <v>0</v>
      </c>
      <c r="GW351" s="4">
        <f t="shared" si="269"/>
        <v>0</v>
      </c>
      <c r="GX351" s="4">
        <f t="shared" si="269"/>
        <v>0</v>
      </c>
    </row>
    <row r="353" spans="1:255" x14ac:dyDescent="0.2">
      <c r="A353" s="2">
        <v>17</v>
      </c>
      <c r="B353" s="2">
        <v>1</v>
      </c>
      <c r="C353" s="2"/>
      <c r="D353" s="2">
        <f>ROW(EtalonRes!A512)</f>
        <v>512</v>
      </c>
      <c r="E353" s="2" t="s">
        <v>396</v>
      </c>
      <c r="F353" s="2" t="s">
        <v>397</v>
      </c>
      <c r="G353" s="2" t="s">
        <v>398</v>
      </c>
      <c r="H353" s="2" t="s">
        <v>250</v>
      </c>
      <c r="I353" s="2">
        <v>0</v>
      </c>
      <c r="J353" s="2">
        <v>0</v>
      </c>
      <c r="K353" s="2">
        <v>0</v>
      </c>
      <c r="L353" s="2"/>
      <c r="M353" s="2"/>
      <c r="N353" s="2"/>
      <c r="O353" s="2">
        <f t="shared" ref="O353:O378" si="270">ROUND(CP353,2)</f>
        <v>0</v>
      </c>
      <c r="P353" s="2">
        <f t="shared" ref="P353:P378" si="271">ROUND((ROUND((AC353*AW353*I353),2)*BC353),2)</f>
        <v>0</v>
      </c>
      <c r="Q353" s="2">
        <f>(ROUND((ROUND((((ET353*1.05))*AV353*I353),2)*BB353),2)+ROUND((ROUND(((AE353-((EU353*1.05)))*AV353*I353),2)*BS353),2))</f>
        <v>0</v>
      </c>
      <c r="R353" s="2">
        <f t="shared" ref="R353:R378" si="272">ROUND((ROUND((AE353*AV353*I353),2)*BS353),2)</f>
        <v>0</v>
      </c>
      <c r="S353" s="2">
        <f t="shared" ref="S353:S378" si="273">ROUND((ROUND((AF353*AV353*I353),2)*BA353),2)</f>
        <v>0</v>
      </c>
      <c r="T353" s="2">
        <f t="shared" ref="T353:T378" si="274">ROUND(CU353*I353,2)</f>
        <v>0</v>
      </c>
      <c r="U353" s="2">
        <f t="shared" ref="U353:U378" si="275">CV353*I353</f>
        <v>0</v>
      </c>
      <c r="V353" s="2">
        <f t="shared" ref="V353:V378" si="276">CW353*I353</f>
        <v>0</v>
      </c>
      <c r="W353" s="2">
        <f t="shared" ref="W353:W378" si="277">ROUND(CX353*I353,2)</f>
        <v>0</v>
      </c>
      <c r="X353" s="2">
        <f t="shared" ref="X353:X378" si="278">ROUND(CY353,2)</f>
        <v>0</v>
      </c>
      <c r="Y353" s="2">
        <f t="shared" ref="Y353:Y378" si="279">ROUND(CZ353,2)</f>
        <v>0</v>
      </c>
      <c r="Z353" s="2"/>
      <c r="AA353" s="2">
        <v>56622523</v>
      </c>
      <c r="AB353" s="2">
        <f t="shared" ref="AB353:AB378" si="280">ROUND((AC353+AD353+AF353),6)</f>
        <v>319.87200000000001</v>
      </c>
      <c r="AC353" s="2">
        <f t="shared" ref="AC353:AC378" si="281">ROUND((ES353),6)</f>
        <v>0</v>
      </c>
      <c r="AD353" s="2">
        <f>ROUND(((((ET353*1.05))-((EU353*1.05)))+AE353),6)</f>
        <v>0</v>
      </c>
      <c r="AE353" s="2">
        <f>ROUND(((EU353*1.05)),6)</f>
        <v>0</v>
      </c>
      <c r="AF353" s="2">
        <f>ROUND(((EV353*1.05)),6)</f>
        <v>319.87200000000001</v>
      </c>
      <c r="AG353" s="2">
        <f t="shared" ref="AG353:AG378" si="282">ROUND((AP353),6)</f>
        <v>0</v>
      </c>
      <c r="AH353" s="2">
        <f>((EW353*1.05))</f>
        <v>31.3005</v>
      </c>
      <c r="AI353" s="2">
        <f>((EX353*1.05))</f>
        <v>0</v>
      </c>
      <c r="AJ353" s="2">
        <f t="shared" ref="AJ353:AJ378" si="283">(AS353)</f>
        <v>0</v>
      </c>
      <c r="AK353" s="2">
        <v>304.64</v>
      </c>
      <c r="AL353" s="2">
        <v>0</v>
      </c>
      <c r="AM353" s="2">
        <v>0</v>
      </c>
      <c r="AN353" s="2">
        <v>0</v>
      </c>
      <c r="AO353" s="2">
        <v>304.64</v>
      </c>
      <c r="AP353" s="2">
        <v>0</v>
      </c>
      <c r="AQ353" s="2">
        <v>29.81</v>
      </c>
      <c r="AR353" s="2">
        <v>0</v>
      </c>
      <c r="AS353" s="2">
        <v>0</v>
      </c>
      <c r="AT353" s="2">
        <v>80</v>
      </c>
      <c r="AU353" s="2">
        <v>55</v>
      </c>
      <c r="AV353" s="2">
        <v>1.0469999999999999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0</v>
      </c>
      <c r="BI353" s="2">
        <v>1</v>
      </c>
      <c r="BJ353" s="2" t="s">
        <v>399</v>
      </c>
      <c r="BK353" s="2"/>
      <c r="BL353" s="2"/>
      <c r="BM353" s="2">
        <v>2224</v>
      </c>
      <c r="BN353" s="2">
        <v>0</v>
      </c>
      <c r="BO353" s="2" t="s">
        <v>3</v>
      </c>
      <c r="BP353" s="2">
        <v>0</v>
      </c>
      <c r="BQ353" s="2">
        <v>60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80</v>
      </c>
      <c r="CA353" s="2">
        <v>55</v>
      </c>
      <c r="CB353" s="2" t="s">
        <v>3</v>
      </c>
      <c r="CC353" s="2"/>
      <c r="CD353" s="2"/>
      <c r="CE353" s="2">
        <v>30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694</v>
      </c>
      <c r="CO353" s="2">
        <v>0</v>
      </c>
      <c r="CP353" s="2">
        <f t="shared" ref="CP353:CP378" si="284">(P353+Q353+S353)</f>
        <v>0</v>
      </c>
      <c r="CQ353" s="2">
        <f t="shared" ref="CQ353:CQ378" si="285">ROUND((ROUND((AC353*AW353*1),2)*BC353),2)</f>
        <v>0</v>
      </c>
      <c r="CR353" s="2">
        <f>(ROUND((ROUND((((ET353*1.05))*AV353*1),2)*BB353),2)+ROUND((ROUND(((AE353-((EU353*1.05)))*AV353*1),2)*BS353),2))</f>
        <v>0</v>
      </c>
      <c r="CS353" s="2">
        <f t="shared" ref="CS353:CS378" si="286">ROUND((ROUND((AE353*AV353*1),2)*BS353),2)</f>
        <v>0</v>
      </c>
      <c r="CT353" s="2">
        <f t="shared" ref="CT353:CT378" si="287">ROUND((ROUND((AF353*AV353*1),2)*BA353),2)</f>
        <v>334.91</v>
      </c>
      <c r="CU353" s="2">
        <f t="shared" ref="CU353:CU378" si="288">AG353</f>
        <v>0</v>
      </c>
      <c r="CV353" s="2">
        <f t="shared" ref="CV353:CV378" si="289">(AH353*AV353)</f>
        <v>32.771623499999997</v>
      </c>
      <c r="CW353" s="2">
        <f t="shared" ref="CW353:CW378" si="290">AI353</f>
        <v>0</v>
      </c>
      <c r="CX353" s="2">
        <f t="shared" ref="CX353:CX378" si="291">AJ353</f>
        <v>0</v>
      </c>
      <c r="CY353" s="2">
        <f>((S353*BZ353)/100)</f>
        <v>0</v>
      </c>
      <c r="CZ353" s="2">
        <f>((S353*CA353)/100)</f>
        <v>0</v>
      </c>
      <c r="DA353" s="2"/>
      <c r="DB353" s="2"/>
      <c r="DC353" s="2" t="s">
        <v>3</v>
      </c>
      <c r="DD353" s="2" t="s">
        <v>3</v>
      </c>
      <c r="DE353" s="2" t="s">
        <v>400</v>
      </c>
      <c r="DF353" s="2" t="s">
        <v>400</v>
      </c>
      <c r="DG353" s="2" t="s">
        <v>400</v>
      </c>
      <c r="DH353" s="2" t="s">
        <v>3</v>
      </c>
      <c r="DI353" s="2" t="s">
        <v>400</v>
      </c>
      <c r="DJ353" s="2" t="s">
        <v>400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1005</v>
      </c>
      <c r="DV353" s="2" t="s">
        <v>250</v>
      </c>
      <c r="DW353" s="2" t="s">
        <v>250</v>
      </c>
      <c r="DX353" s="2">
        <v>100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51698305</v>
      </c>
      <c r="EF353" s="2">
        <v>60</v>
      </c>
      <c r="EG353" s="2" t="s">
        <v>282</v>
      </c>
      <c r="EH353" s="2">
        <v>0</v>
      </c>
      <c r="EI353" s="2" t="s">
        <v>3</v>
      </c>
      <c r="EJ353" s="2">
        <v>1</v>
      </c>
      <c r="EK353" s="2">
        <v>2224</v>
      </c>
      <c r="EL353" s="2" t="s">
        <v>401</v>
      </c>
      <c r="EM353" s="2" t="s">
        <v>402</v>
      </c>
      <c r="EN353" s="2"/>
      <c r="EO353" s="2" t="s">
        <v>403</v>
      </c>
      <c r="EP353" s="2"/>
      <c r="EQ353" s="2">
        <v>131072</v>
      </c>
      <c r="ER353" s="2">
        <v>304.64</v>
      </c>
      <c r="ES353" s="2">
        <v>0</v>
      </c>
      <c r="ET353" s="2">
        <v>0</v>
      </c>
      <c r="EU353" s="2">
        <v>0</v>
      </c>
      <c r="EV353" s="2">
        <v>304.64</v>
      </c>
      <c r="EW353" s="2">
        <v>29.81</v>
      </c>
      <c r="EX353" s="2">
        <v>0</v>
      </c>
      <c r="EY353" s="2">
        <v>0</v>
      </c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80</v>
      </c>
      <c r="FY353" s="2">
        <v>55</v>
      </c>
      <c r="FZ353" s="2"/>
      <c r="GA353" s="2" t="s">
        <v>3</v>
      </c>
      <c r="GB353" s="2"/>
      <c r="GC353" s="2"/>
      <c r="GD353" s="2">
        <v>0</v>
      </c>
      <c r="GE353" s="2"/>
      <c r="GF353" s="2">
        <v>-1228841174</v>
      </c>
      <c r="GG353" s="2">
        <v>2</v>
      </c>
      <c r="GH353" s="2">
        <v>1</v>
      </c>
      <c r="GI353" s="2">
        <v>-2</v>
      </c>
      <c r="GJ353" s="2">
        <v>0</v>
      </c>
      <c r="GK353" s="2">
        <f>ROUND(R353*(R12)/100,2)</f>
        <v>0</v>
      </c>
      <c r="GL353" s="2">
        <f t="shared" ref="GL353:GL378" si="292">ROUND(IF(AND(BH353=3,BI353=3,FS353&lt;&gt;0),P353,0),2)</f>
        <v>0</v>
      </c>
      <c r="GM353" s="2">
        <f t="shared" ref="GM353:GM378" si="293">ROUND(O353+X353+Y353+GK353,2)+GX353</f>
        <v>0</v>
      </c>
      <c r="GN353" s="2">
        <f t="shared" ref="GN353:GN378" si="294">IF(OR(BI353=0,BI353=1),GM353-GX353,0)</f>
        <v>0</v>
      </c>
      <c r="GO353" s="2">
        <f t="shared" ref="GO353:GO378" si="295">IF(BI353=2,GM353-GX353,0)</f>
        <v>0</v>
      </c>
      <c r="GP353" s="2">
        <f t="shared" ref="GP353:GP378" si="296">IF(BI353=4,GM353-GX353,0)</f>
        <v>0</v>
      </c>
      <c r="GQ353" s="2"/>
      <c r="GR353" s="2">
        <v>0</v>
      </c>
      <c r="GS353" s="2">
        <v>0</v>
      </c>
      <c r="GT353" s="2">
        <v>0</v>
      </c>
      <c r="GU353" s="2" t="s">
        <v>3</v>
      </c>
      <c r="GV353" s="2">
        <f t="shared" ref="GV353:GV378" si="297">ROUND((GT353),6)</f>
        <v>0</v>
      </c>
      <c r="GW353" s="2">
        <v>1</v>
      </c>
      <c r="GX353" s="2">
        <f t="shared" ref="GX353:GX378" si="298">ROUND(HC353*I353,2)</f>
        <v>0</v>
      </c>
      <c r="GY353" s="2"/>
      <c r="GZ353" s="2"/>
      <c r="HA353" s="2">
        <v>0</v>
      </c>
      <c r="HB353" s="2">
        <v>0</v>
      </c>
      <c r="HC353" s="2">
        <f t="shared" ref="HC353:HC378" si="299">GV353*GW353</f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">
      <c r="A354">
        <v>17</v>
      </c>
      <c r="B354">
        <v>1</v>
      </c>
      <c r="D354">
        <f>ROW(EtalonRes!A514)</f>
        <v>514</v>
      </c>
      <c r="E354" t="s">
        <v>396</v>
      </c>
      <c r="F354" t="s">
        <v>397</v>
      </c>
      <c r="G354" t="s">
        <v>398</v>
      </c>
      <c r="H354" t="s">
        <v>250</v>
      </c>
      <c r="I354">
        <v>0</v>
      </c>
      <c r="J354">
        <v>0</v>
      </c>
      <c r="K354">
        <v>0</v>
      </c>
      <c r="O354">
        <f t="shared" si="270"/>
        <v>0</v>
      </c>
      <c r="P354">
        <f t="shared" si="271"/>
        <v>0</v>
      </c>
      <c r="Q354">
        <f>(ROUND((ROUND((((ET354*1.05))*AV354*I354),2)*BB354),2)+ROUND((ROUND(((AE354-((EU354*1.05)))*AV354*I354),2)*BS354),2))</f>
        <v>0</v>
      </c>
      <c r="R354">
        <f t="shared" si="272"/>
        <v>0</v>
      </c>
      <c r="S354">
        <f t="shared" si="273"/>
        <v>0</v>
      </c>
      <c r="T354">
        <f t="shared" si="274"/>
        <v>0</v>
      </c>
      <c r="U354">
        <f t="shared" si="275"/>
        <v>0</v>
      </c>
      <c r="V354">
        <f t="shared" si="276"/>
        <v>0</v>
      </c>
      <c r="W354">
        <f t="shared" si="277"/>
        <v>0</v>
      </c>
      <c r="X354">
        <f t="shared" si="278"/>
        <v>0</v>
      </c>
      <c r="Y354">
        <f t="shared" si="279"/>
        <v>0</v>
      </c>
      <c r="AA354">
        <v>56611490</v>
      </c>
      <c r="AB354">
        <f t="shared" si="280"/>
        <v>319.87200000000001</v>
      </c>
      <c r="AC354">
        <f t="shared" si="281"/>
        <v>0</v>
      </c>
      <c r="AD354">
        <f>ROUND(((((ET354*1.05))-((EU354*1.05)))+AE354),6)</f>
        <v>0</v>
      </c>
      <c r="AE354">
        <f>ROUND(((EU354*1.05)),6)</f>
        <v>0</v>
      </c>
      <c r="AF354">
        <f>ROUND(((EV354*1.05)),6)</f>
        <v>319.87200000000001</v>
      </c>
      <c r="AG354">
        <f t="shared" si="282"/>
        <v>0</v>
      </c>
      <c r="AH354">
        <f>((EW354*1.05))</f>
        <v>31.3005</v>
      </c>
      <c r="AI354">
        <f>((EX354*1.05))</f>
        <v>0</v>
      </c>
      <c r="AJ354">
        <f t="shared" si="283"/>
        <v>0</v>
      </c>
      <c r="AK354">
        <v>304.64</v>
      </c>
      <c r="AL354">
        <v>0</v>
      </c>
      <c r="AM354">
        <v>0</v>
      </c>
      <c r="AN354">
        <v>0</v>
      </c>
      <c r="AO354">
        <v>304.64</v>
      </c>
      <c r="AP354">
        <v>0</v>
      </c>
      <c r="AQ354">
        <v>29.81</v>
      </c>
      <c r="AR354">
        <v>0</v>
      </c>
      <c r="AS354">
        <v>0</v>
      </c>
      <c r="AT354">
        <v>70</v>
      </c>
      <c r="AU354">
        <v>41</v>
      </c>
      <c r="AV354">
        <v>1.0469999999999999</v>
      </c>
      <c r="AW354">
        <v>1</v>
      </c>
      <c r="AZ354">
        <v>1</v>
      </c>
      <c r="BA354">
        <v>34.51</v>
      </c>
      <c r="BB354">
        <v>1</v>
      </c>
      <c r="BC354">
        <v>1</v>
      </c>
      <c r="BD354" t="s">
        <v>3</v>
      </c>
      <c r="BE354" t="s">
        <v>3</v>
      </c>
      <c r="BF354" t="s">
        <v>3</v>
      </c>
      <c r="BG354" t="s">
        <v>3</v>
      </c>
      <c r="BH354">
        <v>0</v>
      </c>
      <c r="BI354">
        <v>1</v>
      </c>
      <c r="BJ354" t="s">
        <v>399</v>
      </c>
      <c r="BM354">
        <v>2224</v>
      </c>
      <c r="BN354">
        <v>0</v>
      </c>
      <c r="BO354" t="s">
        <v>397</v>
      </c>
      <c r="BP354">
        <v>1</v>
      </c>
      <c r="BQ354">
        <v>60</v>
      </c>
      <c r="BR354">
        <v>0</v>
      </c>
      <c r="BS354">
        <v>34.51</v>
      </c>
      <c r="BT354">
        <v>1</v>
      </c>
      <c r="BU354">
        <v>1</v>
      </c>
      <c r="BV354">
        <v>1</v>
      </c>
      <c r="BW354">
        <v>1</v>
      </c>
      <c r="BX354">
        <v>1</v>
      </c>
      <c r="BY354" t="s">
        <v>3</v>
      </c>
      <c r="BZ354">
        <v>70</v>
      </c>
      <c r="CA354">
        <v>41</v>
      </c>
      <c r="CB354" t="s">
        <v>3</v>
      </c>
      <c r="CE354">
        <v>30</v>
      </c>
      <c r="CF354">
        <v>0</v>
      </c>
      <c r="CG354">
        <v>0</v>
      </c>
      <c r="CM354">
        <v>0</v>
      </c>
      <c r="CN354" t="s">
        <v>694</v>
      </c>
      <c r="CO354">
        <v>0</v>
      </c>
      <c r="CP354">
        <f t="shared" si="284"/>
        <v>0</v>
      </c>
      <c r="CQ354">
        <f t="shared" si="285"/>
        <v>0</v>
      </c>
      <c r="CR354">
        <f>(ROUND((ROUND((((ET354*1.05))*AV354*1),2)*BB354),2)+ROUND((ROUND(((AE354-((EU354*1.05)))*AV354*1),2)*BS354),2))</f>
        <v>0</v>
      </c>
      <c r="CS354">
        <f t="shared" si="286"/>
        <v>0</v>
      </c>
      <c r="CT354">
        <f t="shared" si="287"/>
        <v>11557.74</v>
      </c>
      <c r="CU354">
        <f t="shared" si="288"/>
        <v>0</v>
      </c>
      <c r="CV354">
        <f t="shared" si="289"/>
        <v>32.771623499999997</v>
      </c>
      <c r="CW354">
        <f t="shared" si="290"/>
        <v>0</v>
      </c>
      <c r="CX354">
        <f t="shared" si="291"/>
        <v>0</v>
      </c>
      <c r="CY354">
        <f>S354*(BZ354/100)</f>
        <v>0</v>
      </c>
      <c r="CZ354">
        <f>S354*(CA354/100)</f>
        <v>0</v>
      </c>
      <c r="DC354" t="s">
        <v>3</v>
      </c>
      <c r="DD354" t="s">
        <v>3</v>
      </c>
      <c r="DE354" t="s">
        <v>400</v>
      </c>
      <c r="DF354" t="s">
        <v>400</v>
      </c>
      <c r="DG354" t="s">
        <v>400</v>
      </c>
      <c r="DH354" t="s">
        <v>3</v>
      </c>
      <c r="DI354" t="s">
        <v>400</v>
      </c>
      <c r="DJ354" t="s">
        <v>400</v>
      </c>
      <c r="DK354" t="s">
        <v>3</v>
      </c>
      <c r="DL354" t="s">
        <v>3</v>
      </c>
      <c r="DM354" t="s">
        <v>3</v>
      </c>
      <c r="DN354">
        <v>80</v>
      </c>
      <c r="DO354">
        <v>55</v>
      </c>
      <c r="DP354">
        <v>1.0469999999999999</v>
      </c>
      <c r="DQ354">
        <v>1</v>
      </c>
      <c r="DU354">
        <v>1005</v>
      </c>
      <c r="DV354" t="s">
        <v>250</v>
      </c>
      <c r="DW354" t="s">
        <v>250</v>
      </c>
      <c r="DX354">
        <v>100</v>
      </c>
      <c r="DZ354" t="s">
        <v>3</v>
      </c>
      <c r="EA354" t="s">
        <v>3</v>
      </c>
      <c r="EB354" t="s">
        <v>3</v>
      </c>
      <c r="EC354" t="s">
        <v>3</v>
      </c>
      <c r="EE354">
        <v>51698305</v>
      </c>
      <c r="EF354">
        <v>60</v>
      </c>
      <c r="EG354" t="s">
        <v>282</v>
      </c>
      <c r="EH354">
        <v>0</v>
      </c>
      <c r="EI354" t="s">
        <v>3</v>
      </c>
      <c r="EJ354">
        <v>1</v>
      </c>
      <c r="EK354">
        <v>2224</v>
      </c>
      <c r="EL354" t="s">
        <v>401</v>
      </c>
      <c r="EM354" t="s">
        <v>402</v>
      </c>
      <c r="EO354" t="s">
        <v>403</v>
      </c>
      <c r="EQ354">
        <v>131072</v>
      </c>
      <c r="ER354">
        <v>304.64</v>
      </c>
      <c r="ES354">
        <v>0</v>
      </c>
      <c r="ET354">
        <v>0</v>
      </c>
      <c r="EU354">
        <v>0</v>
      </c>
      <c r="EV354">
        <v>304.64</v>
      </c>
      <c r="EW354">
        <v>29.81</v>
      </c>
      <c r="EX354">
        <v>0</v>
      </c>
      <c r="EY354">
        <v>0</v>
      </c>
      <c r="FQ354">
        <v>0</v>
      </c>
      <c r="FR354">
        <v>0</v>
      </c>
      <c r="FS354">
        <v>0</v>
      </c>
      <c r="FX354">
        <v>80</v>
      </c>
      <c r="FY354">
        <v>55</v>
      </c>
      <c r="GA354" t="s">
        <v>3</v>
      </c>
      <c r="GD354">
        <v>0</v>
      </c>
      <c r="GF354">
        <v>-1228841174</v>
      </c>
      <c r="GG354">
        <v>2</v>
      </c>
      <c r="GH354">
        <v>1</v>
      </c>
      <c r="GI354">
        <v>2</v>
      </c>
      <c r="GJ354">
        <v>0</v>
      </c>
      <c r="GK354">
        <f>ROUND(R354*(S12)/100,2)</f>
        <v>0</v>
      </c>
      <c r="GL354">
        <f t="shared" si="292"/>
        <v>0</v>
      </c>
      <c r="GM354">
        <f t="shared" si="293"/>
        <v>0</v>
      </c>
      <c r="GN354">
        <f t="shared" si="294"/>
        <v>0</v>
      </c>
      <c r="GO354">
        <f t="shared" si="295"/>
        <v>0</v>
      </c>
      <c r="GP354">
        <f t="shared" si="296"/>
        <v>0</v>
      </c>
      <c r="GR354">
        <v>0</v>
      </c>
      <c r="GS354">
        <v>3</v>
      </c>
      <c r="GT354">
        <v>0</v>
      </c>
      <c r="GU354" t="s">
        <v>3</v>
      </c>
      <c r="GV354">
        <f t="shared" si="297"/>
        <v>0</v>
      </c>
      <c r="GW354">
        <v>1</v>
      </c>
      <c r="GX354">
        <f t="shared" si="298"/>
        <v>0</v>
      </c>
      <c r="HA354">
        <v>0</v>
      </c>
      <c r="HB354">
        <v>0</v>
      </c>
      <c r="HC354">
        <f t="shared" si="299"/>
        <v>0</v>
      </c>
      <c r="HE354" t="s">
        <v>3</v>
      </c>
      <c r="HF354" t="s">
        <v>3</v>
      </c>
      <c r="HM354" t="s">
        <v>3</v>
      </c>
      <c r="HN354" t="s">
        <v>3</v>
      </c>
      <c r="HO354" t="s">
        <v>3</v>
      </c>
      <c r="HP354" t="s">
        <v>3</v>
      </c>
      <c r="HQ354" t="s">
        <v>3</v>
      </c>
      <c r="HS354">
        <v>0</v>
      </c>
      <c r="IK354">
        <v>0</v>
      </c>
    </row>
    <row r="355" spans="1:255" x14ac:dyDescent="0.2">
      <c r="A355" s="2">
        <v>17</v>
      </c>
      <c r="B355" s="2">
        <v>1</v>
      </c>
      <c r="C355" s="2"/>
      <c r="D355" s="2">
        <f>ROW(EtalonRes!A518)</f>
        <v>518</v>
      </c>
      <c r="E355" s="2" t="s">
        <v>404</v>
      </c>
      <c r="F355" s="2" t="s">
        <v>349</v>
      </c>
      <c r="G355" s="2" t="s">
        <v>350</v>
      </c>
      <c r="H355" s="2" t="s">
        <v>280</v>
      </c>
      <c r="I355" s="2">
        <v>0</v>
      </c>
      <c r="J355" s="2">
        <v>0</v>
      </c>
      <c r="K355" s="2">
        <v>0</v>
      </c>
      <c r="L355" s="2"/>
      <c r="M355" s="2"/>
      <c r="N355" s="2"/>
      <c r="O355" s="2">
        <f t="shared" si="270"/>
        <v>0</v>
      </c>
      <c r="P355" s="2">
        <f t="shared" si="271"/>
        <v>0</v>
      </c>
      <c r="Q355" s="2">
        <f t="shared" ref="Q355:Q362" si="300">(ROUND((ROUND((((ET355*1.1))*AV355*I355),2)*BB355),2)+ROUND((ROUND(((AE355-((EU355*1.1)))*AV355*I355),2)*BS355),2))</f>
        <v>0</v>
      </c>
      <c r="R355" s="2">
        <f t="shared" si="272"/>
        <v>0</v>
      </c>
      <c r="S355" s="2">
        <f t="shared" si="273"/>
        <v>0</v>
      </c>
      <c r="T355" s="2">
        <f t="shared" si="274"/>
        <v>0</v>
      </c>
      <c r="U355" s="2">
        <f t="shared" si="275"/>
        <v>0</v>
      </c>
      <c r="V355" s="2">
        <f t="shared" si="276"/>
        <v>0</v>
      </c>
      <c r="W355" s="2">
        <f t="shared" si="277"/>
        <v>0</v>
      </c>
      <c r="X355" s="2">
        <f t="shared" si="278"/>
        <v>0</v>
      </c>
      <c r="Y355" s="2">
        <f t="shared" si="279"/>
        <v>0</v>
      </c>
      <c r="Z355" s="2"/>
      <c r="AA355" s="2">
        <v>56622523</v>
      </c>
      <c r="AB355" s="2">
        <f t="shared" si="280"/>
        <v>745.36</v>
      </c>
      <c r="AC355" s="2">
        <f t="shared" si="281"/>
        <v>0</v>
      </c>
      <c r="AD355" s="2">
        <f t="shared" ref="AD355:AD362" si="301">ROUND(((((ET355*1.1))-((EU355*1.1)))+AE355),6)</f>
        <v>623.99699999999996</v>
      </c>
      <c r="AE355" s="2">
        <f t="shared" ref="AE355:AF362" si="302">ROUND(((EU355*1.1)),6)</f>
        <v>63.348999999999997</v>
      </c>
      <c r="AF355" s="2">
        <f t="shared" si="302"/>
        <v>121.363</v>
      </c>
      <c r="AG355" s="2">
        <f t="shared" si="282"/>
        <v>0</v>
      </c>
      <c r="AH355" s="2">
        <f t="shared" ref="AH355:AI362" si="303">((EW355*1.1))</f>
        <v>12.870000000000001</v>
      </c>
      <c r="AI355" s="2">
        <f t="shared" si="303"/>
        <v>0</v>
      </c>
      <c r="AJ355" s="2">
        <f t="shared" si="283"/>
        <v>0</v>
      </c>
      <c r="AK355" s="2">
        <v>677.6</v>
      </c>
      <c r="AL355" s="2">
        <v>0</v>
      </c>
      <c r="AM355" s="2">
        <v>567.27</v>
      </c>
      <c r="AN355" s="2">
        <v>57.59</v>
      </c>
      <c r="AO355" s="2">
        <v>110.33</v>
      </c>
      <c r="AP355" s="2">
        <v>0</v>
      </c>
      <c r="AQ355" s="2">
        <v>11.7</v>
      </c>
      <c r="AR355" s="2">
        <v>0</v>
      </c>
      <c r="AS355" s="2">
        <v>0</v>
      </c>
      <c r="AT355" s="2">
        <v>80</v>
      </c>
      <c r="AU355" s="2">
        <v>55</v>
      </c>
      <c r="AV355" s="2">
        <v>1.0469999999999999</v>
      </c>
      <c r="AW355" s="2">
        <v>1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0</v>
      </c>
      <c r="BI355" s="2">
        <v>1</v>
      </c>
      <c r="BJ355" s="2" t="s">
        <v>351</v>
      </c>
      <c r="BK355" s="2"/>
      <c r="BL355" s="2"/>
      <c r="BM355" s="2">
        <v>674</v>
      </c>
      <c r="BN355" s="2">
        <v>0</v>
      </c>
      <c r="BO355" s="2" t="s">
        <v>3</v>
      </c>
      <c r="BP355" s="2">
        <v>0</v>
      </c>
      <c r="BQ355" s="2">
        <v>60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80</v>
      </c>
      <c r="CA355" s="2">
        <v>55</v>
      </c>
      <c r="CB355" s="2" t="s">
        <v>3</v>
      </c>
      <c r="CC355" s="2"/>
      <c r="CD355" s="2"/>
      <c r="CE355" s="2">
        <v>30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689</v>
      </c>
      <c r="CO355" s="2">
        <v>0</v>
      </c>
      <c r="CP355" s="2">
        <f t="shared" si="284"/>
        <v>0</v>
      </c>
      <c r="CQ355" s="2">
        <f t="shared" si="285"/>
        <v>0</v>
      </c>
      <c r="CR355" s="2">
        <f t="shared" ref="CR355:CR362" si="304">(ROUND((ROUND((((ET355*1.1))*AV355*1),2)*BB355),2)+ROUND((ROUND(((AE355-((EU355*1.1)))*AV355*1),2)*BS355),2))</f>
        <v>653.32000000000005</v>
      </c>
      <c r="CS355" s="2">
        <f t="shared" si="286"/>
        <v>66.33</v>
      </c>
      <c r="CT355" s="2">
        <f t="shared" si="287"/>
        <v>127.07</v>
      </c>
      <c r="CU355" s="2">
        <f t="shared" si="288"/>
        <v>0</v>
      </c>
      <c r="CV355" s="2">
        <f t="shared" si="289"/>
        <v>13.47489</v>
      </c>
      <c r="CW355" s="2">
        <f t="shared" si="290"/>
        <v>0</v>
      </c>
      <c r="CX355" s="2">
        <f t="shared" si="291"/>
        <v>0</v>
      </c>
      <c r="CY355" s="2">
        <f>((S355*BZ355)/100)</f>
        <v>0</v>
      </c>
      <c r="CZ355" s="2">
        <f>((S355*CA355)/100)</f>
        <v>0</v>
      </c>
      <c r="DA355" s="2"/>
      <c r="DB355" s="2"/>
      <c r="DC355" s="2" t="s">
        <v>3</v>
      </c>
      <c r="DD355" s="2" t="s">
        <v>3</v>
      </c>
      <c r="DE355" s="2" t="s">
        <v>22</v>
      </c>
      <c r="DF355" s="2" t="s">
        <v>22</v>
      </c>
      <c r="DG355" s="2" t="s">
        <v>22</v>
      </c>
      <c r="DH355" s="2" t="s">
        <v>3</v>
      </c>
      <c r="DI355" s="2" t="s">
        <v>22</v>
      </c>
      <c r="DJ355" s="2" t="s">
        <v>22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1007</v>
      </c>
      <c r="DV355" s="2" t="s">
        <v>280</v>
      </c>
      <c r="DW355" s="2" t="s">
        <v>280</v>
      </c>
      <c r="DX355" s="2">
        <v>100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51696713</v>
      </c>
      <c r="EF355" s="2">
        <v>60</v>
      </c>
      <c r="EG355" s="2" t="s">
        <v>282</v>
      </c>
      <c r="EH355" s="2">
        <v>0</v>
      </c>
      <c r="EI355" s="2" t="s">
        <v>3</v>
      </c>
      <c r="EJ355" s="2">
        <v>1</v>
      </c>
      <c r="EK355" s="2">
        <v>674</v>
      </c>
      <c r="EL355" s="2" t="s">
        <v>283</v>
      </c>
      <c r="EM355" s="2" t="s">
        <v>284</v>
      </c>
      <c r="EN355" s="2"/>
      <c r="EO355" s="2" t="s">
        <v>26</v>
      </c>
      <c r="EP355" s="2"/>
      <c r="EQ355" s="2">
        <v>131072</v>
      </c>
      <c r="ER355" s="2">
        <v>677.6</v>
      </c>
      <c r="ES355" s="2">
        <v>0</v>
      </c>
      <c r="ET355" s="2">
        <v>567.27</v>
      </c>
      <c r="EU355" s="2">
        <v>57.59</v>
      </c>
      <c r="EV355" s="2">
        <v>110.33</v>
      </c>
      <c r="EW355" s="2">
        <v>11.7</v>
      </c>
      <c r="EX355" s="2">
        <v>0</v>
      </c>
      <c r="EY355" s="2">
        <v>0</v>
      </c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80</v>
      </c>
      <c r="FY355" s="2">
        <v>55</v>
      </c>
      <c r="FZ355" s="2"/>
      <c r="GA355" s="2" t="s">
        <v>3</v>
      </c>
      <c r="GB355" s="2"/>
      <c r="GC355" s="2"/>
      <c r="GD355" s="2">
        <v>0</v>
      </c>
      <c r="GE355" s="2"/>
      <c r="GF355" s="2">
        <v>-538425389</v>
      </c>
      <c r="GG355" s="2">
        <v>2</v>
      </c>
      <c r="GH355" s="2">
        <v>1</v>
      </c>
      <c r="GI355" s="2">
        <v>-2</v>
      </c>
      <c r="GJ355" s="2">
        <v>0</v>
      </c>
      <c r="GK355" s="2">
        <f>ROUND(R355*(R12)/100,2)</f>
        <v>0</v>
      </c>
      <c r="GL355" s="2">
        <f t="shared" si="292"/>
        <v>0</v>
      </c>
      <c r="GM355" s="2">
        <f t="shared" si="293"/>
        <v>0</v>
      </c>
      <c r="GN355" s="2">
        <f t="shared" si="294"/>
        <v>0</v>
      </c>
      <c r="GO355" s="2">
        <f t="shared" si="295"/>
        <v>0</v>
      </c>
      <c r="GP355" s="2">
        <f t="shared" si="296"/>
        <v>0</v>
      </c>
      <c r="GQ355" s="2"/>
      <c r="GR355" s="2">
        <v>0</v>
      </c>
      <c r="GS355" s="2">
        <v>0</v>
      </c>
      <c r="GT355" s="2">
        <v>0</v>
      </c>
      <c r="GU355" s="2" t="s">
        <v>3</v>
      </c>
      <c r="GV355" s="2">
        <f t="shared" si="297"/>
        <v>0</v>
      </c>
      <c r="GW355" s="2">
        <v>1</v>
      </c>
      <c r="GX355" s="2">
        <f t="shared" si="298"/>
        <v>0</v>
      </c>
      <c r="GY355" s="2"/>
      <c r="GZ355" s="2"/>
      <c r="HA355" s="2">
        <v>0</v>
      </c>
      <c r="HB355" s="2">
        <v>0</v>
      </c>
      <c r="HC355" s="2">
        <f t="shared" si="299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3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">
      <c r="A356">
        <v>17</v>
      </c>
      <c r="B356">
        <v>1</v>
      </c>
      <c r="D356">
        <f>ROW(EtalonRes!A522)</f>
        <v>522</v>
      </c>
      <c r="E356" t="s">
        <v>404</v>
      </c>
      <c r="F356" t="s">
        <v>349</v>
      </c>
      <c r="G356" t="s">
        <v>350</v>
      </c>
      <c r="H356" t="s">
        <v>280</v>
      </c>
      <c r="I356">
        <v>0</v>
      </c>
      <c r="J356">
        <v>0</v>
      </c>
      <c r="K356">
        <v>0</v>
      </c>
      <c r="O356">
        <f t="shared" si="270"/>
        <v>0</v>
      </c>
      <c r="P356">
        <f t="shared" si="271"/>
        <v>0</v>
      </c>
      <c r="Q356">
        <f t="shared" si="300"/>
        <v>0</v>
      </c>
      <c r="R356">
        <f t="shared" si="272"/>
        <v>0</v>
      </c>
      <c r="S356">
        <f t="shared" si="273"/>
        <v>0</v>
      </c>
      <c r="T356">
        <f t="shared" si="274"/>
        <v>0</v>
      </c>
      <c r="U356">
        <f t="shared" si="275"/>
        <v>0</v>
      </c>
      <c r="V356">
        <f t="shared" si="276"/>
        <v>0</v>
      </c>
      <c r="W356">
        <f t="shared" si="277"/>
        <v>0</v>
      </c>
      <c r="X356">
        <f t="shared" si="278"/>
        <v>0</v>
      </c>
      <c r="Y356">
        <f t="shared" si="279"/>
        <v>0</v>
      </c>
      <c r="AA356">
        <v>56611490</v>
      </c>
      <c r="AB356">
        <f t="shared" si="280"/>
        <v>745.36</v>
      </c>
      <c r="AC356">
        <f t="shared" si="281"/>
        <v>0</v>
      </c>
      <c r="AD356">
        <f t="shared" si="301"/>
        <v>623.99699999999996</v>
      </c>
      <c r="AE356">
        <f t="shared" si="302"/>
        <v>63.348999999999997</v>
      </c>
      <c r="AF356">
        <f t="shared" si="302"/>
        <v>121.363</v>
      </c>
      <c r="AG356">
        <f t="shared" si="282"/>
        <v>0</v>
      </c>
      <c r="AH356">
        <f t="shared" si="303"/>
        <v>12.870000000000001</v>
      </c>
      <c r="AI356">
        <f t="shared" si="303"/>
        <v>0</v>
      </c>
      <c r="AJ356">
        <f t="shared" si="283"/>
        <v>0</v>
      </c>
      <c r="AK356">
        <v>677.6</v>
      </c>
      <c r="AL356">
        <v>0</v>
      </c>
      <c r="AM356">
        <v>567.27</v>
      </c>
      <c r="AN356">
        <v>57.59</v>
      </c>
      <c r="AO356">
        <v>110.33</v>
      </c>
      <c r="AP356">
        <v>0</v>
      </c>
      <c r="AQ356">
        <v>11.7</v>
      </c>
      <c r="AR356">
        <v>0</v>
      </c>
      <c r="AS356">
        <v>0</v>
      </c>
      <c r="AT356">
        <v>70</v>
      </c>
      <c r="AU356">
        <v>41</v>
      </c>
      <c r="AV356">
        <v>1.0469999999999999</v>
      </c>
      <c r="AW356">
        <v>1</v>
      </c>
      <c r="AZ356">
        <v>1</v>
      </c>
      <c r="BA356">
        <v>34.51</v>
      </c>
      <c r="BB356">
        <v>12.23</v>
      </c>
      <c r="BC356">
        <v>1</v>
      </c>
      <c r="BD356" t="s">
        <v>3</v>
      </c>
      <c r="BE356" t="s">
        <v>3</v>
      </c>
      <c r="BF356" t="s">
        <v>3</v>
      </c>
      <c r="BG356" t="s">
        <v>3</v>
      </c>
      <c r="BH356">
        <v>0</v>
      </c>
      <c r="BI356">
        <v>1</v>
      </c>
      <c r="BJ356" t="s">
        <v>351</v>
      </c>
      <c r="BM356">
        <v>674</v>
      </c>
      <c r="BN356">
        <v>0</v>
      </c>
      <c r="BO356" t="s">
        <v>349</v>
      </c>
      <c r="BP356">
        <v>1</v>
      </c>
      <c r="BQ356">
        <v>60</v>
      </c>
      <c r="BR356">
        <v>0</v>
      </c>
      <c r="BS356">
        <v>34.51</v>
      </c>
      <c r="BT356">
        <v>1</v>
      </c>
      <c r="BU356">
        <v>1</v>
      </c>
      <c r="BV356">
        <v>1</v>
      </c>
      <c r="BW356">
        <v>1</v>
      </c>
      <c r="BX356">
        <v>1</v>
      </c>
      <c r="BY356" t="s">
        <v>3</v>
      </c>
      <c r="BZ356">
        <v>70</v>
      </c>
      <c r="CA356">
        <v>41</v>
      </c>
      <c r="CB356" t="s">
        <v>3</v>
      </c>
      <c r="CE356">
        <v>30</v>
      </c>
      <c r="CF356">
        <v>0</v>
      </c>
      <c r="CG356">
        <v>0</v>
      </c>
      <c r="CM356">
        <v>0</v>
      </c>
      <c r="CN356" t="s">
        <v>689</v>
      </c>
      <c r="CO356">
        <v>0</v>
      </c>
      <c r="CP356">
        <f t="shared" si="284"/>
        <v>0</v>
      </c>
      <c r="CQ356">
        <f t="shared" si="285"/>
        <v>0</v>
      </c>
      <c r="CR356">
        <f t="shared" si="304"/>
        <v>7990.1</v>
      </c>
      <c r="CS356">
        <f t="shared" si="286"/>
        <v>2289.0500000000002</v>
      </c>
      <c r="CT356">
        <f t="shared" si="287"/>
        <v>4385.1899999999996</v>
      </c>
      <c r="CU356">
        <f t="shared" si="288"/>
        <v>0</v>
      </c>
      <c r="CV356">
        <f t="shared" si="289"/>
        <v>13.47489</v>
      </c>
      <c r="CW356">
        <f t="shared" si="290"/>
        <v>0</v>
      </c>
      <c r="CX356">
        <f t="shared" si="291"/>
        <v>0</v>
      </c>
      <c r="CY356">
        <f>S356*(BZ356/100)</f>
        <v>0</v>
      </c>
      <c r="CZ356">
        <f>S356*(CA356/100)</f>
        <v>0</v>
      </c>
      <c r="DC356" t="s">
        <v>3</v>
      </c>
      <c r="DD356" t="s">
        <v>3</v>
      </c>
      <c r="DE356" t="s">
        <v>22</v>
      </c>
      <c r="DF356" t="s">
        <v>22</v>
      </c>
      <c r="DG356" t="s">
        <v>22</v>
      </c>
      <c r="DH356" t="s">
        <v>3</v>
      </c>
      <c r="DI356" t="s">
        <v>22</v>
      </c>
      <c r="DJ356" t="s">
        <v>22</v>
      </c>
      <c r="DK356" t="s">
        <v>3</v>
      </c>
      <c r="DL356" t="s">
        <v>3</v>
      </c>
      <c r="DM356" t="s">
        <v>3</v>
      </c>
      <c r="DN356">
        <v>80</v>
      </c>
      <c r="DO356">
        <v>55</v>
      </c>
      <c r="DP356">
        <v>1.0469999999999999</v>
      </c>
      <c r="DQ356">
        <v>1</v>
      </c>
      <c r="DU356">
        <v>1007</v>
      </c>
      <c r="DV356" t="s">
        <v>280</v>
      </c>
      <c r="DW356" t="s">
        <v>280</v>
      </c>
      <c r="DX356">
        <v>100</v>
      </c>
      <c r="DZ356" t="s">
        <v>3</v>
      </c>
      <c r="EA356" t="s">
        <v>3</v>
      </c>
      <c r="EB356" t="s">
        <v>3</v>
      </c>
      <c r="EC356" t="s">
        <v>3</v>
      </c>
      <c r="EE356">
        <v>51696713</v>
      </c>
      <c r="EF356">
        <v>60</v>
      </c>
      <c r="EG356" t="s">
        <v>282</v>
      </c>
      <c r="EH356">
        <v>0</v>
      </c>
      <c r="EI356" t="s">
        <v>3</v>
      </c>
      <c r="EJ356">
        <v>1</v>
      </c>
      <c r="EK356">
        <v>674</v>
      </c>
      <c r="EL356" t="s">
        <v>283</v>
      </c>
      <c r="EM356" t="s">
        <v>284</v>
      </c>
      <c r="EO356" t="s">
        <v>26</v>
      </c>
      <c r="EQ356">
        <v>131072</v>
      </c>
      <c r="ER356">
        <v>677.6</v>
      </c>
      <c r="ES356">
        <v>0</v>
      </c>
      <c r="ET356">
        <v>567.27</v>
      </c>
      <c r="EU356">
        <v>57.59</v>
      </c>
      <c r="EV356">
        <v>110.33</v>
      </c>
      <c r="EW356">
        <v>11.7</v>
      </c>
      <c r="EX356">
        <v>0</v>
      </c>
      <c r="EY356">
        <v>0</v>
      </c>
      <c r="FQ356">
        <v>0</v>
      </c>
      <c r="FR356">
        <v>0</v>
      </c>
      <c r="FS356">
        <v>0</v>
      </c>
      <c r="FX356">
        <v>80</v>
      </c>
      <c r="FY356">
        <v>55</v>
      </c>
      <c r="GA356" t="s">
        <v>3</v>
      </c>
      <c r="GD356">
        <v>0</v>
      </c>
      <c r="GF356">
        <v>-538425389</v>
      </c>
      <c r="GG356">
        <v>2</v>
      </c>
      <c r="GH356">
        <v>1</v>
      </c>
      <c r="GI356">
        <v>2</v>
      </c>
      <c r="GJ356">
        <v>0</v>
      </c>
      <c r="GK356">
        <f>ROUND(R356*(S12)/100,2)</f>
        <v>0</v>
      </c>
      <c r="GL356">
        <f t="shared" si="292"/>
        <v>0</v>
      </c>
      <c r="GM356">
        <f t="shared" si="293"/>
        <v>0</v>
      </c>
      <c r="GN356">
        <f t="shared" si="294"/>
        <v>0</v>
      </c>
      <c r="GO356">
        <f t="shared" si="295"/>
        <v>0</v>
      </c>
      <c r="GP356">
        <f t="shared" si="296"/>
        <v>0</v>
      </c>
      <c r="GR356">
        <v>0</v>
      </c>
      <c r="GS356">
        <v>3</v>
      </c>
      <c r="GT356">
        <v>0</v>
      </c>
      <c r="GU356" t="s">
        <v>3</v>
      </c>
      <c r="GV356">
        <f t="shared" si="297"/>
        <v>0</v>
      </c>
      <c r="GW356">
        <v>1</v>
      </c>
      <c r="GX356">
        <f t="shared" si="298"/>
        <v>0</v>
      </c>
      <c r="HA356">
        <v>0</v>
      </c>
      <c r="HB356">
        <v>0</v>
      </c>
      <c r="HC356">
        <f t="shared" si="299"/>
        <v>0</v>
      </c>
      <c r="HE356" t="s">
        <v>3</v>
      </c>
      <c r="HF356" t="s">
        <v>3</v>
      </c>
      <c r="HM356" t="s">
        <v>3</v>
      </c>
      <c r="HN356" t="s">
        <v>3</v>
      </c>
      <c r="HO356" t="s">
        <v>3</v>
      </c>
      <c r="HP356" t="s">
        <v>3</v>
      </c>
      <c r="HQ356" t="s">
        <v>3</v>
      </c>
      <c r="HS356">
        <v>0</v>
      </c>
      <c r="IK356">
        <v>0</v>
      </c>
    </row>
    <row r="357" spans="1:255" x14ac:dyDescent="0.2">
      <c r="A357" s="2">
        <v>17</v>
      </c>
      <c r="B357" s="2">
        <v>1</v>
      </c>
      <c r="C357" s="2"/>
      <c r="D357" s="2">
        <f>ROW(EtalonRes!A526)</f>
        <v>526</v>
      </c>
      <c r="E357" s="2" t="s">
        <v>405</v>
      </c>
      <c r="F357" s="2" t="s">
        <v>286</v>
      </c>
      <c r="G357" s="2" t="s">
        <v>287</v>
      </c>
      <c r="H357" s="2" t="s">
        <v>280</v>
      </c>
      <c r="I357" s="2">
        <v>0</v>
      </c>
      <c r="J357" s="2">
        <v>0</v>
      </c>
      <c r="K357" s="2">
        <v>0</v>
      </c>
      <c r="L357" s="2"/>
      <c r="M357" s="2"/>
      <c r="N357" s="2"/>
      <c r="O357" s="2">
        <f t="shared" si="270"/>
        <v>0</v>
      </c>
      <c r="P357" s="2">
        <f t="shared" si="271"/>
        <v>0</v>
      </c>
      <c r="Q357" s="2">
        <f t="shared" si="300"/>
        <v>0</v>
      </c>
      <c r="R357" s="2">
        <f t="shared" si="272"/>
        <v>0</v>
      </c>
      <c r="S357" s="2">
        <f t="shared" si="273"/>
        <v>0</v>
      </c>
      <c r="T357" s="2">
        <f t="shared" si="274"/>
        <v>0</v>
      </c>
      <c r="U357" s="2">
        <f t="shared" si="275"/>
        <v>0</v>
      </c>
      <c r="V357" s="2">
        <f t="shared" si="276"/>
        <v>0</v>
      </c>
      <c r="W357" s="2">
        <f t="shared" si="277"/>
        <v>0</v>
      </c>
      <c r="X357" s="2">
        <f t="shared" si="278"/>
        <v>0</v>
      </c>
      <c r="Y357" s="2">
        <f t="shared" si="279"/>
        <v>0</v>
      </c>
      <c r="Z357" s="2"/>
      <c r="AA357" s="2">
        <v>56622523</v>
      </c>
      <c r="AB357" s="2">
        <f t="shared" si="280"/>
        <v>3277.703</v>
      </c>
      <c r="AC357" s="2">
        <f t="shared" si="281"/>
        <v>0</v>
      </c>
      <c r="AD357" s="2">
        <f t="shared" si="301"/>
        <v>2590.5439999999999</v>
      </c>
      <c r="AE357" s="2">
        <f t="shared" si="302"/>
        <v>193.63300000000001</v>
      </c>
      <c r="AF357" s="2">
        <f t="shared" si="302"/>
        <v>687.15899999999999</v>
      </c>
      <c r="AG357" s="2">
        <f t="shared" si="282"/>
        <v>0</v>
      </c>
      <c r="AH357" s="2">
        <f t="shared" si="303"/>
        <v>54.45</v>
      </c>
      <c r="AI357" s="2">
        <f t="shared" si="303"/>
        <v>0</v>
      </c>
      <c r="AJ357" s="2">
        <f t="shared" si="283"/>
        <v>0</v>
      </c>
      <c r="AK357" s="2">
        <v>2979.73</v>
      </c>
      <c r="AL357" s="2">
        <v>0</v>
      </c>
      <c r="AM357" s="2">
        <v>2355.04</v>
      </c>
      <c r="AN357" s="2">
        <v>176.03</v>
      </c>
      <c r="AO357" s="2">
        <v>624.69000000000005</v>
      </c>
      <c r="AP357" s="2">
        <v>0</v>
      </c>
      <c r="AQ357" s="2">
        <v>49.5</v>
      </c>
      <c r="AR357" s="2">
        <v>0</v>
      </c>
      <c r="AS357" s="2">
        <v>0</v>
      </c>
      <c r="AT357" s="2">
        <v>80</v>
      </c>
      <c r="AU357" s="2">
        <v>55</v>
      </c>
      <c r="AV357" s="2">
        <v>1.0469999999999999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0</v>
      </c>
      <c r="BI357" s="2">
        <v>1</v>
      </c>
      <c r="BJ357" s="2" t="s">
        <v>288</v>
      </c>
      <c r="BK357" s="2"/>
      <c r="BL357" s="2"/>
      <c r="BM357" s="2">
        <v>674</v>
      </c>
      <c r="BN357" s="2">
        <v>0</v>
      </c>
      <c r="BO357" s="2" t="s">
        <v>3</v>
      </c>
      <c r="BP357" s="2">
        <v>0</v>
      </c>
      <c r="BQ357" s="2">
        <v>60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80</v>
      </c>
      <c r="CA357" s="2">
        <v>55</v>
      </c>
      <c r="CB357" s="2" t="s">
        <v>3</v>
      </c>
      <c r="CC357" s="2"/>
      <c r="CD357" s="2"/>
      <c r="CE357" s="2">
        <v>30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689</v>
      </c>
      <c r="CO357" s="2">
        <v>0</v>
      </c>
      <c r="CP357" s="2">
        <f t="shared" si="284"/>
        <v>0</v>
      </c>
      <c r="CQ357" s="2">
        <f t="shared" si="285"/>
        <v>0</v>
      </c>
      <c r="CR357" s="2">
        <f t="shared" si="304"/>
        <v>2712.3</v>
      </c>
      <c r="CS357" s="2">
        <f t="shared" si="286"/>
        <v>202.73</v>
      </c>
      <c r="CT357" s="2">
        <f t="shared" si="287"/>
        <v>719.46</v>
      </c>
      <c r="CU357" s="2">
        <f t="shared" si="288"/>
        <v>0</v>
      </c>
      <c r="CV357" s="2">
        <f t="shared" si="289"/>
        <v>57.009149999999998</v>
      </c>
      <c r="CW357" s="2">
        <f t="shared" si="290"/>
        <v>0</v>
      </c>
      <c r="CX357" s="2">
        <f t="shared" si="291"/>
        <v>0</v>
      </c>
      <c r="CY357" s="2">
        <f>((S357*BZ357)/100)</f>
        <v>0</v>
      </c>
      <c r="CZ357" s="2">
        <f>((S357*CA357)/100)</f>
        <v>0</v>
      </c>
      <c r="DA357" s="2"/>
      <c r="DB357" s="2"/>
      <c r="DC357" s="2" t="s">
        <v>3</v>
      </c>
      <c r="DD357" s="2" t="s">
        <v>3</v>
      </c>
      <c r="DE357" s="2" t="s">
        <v>22</v>
      </c>
      <c r="DF357" s="2" t="s">
        <v>22</v>
      </c>
      <c r="DG357" s="2" t="s">
        <v>22</v>
      </c>
      <c r="DH357" s="2" t="s">
        <v>3</v>
      </c>
      <c r="DI357" s="2" t="s">
        <v>22</v>
      </c>
      <c r="DJ357" s="2" t="s">
        <v>22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1007</v>
      </c>
      <c r="DV357" s="2" t="s">
        <v>280</v>
      </c>
      <c r="DW357" s="2" t="s">
        <v>280</v>
      </c>
      <c r="DX357" s="2">
        <v>100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51696713</v>
      </c>
      <c r="EF357" s="2">
        <v>60</v>
      </c>
      <c r="EG357" s="2" t="s">
        <v>282</v>
      </c>
      <c r="EH357" s="2">
        <v>0</v>
      </c>
      <c r="EI357" s="2" t="s">
        <v>3</v>
      </c>
      <c r="EJ357" s="2">
        <v>1</v>
      </c>
      <c r="EK357" s="2">
        <v>674</v>
      </c>
      <c r="EL357" s="2" t="s">
        <v>283</v>
      </c>
      <c r="EM357" s="2" t="s">
        <v>284</v>
      </c>
      <c r="EN357" s="2"/>
      <c r="EO357" s="2" t="s">
        <v>26</v>
      </c>
      <c r="EP357" s="2"/>
      <c r="EQ357" s="2">
        <v>131072</v>
      </c>
      <c r="ER357" s="2">
        <v>2979.73</v>
      </c>
      <c r="ES357" s="2">
        <v>0</v>
      </c>
      <c r="ET357" s="2">
        <v>2355.04</v>
      </c>
      <c r="EU357" s="2">
        <v>176.03</v>
      </c>
      <c r="EV357" s="2">
        <v>624.69000000000005</v>
      </c>
      <c r="EW357" s="2">
        <v>49.5</v>
      </c>
      <c r="EX357" s="2">
        <v>0</v>
      </c>
      <c r="EY357" s="2">
        <v>0</v>
      </c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80</v>
      </c>
      <c r="FY357" s="2">
        <v>55</v>
      </c>
      <c r="FZ357" s="2"/>
      <c r="GA357" s="2" t="s">
        <v>3</v>
      </c>
      <c r="GB357" s="2"/>
      <c r="GC357" s="2"/>
      <c r="GD357" s="2">
        <v>0</v>
      </c>
      <c r="GE357" s="2"/>
      <c r="GF357" s="2">
        <v>-103070583</v>
      </c>
      <c r="GG357" s="2">
        <v>2</v>
      </c>
      <c r="GH357" s="2">
        <v>1</v>
      </c>
      <c r="GI357" s="2">
        <v>-2</v>
      </c>
      <c r="GJ357" s="2">
        <v>0</v>
      </c>
      <c r="GK357" s="2">
        <f>ROUND(R357*(R12)/100,2)</f>
        <v>0</v>
      </c>
      <c r="GL357" s="2">
        <f t="shared" si="292"/>
        <v>0</v>
      </c>
      <c r="GM357" s="2">
        <f t="shared" si="293"/>
        <v>0</v>
      </c>
      <c r="GN357" s="2">
        <f t="shared" si="294"/>
        <v>0</v>
      </c>
      <c r="GO357" s="2">
        <f t="shared" si="295"/>
        <v>0</v>
      </c>
      <c r="GP357" s="2">
        <f t="shared" si="296"/>
        <v>0</v>
      </c>
      <c r="GQ357" s="2"/>
      <c r="GR357" s="2">
        <v>0</v>
      </c>
      <c r="GS357" s="2">
        <v>0</v>
      </c>
      <c r="GT357" s="2">
        <v>0</v>
      </c>
      <c r="GU357" s="2" t="s">
        <v>3</v>
      </c>
      <c r="GV357" s="2">
        <f t="shared" si="297"/>
        <v>0</v>
      </c>
      <c r="GW357" s="2">
        <v>1</v>
      </c>
      <c r="GX357" s="2">
        <f t="shared" si="298"/>
        <v>0</v>
      </c>
      <c r="GY357" s="2"/>
      <c r="GZ357" s="2"/>
      <c r="HA357" s="2">
        <v>0</v>
      </c>
      <c r="HB357" s="2">
        <v>0</v>
      </c>
      <c r="HC357" s="2">
        <f t="shared" si="299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3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>
        <v>17</v>
      </c>
      <c r="B358">
        <v>1</v>
      </c>
      <c r="D358">
        <f>ROW(EtalonRes!A530)</f>
        <v>530</v>
      </c>
      <c r="E358" t="s">
        <v>405</v>
      </c>
      <c r="F358" t="s">
        <v>286</v>
      </c>
      <c r="G358" t="s">
        <v>287</v>
      </c>
      <c r="H358" t="s">
        <v>280</v>
      </c>
      <c r="I358">
        <v>0</v>
      </c>
      <c r="J358">
        <v>0</v>
      </c>
      <c r="K358">
        <v>0</v>
      </c>
      <c r="O358">
        <f t="shared" si="270"/>
        <v>0</v>
      </c>
      <c r="P358">
        <f t="shared" si="271"/>
        <v>0</v>
      </c>
      <c r="Q358">
        <f t="shared" si="300"/>
        <v>0</v>
      </c>
      <c r="R358">
        <f t="shared" si="272"/>
        <v>0</v>
      </c>
      <c r="S358">
        <f t="shared" si="273"/>
        <v>0</v>
      </c>
      <c r="T358">
        <f t="shared" si="274"/>
        <v>0</v>
      </c>
      <c r="U358">
        <f t="shared" si="275"/>
        <v>0</v>
      </c>
      <c r="V358">
        <f t="shared" si="276"/>
        <v>0</v>
      </c>
      <c r="W358">
        <f t="shared" si="277"/>
        <v>0</v>
      </c>
      <c r="X358">
        <f t="shared" si="278"/>
        <v>0</v>
      </c>
      <c r="Y358">
        <f t="shared" si="279"/>
        <v>0</v>
      </c>
      <c r="AA358">
        <v>56611490</v>
      </c>
      <c r="AB358">
        <f t="shared" si="280"/>
        <v>3277.703</v>
      </c>
      <c r="AC358">
        <f t="shared" si="281"/>
        <v>0</v>
      </c>
      <c r="AD358">
        <f t="shared" si="301"/>
        <v>2590.5439999999999</v>
      </c>
      <c r="AE358">
        <f t="shared" si="302"/>
        <v>193.63300000000001</v>
      </c>
      <c r="AF358">
        <f t="shared" si="302"/>
        <v>687.15899999999999</v>
      </c>
      <c r="AG358">
        <f t="shared" si="282"/>
        <v>0</v>
      </c>
      <c r="AH358">
        <f t="shared" si="303"/>
        <v>54.45</v>
      </c>
      <c r="AI358">
        <f t="shared" si="303"/>
        <v>0</v>
      </c>
      <c r="AJ358">
        <f t="shared" si="283"/>
        <v>0</v>
      </c>
      <c r="AK358">
        <v>2979.73</v>
      </c>
      <c r="AL358">
        <v>0</v>
      </c>
      <c r="AM358">
        <v>2355.04</v>
      </c>
      <c r="AN358">
        <v>176.03</v>
      </c>
      <c r="AO358">
        <v>624.69000000000005</v>
      </c>
      <c r="AP358">
        <v>0</v>
      </c>
      <c r="AQ358">
        <v>49.5</v>
      </c>
      <c r="AR358">
        <v>0</v>
      </c>
      <c r="AS358">
        <v>0</v>
      </c>
      <c r="AT358">
        <v>70</v>
      </c>
      <c r="AU358">
        <v>41</v>
      </c>
      <c r="AV358">
        <v>1.0469999999999999</v>
      </c>
      <c r="AW358">
        <v>1</v>
      </c>
      <c r="AZ358">
        <v>1</v>
      </c>
      <c r="BA358">
        <v>34.51</v>
      </c>
      <c r="BB358">
        <v>11.35</v>
      </c>
      <c r="BC358">
        <v>1</v>
      </c>
      <c r="BD358" t="s">
        <v>3</v>
      </c>
      <c r="BE358" t="s">
        <v>3</v>
      </c>
      <c r="BF358" t="s">
        <v>3</v>
      </c>
      <c r="BG358" t="s">
        <v>3</v>
      </c>
      <c r="BH358">
        <v>0</v>
      </c>
      <c r="BI358">
        <v>1</v>
      </c>
      <c r="BJ358" t="s">
        <v>288</v>
      </c>
      <c r="BM358">
        <v>674</v>
      </c>
      <c r="BN358">
        <v>0</v>
      </c>
      <c r="BO358" t="s">
        <v>286</v>
      </c>
      <c r="BP358">
        <v>1</v>
      </c>
      <c r="BQ358">
        <v>60</v>
      </c>
      <c r="BR358">
        <v>0</v>
      </c>
      <c r="BS358">
        <v>34.51</v>
      </c>
      <c r="BT358">
        <v>1</v>
      </c>
      <c r="BU358">
        <v>1</v>
      </c>
      <c r="BV358">
        <v>1</v>
      </c>
      <c r="BW358">
        <v>1</v>
      </c>
      <c r="BX358">
        <v>1</v>
      </c>
      <c r="BY358" t="s">
        <v>3</v>
      </c>
      <c r="BZ358">
        <v>70</v>
      </c>
      <c r="CA358">
        <v>41</v>
      </c>
      <c r="CB358" t="s">
        <v>3</v>
      </c>
      <c r="CE358">
        <v>30</v>
      </c>
      <c r="CF358">
        <v>0</v>
      </c>
      <c r="CG358">
        <v>0</v>
      </c>
      <c r="CM358">
        <v>0</v>
      </c>
      <c r="CN358" t="s">
        <v>689</v>
      </c>
      <c r="CO358">
        <v>0</v>
      </c>
      <c r="CP358">
        <f t="shared" si="284"/>
        <v>0</v>
      </c>
      <c r="CQ358">
        <f t="shared" si="285"/>
        <v>0</v>
      </c>
      <c r="CR358">
        <f t="shared" si="304"/>
        <v>30784.61</v>
      </c>
      <c r="CS358">
        <f t="shared" si="286"/>
        <v>6996.21</v>
      </c>
      <c r="CT358">
        <f t="shared" si="287"/>
        <v>24828.560000000001</v>
      </c>
      <c r="CU358">
        <f t="shared" si="288"/>
        <v>0</v>
      </c>
      <c r="CV358">
        <f t="shared" si="289"/>
        <v>57.009149999999998</v>
      </c>
      <c r="CW358">
        <f t="shared" si="290"/>
        <v>0</v>
      </c>
      <c r="CX358">
        <f t="shared" si="291"/>
        <v>0</v>
      </c>
      <c r="CY358">
        <f>S358*(BZ358/100)</f>
        <v>0</v>
      </c>
      <c r="CZ358">
        <f>S358*(CA358/100)</f>
        <v>0</v>
      </c>
      <c r="DC358" t="s">
        <v>3</v>
      </c>
      <c r="DD358" t="s">
        <v>3</v>
      </c>
      <c r="DE358" t="s">
        <v>22</v>
      </c>
      <c r="DF358" t="s">
        <v>22</v>
      </c>
      <c r="DG358" t="s">
        <v>22</v>
      </c>
      <c r="DH358" t="s">
        <v>3</v>
      </c>
      <c r="DI358" t="s">
        <v>22</v>
      </c>
      <c r="DJ358" t="s">
        <v>22</v>
      </c>
      <c r="DK358" t="s">
        <v>3</v>
      </c>
      <c r="DL358" t="s">
        <v>3</v>
      </c>
      <c r="DM358" t="s">
        <v>3</v>
      </c>
      <c r="DN358">
        <v>80</v>
      </c>
      <c r="DO358">
        <v>55</v>
      </c>
      <c r="DP358">
        <v>1.0469999999999999</v>
      </c>
      <c r="DQ358">
        <v>1</v>
      </c>
      <c r="DU358">
        <v>1007</v>
      </c>
      <c r="DV358" t="s">
        <v>280</v>
      </c>
      <c r="DW358" t="s">
        <v>280</v>
      </c>
      <c r="DX358">
        <v>100</v>
      </c>
      <c r="DZ358" t="s">
        <v>3</v>
      </c>
      <c r="EA358" t="s">
        <v>3</v>
      </c>
      <c r="EB358" t="s">
        <v>3</v>
      </c>
      <c r="EC358" t="s">
        <v>3</v>
      </c>
      <c r="EE358">
        <v>51696713</v>
      </c>
      <c r="EF358">
        <v>60</v>
      </c>
      <c r="EG358" t="s">
        <v>282</v>
      </c>
      <c r="EH358">
        <v>0</v>
      </c>
      <c r="EI358" t="s">
        <v>3</v>
      </c>
      <c r="EJ358">
        <v>1</v>
      </c>
      <c r="EK358">
        <v>674</v>
      </c>
      <c r="EL358" t="s">
        <v>283</v>
      </c>
      <c r="EM358" t="s">
        <v>284</v>
      </c>
      <c r="EO358" t="s">
        <v>26</v>
      </c>
      <c r="EQ358">
        <v>131072</v>
      </c>
      <c r="ER358">
        <v>2979.73</v>
      </c>
      <c r="ES358">
        <v>0</v>
      </c>
      <c r="ET358">
        <v>2355.04</v>
      </c>
      <c r="EU358">
        <v>176.03</v>
      </c>
      <c r="EV358">
        <v>624.69000000000005</v>
      </c>
      <c r="EW358">
        <v>49.5</v>
      </c>
      <c r="EX358">
        <v>0</v>
      </c>
      <c r="EY358">
        <v>0</v>
      </c>
      <c r="FQ358">
        <v>0</v>
      </c>
      <c r="FR358">
        <v>0</v>
      </c>
      <c r="FS358">
        <v>0</v>
      </c>
      <c r="FX358">
        <v>80</v>
      </c>
      <c r="FY358">
        <v>55</v>
      </c>
      <c r="GA358" t="s">
        <v>3</v>
      </c>
      <c r="GD358">
        <v>0</v>
      </c>
      <c r="GF358">
        <v>-103070583</v>
      </c>
      <c r="GG358">
        <v>2</v>
      </c>
      <c r="GH358">
        <v>1</v>
      </c>
      <c r="GI358">
        <v>2</v>
      </c>
      <c r="GJ358">
        <v>0</v>
      </c>
      <c r="GK358">
        <f>ROUND(R358*(S12)/100,2)</f>
        <v>0</v>
      </c>
      <c r="GL358">
        <f t="shared" si="292"/>
        <v>0</v>
      </c>
      <c r="GM358">
        <f t="shared" si="293"/>
        <v>0</v>
      </c>
      <c r="GN358">
        <f t="shared" si="294"/>
        <v>0</v>
      </c>
      <c r="GO358">
        <f t="shared" si="295"/>
        <v>0</v>
      </c>
      <c r="GP358">
        <f t="shared" si="296"/>
        <v>0</v>
      </c>
      <c r="GR358">
        <v>0</v>
      </c>
      <c r="GS358">
        <v>3</v>
      </c>
      <c r="GT358">
        <v>0</v>
      </c>
      <c r="GU358" t="s">
        <v>3</v>
      </c>
      <c r="GV358">
        <f t="shared" si="297"/>
        <v>0</v>
      </c>
      <c r="GW358">
        <v>1</v>
      </c>
      <c r="GX358">
        <f t="shared" si="298"/>
        <v>0</v>
      </c>
      <c r="HA358">
        <v>0</v>
      </c>
      <c r="HB358">
        <v>0</v>
      </c>
      <c r="HC358">
        <f t="shared" si="299"/>
        <v>0</v>
      </c>
      <c r="HE358" t="s">
        <v>3</v>
      </c>
      <c r="HF358" t="s">
        <v>3</v>
      </c>
      <c r="HM358" t="s">
        <v>3</v>
      </c>
      <c r="HN358" t="s">
        <v>3</v>
      </c>
      <c r="HO358" t="s">
        <v>3</v>
      </c>
      <c r="HP358" t="s">
        <v>3</v>
      </c>
      <c r="HQ358" t="s">
        <v>3</v>
      </c>
      <c r="HS358">
        <v>0</v>
      </c>
      <c r="IK358">
        <v>0</v>
      </c>
    </row>
    <row r="359" spans="1:255" x14ac:dyDescent="0.2">
      <c r="A359" s="2">
        <v>17</v>
      </c>
      <c r="B359" s="2">
        <v>1</v>
      </c>
      <c r="C359" s="2"/>
      <c r="D359" s="2">
        <f>ROW(EtalonRes!A531)</f>
        <v>531</v>
      </c>
      <c r="E359" s="2" t="s">
        <v>406</v>
      </c>
      <c r="F359" s="2" t="s">
        <v>290</v>
      </c>
      <c r="G359" s="2" t="s">
        <v>291</v>
      </c>
      <c r="H359" s="2" t="s">
        <v>292</v>
      </c>
      <c r="I359" s="2">
        <v>0</v>
      </c>
      <c r="J359" s="2">
        <v>0</v>
      </c>
      <c r="K359" s="2">
        <v>0</v>
      </c>
      <c r="L359" s="2"/>
      <c r="M359" s="2"/>
      <c r="N359" s="2"/>
      <c r="O359" s="2">
        <f t="shared" si="270"/>
        <v>0</v>
      </c>
      <c r="P359" s="2">
        <f t="shared" si="271"/>
        <v>0</v>
      </c>
      <c r="Q359" s="2">
        <f t="shared" si="300"/>
        <v>0</v>
      </c>
      <c r="R359" s="2">
        <f t="shared" si="272"/>
        <v>0</v>
      </c>
      <c r="S359" s="2">
        <f t="shared" si="273"/>
        <v>0</v>
      </c>
      <c r="T359" s="2">
        <f t="shared" si="274"/>
        <v>0</v>
      </c>
      <c r="U359" s="2">
        <f t="shared" si="275"/>
        <v>0</v>
      </c>
      <c r="V359" s="2">
        <f t="shared" si="276"/>
        <v>0</v>
      </c>
      <c r="W359" s="2">
        <f t="shared" si="277"/>
        <v>0</v>
      </c>
      <c r="X359" s="2">
        <f t="shared" si="278"/>
        <v>0</v>
      </c>
      <c r="Y359" s="2">
        <f t="shared" si="279"/>
        <v>0</v>
      </c>
      <c r="Z359" s="2"/>
      <c r="AA359" s="2">
        <v>56622523</v>
      </c>
      <c r="AB359" s="2">
        <f t="shared" si="280"/>
        <v>9.7460000000000004</v>
      </c>
      <c r="AC359" s="2">
        <f t="shared" si="281"/>
        <v>0</v>
      </c>
      <c r="AD359" s="2">
        <f t="shared" si="301"/>
        <v>9.7460000000000004</v>
      </c>
      <c r="AE359" s="2">
        <f t="shared" si="302"/>
        <v>1.6279999999999999</v>
      </c>
      <c r="AF359" s="2">
        <f t="shared" si="302"/>
        <v>0</v>
      </c>
      <c r="AG359" s="2">
        <f t="shared" si="282"/>
        <v>0</v>
      </c>
      <c r="AH359" s="2">
        <f t="shared" si="303"/>
        <v>0</v>
      </c>
      <c r="AI359" s="2">
        <f t="shared" si="303"/>
        <v>0</v>
      </c>
      <c r="AJ359" s="2">
        <f t="shared" si="283"/>
        <v>0</v>
      </c>
      <c r="AK359" s="2">
        <v>8.86</v>
      </c>
      <c r="AL359" s="2">
        <v>0</v>
      </c>
      <c r="AM359" s="2">
        <v>8.86</v>
      </c>
      <c r="AN359" s="2">
        <v>1.48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91</v>
      </c>
      <c r="AU359" s="2">
        <v>70</v>
      </c>
      <c r="AV359" s="2">
        <v>1.0469999999999999</v>
      </c>
      <c r="AW359" s="2">
        <v>1.002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0</v>
      </c>
      <c r="BI359" s="2">
        <v>1</v>
      </c>
      <c r="BJ359" s="2" t="s">
        <v>293</v>
      </c>
      <c r="BK359" s="2"/>
      <c r="BL359" s="2"/>
      <c r="BM359" s="2">
        <v>658</v>
      </c>
      <c r="BN359" s="2">
        <v>0</v>
      </c>
      <c r="BO359" s="2" t="s">
        <v>3</v>
      </c>
      <c r="BP359" s="2">
        <v>0</v>
      </c>
      <c r="BQ359" s="2">
        <v>60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91</v>
      </c>
      <c r="CA359" s="2">
        <v>70</v>
      </c>
      <c r="CB359" s="2" t="s">
        <v>3</v>
      </c>
      <c r="CC359" s="2"/>
      <c r="CD359" s="2"/>
      <c r="CE359" s="2">
        <v>30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689</v>
      </c>
      <c r="CO359" s="2">
        <v>0</v>
      </c>
      <c r="CP359" s="2">
        <f t="shared" si="284"/>
        <v>0</v>
      </c>
      <c r="CQ359" s="2">
        <f t="shared" si="285"/>
        <v>0</v>
      </c>
      <c r="CR359" s="2">
        <f t="shared" si="304"/>
        <v>10.199999999999999</v>
      </c>
      <c r="CS359" s="2">
        <f t="shared" si="286"/>
        <v>1.7</v>
      </c>
      <c r="CT359" s="2">
        <f t="shared" si="287"/>
        <v>0</v>
      </c>
      <c r="CU359" s="2">
        <f t="shared" si="288"/>
        <v>0</v>
      </c>
      <c r="CV359" s="2">
        <f t="shared" si="289"/>
        <v>0</v>
      </c>
      <c r="CW359" s="2">
        <f t="shared" si="290"/>
        <v>0</v>
      </c>
      <c r="CX359" s="2">
        <f t="shared" si="291"/>
        <v>0</v>
      </c>
      <c r="CY359" s="2">
        <f>((S359*BZ359)/100)</f>
        <v>0</v>
      </c>
      <c r="CZ359" s="2">
        <f>((S359*CA359)/100)</f>
        <v>0</v>
      </c>
      <c r="DA359" s="2"/>
      <c r="DB359" s="2"/>
      <c r="DC359" s="2" t="s">
        <v>3</v>
      </c>
      <c r="DD359" s="2" t="s">
        <v>3</v>
      </c>
      <c r="DE359" s="2" t="s">
        <v>22</v>
      </c>
      <c r="DF359" s="2" t="s">
        <v>22</v>
      </c>
      <c r="DG359" s="2" t="s">
        <v>22</v>
      </c>
      <c r="DH359" s="2" t="s">
        <v>3</v>
      </c>
      <c r="DI359" s="2" t="s">
        <v>22</v>
      </c>
      <c r="DJ359" s="2" t="s">
        <v>22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1013</v>
      </c>
      <c r="DV359" s="2" t="s">
        <v>292</v>
      </c>
      <c r="DW359" s="2" t="s">
        <v>292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51696697</v>
      </c>
      <c r="EF359" s="2">
        <v>60</v>
      </c>
      <c r="EG359" s="2" t="s">
        <v>282</v>
      </c>
      <c r="EH359" s="2">
        <v>0</v>
      </c>
      <c r="EI359" s="2" t="s">
        <v>3</v>
      </c>
      <c r="EJ359" s="2">
        <v>1</v>
      </c>
      <c r="EK359" s="2">
        <v>658</v>
      </c>
      <c r="EL359" s="2" t="s">
        <v>294</v>
      </c>
      <c r="EM359" s="2" t="s">
        <v>295</v>
      </c>
      <c r="EN359" s="2"/>
      <c r="EO359" s="2" t="s">
        <v>26</v>
      </c>
      <c r="EP359" s="2"/>
      <c r="EQ359" s="2">
        <v>131072</v>
      </c>
      <c r="ER359" s="2">
        <v>8.86</v>
      </c>
      <c r="ES359" s="2">
        <v>0</v>
      </c>
      <c r="ET359" s="2">
        <v>8.86</v>
      </c>
      <c r="EU359" s="2">
        <v>1.48</v>
      </c>
      <c r="EV359" s="2">
        <v>0</v>
      </c>
      <c r="EW359" s="2">
        <v>0</v>
      </c>
      <c r="EX359" s="2">
        <v>0</v>
      </c>
      <c r="EY359" s="2">
        <v>0</v>
      </c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91</v>
      </c>
      <c r="FY359" s="2">
        <v>70</v>
      </c>
      <c r="FZ359" s="2"/>
      <c r="GA359" s="2" t="s">
        <v>3</v>
      </c>
      <c r="GB359" s="2"/>
      <c r="GC359" s="2"/>
      <c r="GD359" s="2">
        <v>0</v>
      </c>
      <c r="GE359" s="2"/>
      <c r="GF359" s="2">
        <v>-714011973</v>
      </c>
      <c r="GG359" s="2">
        <v>2</v>
      </c>
      <c r="GH359" s="2">
        <v>1</v>
      </c>
      <c r="GI359" s="2">
        <v>-2</v>
      </c>
      <c r="GJ359" s="2">
        <v>0</v>
      </c>
      <c r="GK359" s="2">
        <f>ROUND(R359*(R12)/100,2)</f>
        <v>0</v>
      </c>
      <c r="GL359" s="2">
        <f t="shared" si="292"/>
        <v>0</v>
      </c>
      <c r="GM359" s="2">
        <f t="shared" si="293"/>
        <v>0</v>
      </c>
      <c r="GN359" s="2">
        <f t="shared" si="294"/>
        <v>0</v>
      </c>
      <c r="GO359" s="2">
        <f t="shared" si="295"/>
        <v>0</v>
      </c>
      <c r="GP359" s="2">
        <f t="shared" si="296"/>
        <v>0</v>
      </c>
      <c r="GQ359" s="2"/>
      <c r="GR359" s="2">
        <v>0</v>
      </c>
      <c r="GS359" s="2">
        <v>0</v>
      </c>
      <c r="GT359" s="2">
        <v>0</v>
      </c>
      <c r="GU359" s="2" t="s">
        <v>3</v>
      </c>
      <c r="GV359" s="2">
        <f t="shared" si="297"/>
        <v>0</v>
      </c>
      <c r="GW359" s="2">
        <v>1</v>
      </c>
      <c r="GX359" s="2">
        <f t="shared" si="298"/>
        <v>0</v>
      </c>
      <c r="GY359" s="2"/>
      <c r="GZ359" s="2"/>
      <c r="HA359" s="2">
        <v>0</v>
      </c>
      <c r="HB359" s="2">
        <v>0</v>
      </c>
      <c r="HC359" s="2">
        <f t="shared" si="299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>
        <v>17</v>
      </c>
      <c r="B360">
        <v>1</v>
      </c>
      <c r="D360">
        <f>ROW(EtalonRes!A532)</f>
        <v>532</v>
      </c>
      <c r="E360" t="s">
        <v>406</v>
      </c>
      <c r="F360" t="s">
        <v>290</v>
      </c>
      <c r="G360" t="s">
        <v>291</v>
      </c>
      <c r="H360" t="s">
        <v>292</v>
      </c>
      <c r="I360">
        <v>0</v>
      </c>
      <c r="J360">
        <v>0</v>
      </c>
      <c r="K360">
        <v>0</v>
      </c>
      <c r="O360">
        <f t="shared" si="270"/>
        <v>0</v>
      </c>
      <c r="P360">
        <f t="shared" si="271"/>
        <v>0</v>
      </c>
      <c r="Q360">
        <f t="shared" si="300"/>
        <v>0</v>
      </c>
      <c r="R360">
        <f t="shared" si="272"/>
        <v>0</v>
      </c>
      <c r="S360">
        <f t="shared" si="273"/>
        <v>0</v>
      </c>
      <c r="T360">
        <f t="shared" si="274"/>
        <v>0</v>
      </c>
      <c r="U360">
        <f t="shared" si="275"/>
        <v>0</v>
      </c>
      <c r="V360">
        <f t="shared" si="276"/>
        <v>0</v>
      </c>
      <c r="W360">
        <f t="shared" si="277"/>
        <v>0</v>
      </c>
      <c r="X360">
        <f t="shared" si="278"/>
        <v>0</v>
      </c>
      <c r="Y360">
        <f t="shared" si="279"/>
        <v>0</v>
      </c>
      <c r="AA360">
        <v>56611490</v>
      </c>
      <c r="AB360">
        <f t="shared" si="280"/>
        <v>9.7460000000000004</v>
      </c>
      <c r="AC360">
        <f t="shared" si="281"/>
        <v>0</v>
      </c>
      <c r="AD360">
        <f t="shared" si="301"/>
        <v>9.7460000000000004</v>
      </c>
      <c r="AE360">
        <f t="shared" si="302"/>
        <v>1.6279999999999999</v>
      </c>
      <c r="AF360">
        <f t="shared" si="302"/>
        <v>0</v>
      </c>
      <c r="AG360">
        <f t="shared" si="282"/>
        <v>0</v>
      </c>
      <c r="AH360">
        <f t="shared" si="303"/>
        <v>0</v>
      </c>
      <c r="AI360">
        <f t="shared" si="303"/>
        <v>0</v>
      </c>
      <c r="AJ360">
        <f t="shared" si="283"/>
        <v>0</v>
      </c>
      <c r="AK360">
        <v>8.86</v>
      </c>
      <c r="AL360">
        <v>0</v>
      </c>
      <c r="AM360">
        <v>8.86</v>
      </c>
      <c r="AN360">
        <v>1.48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75</v>
      </c>
      <c r="AU360">
        <v>41</v>
      </c>
      <c r="AV360">
        <v>1.0469999999999999</v>
      </c>
      <c r="AW360">
        <v>1.002</v>
      </c>
      <c r="AZ360">
        <v>1</v>
      </c>
      <c r="BA360">
        <v>34.51</v>
      </c>
      <c r="BB360">
        <v>13.53</v>
      </c>
      <c r="BC360">
        <v>1</v>
      </c>
      <c r="BD360" t="s">
        <v>3</v>
      </c>
      <c r="BE360" t="s">
        <v>3</v>
      </c>
      <c r="BF360" t="s">
        <v>3</v>
      </c>
      <c r="BG360" t="s">
        <v>3</v>
      </c>
      <c r="BH360">
        <v>0</v>
      </c>
      <c r="BI360">
        <v>1</v>
      </c>
      <c r="BJ360" t="s">
        <v>293</v>
      </c>
      <c r="BM360">
        <v>658</v>
      </c>
      <c r="BN360">
        <v>0</v>
      </c>
      <c r="BO360" t="s">
        <v>290</v>
      </c>
      <c r="BP360">
        <v>1</v>
      </c>
      <c r="BQ360">
        <v>60</v>
      </c>
      <c r="BR360">
        <v>0</v>
      </c>
      <c r="BS360">
        <v>34.51</v>
      </c>
      <c r="BT360">
        <v>1</v>
      </c>
      <c r="BU360">
        <v>1</v>
      </c>
      <c r="BV360">
        <v>1</v>
      </c>
      <c r="BW360">
        <v>1</v>
      </c>
      <c r="BX360">
        <v>1</v>
      </c>
      <c r="BY360" t="s">
        <v>3</v>
      </c>
      <c r="BZ360">
        <v>75</v>
      </c>
      <c r="CA360">
        <v>41</v>
      </c>
      <c r="CB360" t="s">
        <v>3</v>
      </c>
      <c r="CE360">
        <v>30</v>
      </c>
      <c r="CF360">
        <v>0</v>
      </c>
      <c r="CG360">
        <v>0</v>
      </c>
      <c r="CM360">
        <v>0</v>
      </c>
      <c r="CN360" t="s">
        <v>689</v>
      </c>
      <c r="CO360">
        <v>0</v>
      </c>
      <c r="CP360">
        <f t="shared" si="284"/>
        <v>0</v>
      </c>
      <c r="CQ360">
        <f t="shared" si="285"/>
        <v>0</v>
      </c>
      <c r="CR360">
        <f t="shared" si="304"/>
        <v>138.01</v>
      </c>
      <c r="CS360">
        <f t="shared" si="286"/>
        <v>58.67</v>
      </c>
      <c r="CT360">
        <f t="shared" si="287"/>
        <v>0</v>
      </c>
      <c r="CU360">
        <f t="shared" si="288"/>
        <v>0</v>
      </c>
      <c r="CV360">
        <f t="shared" si="289"/>
        <v>0</v>
      </c>
      <c r="CW360">
        <f t="shared" si="290"/>
        <v>0</v>
      </c>
      <c r="CX360">
        <f t="shared" si="291"/>
        <v>0</v>
      </c>
      <c r="CY360">
        <f>S360*(BZ360/100)</f>
        <v>0</v>
      </c>
      <c r="CZ360">
        <f>S360*(CA360/100)</f>
        <v>0</v>
      </c>
      <c r="DC360" t="s">
        <v>3</v>
      </c>
      <c r="DD360" t="s">
        <v>3</v>
      </c>
      <c r="DE360" t="s">
        <v>22</v>
      </c>
      <c r="DF360" t="s">
        <v>22</v>
      </c>
      <c r="DG360" t="s">
        <v>22</v>
      </c>
      <c r="DH360" t="s">
        <v>3</v>
      </c>
      <c r="DI360" t="s">
        <v>22</v>
      </c>
      <c r="DJ360" t="s">
        <v>22</v>
      </c>
      <c r="DK360" t="s">
        <v>3</v>
      </c>
      <c r="DL360" t="s">
        <v>3</v>
      </c>
      <c r="DM360" t="s">
        <v>3</v>
      </c>
      <c r="DN360">
        <v>91</v>
      </c>
      <c r="DO360">
        <v>70</v>
      </c>
      <c r="DP360">
        <v>1.0469999999999999</v>
      </c>
      <c r="DQ360">
        <v>1.002</v>
      </c>
      <c r="DU360">
        <v>1013</v>
      </c>
      <c r="DV360" t="s">
        <v>292</v>
      </c>
      <c r="DW360" t="s">
        <v>292</v>
      </c>
      <c r="DX360">
        <v>1</v>
      </c>
      <c r="DZ360" t="s">
        <v>3</v>
      </c>
      <c r="EA360" t="s">
        <v>3</v>
      </c>
      <c r="EB360" t="s">
        <v>3</v>
      </c>
      <c r="EC360" t="s">
        <v>3</v>
      </c>
      <c r="EE360">
        <v>51696697</v>
      </c>
      <c r="EF360">
        <v>60</v>
      </c>
      <c r="EG360" t="s">
        <v>282</v>
      </c>
      <c r="EH360">
        <v>0</v>
      </c>
      <c r="EI360" t="s">
        <v>3</v>
      </c>
      <c r="EJ360">
        <v>1</v>
      </c>
      <c r="EK360">
        <v>658</v>
      </c>
      <c r="EL360" t="s">
        <v>294</v>
      </c>
      <c r="EM360" t="s">
        <v>295</v>
      </c>
      <c r="EO360" t="s">
        <v>26</v>
      </c>
      <c r="EQ360">
        <v>131072</v>
      </c>
      <c r="ER360">
        <v>8.86</v>
      </c>
      <c r="ES360">
        <v>0</v>
      </c>
      <c r="ET360">
        <v>8.86</v>
      </c>
      <c r="EU360">
        <v>1.48</v>
      </c>
      <c r="EV360">
        <v>0</v>
      </c>
      <c r="EW360">
        <v>0</v>
      </c>
      <c r="EX360">
        <v>0</v>
      </c>
      <c r="EY360">
        <v>0</v>
      </c>
      <c r="FQ360">
        <v>0</v>
      </c>
      <c r="FR360">
        <v>0</v>
      </c>
      <c r="FS360">
        <v>0</v>
      </c>
      <c r="FX360">
        <v>91</v>
      </c>
      <c r="FY360">
        <v>70</v>
      </c>
      <c r="GA360" t="s">
        <v>3</v>
      </c>
      <c r="GD360">
        <v>0</v>
      </c>
      <c r="GF360">
        <v>-714011973</v>
      </c>
      <c r="GG360">
        <v>2</v>
      </c>
      <c r="GH360">
        <v>1</v>
      </c>
      <c r="GI360">
        <v>2</v>
      </c>
      <c r="GJ360">
        <v>0</v>
      </c>
      <c r="GK360">
        <f>ROUND(R360*(S12)/100,2)</f>
        <v>0</v>
      </c>
      <c r="GL360">
        <f t="shared" si="292"/>
        <v>0</v>
      </c>
      <c r="GM360">
        <f t="shared" si="293"/>
        <v>0</v>
      </c>
      <c r="GN360">
        <f t="shared" si="294"/>
        <v>0</v>
      </c>
      <c r="GO360">
        <f t="shared" si="295"/>
        <v>0</v>
      </c>
      <c r="GP360">
        <f t="shared" si="296"/>
        <v>0</v>
      </c>
      <c r="GR360">
        <v>0</v>
      </c>
      <c r="GS360">
        <v>3</v>
      </c>
      <c r="GT360">
        <v>0</v>
      </c>
      <c r="GU360" t="s">
        <v>3</v>
      </c>
      <c r="GV360">
        <f t="shared" si="297"/>
        <v>0</v>
      </c>
      <c r="GW360">
        <v>1</v>
      </c>
      <c r="GX360">
        <f t="shared" si="298"/>
        <v>0</v>
      </c>
      <c r="HA360">
        <v>0</v>
      </c>
      <c r="HB360">
        <v>0</v>
      </c>
      <c r="HC360">
        <f t="shared" si="299"/>
        <v>0</v>
      </c>
      <c r="HE360" t="s">
        <v>3</v>
      </c>
      <c r="HF360" t="s">
        <v>3</v>
      </c>
      <c r="HM360" t="s">
        <v>3</v>
      </c>
      <c r="HN360" t="s">
        <v>3</v>
      </c>
      <c r="HO360" t="s">
        <v>3</v>
      </c>
      <c r="HP360" t="s">
        <v>3</v>
      </c>
      <c r="HQ360" t="s">
        <v>3</v>
      </c>
      <c r="HS360">
        <v>0</v>
      </c>
      <c r="IK360">
        <v>0</v>
      </c>
    </row>
    <row r="361" spans="1:255" x14ac:dyDescent="0.2">
      <c r="A361" s="2">
        <v>17</v>
      </c>
      <c r="B361" s="2">
        <v>1</v>
      </c>
      <c r="C361" s="2">
        <f>ROW(SmtRes!A199)</f>
        <v>199</v>
      </c>
      <c r="D361" s="2">
        <f>ROW(EtalonRes!A540)</f>
        <v>540</v>
      </c>
      <c r="E361" s="2" t="s">
        <v>407</v>
      </c>
      <c r="F361" s="2" t="s">
        <v>297</v>
      </c>
      <c r="G361" s="2" t="s">
        <v>408</v>
      </c>
      <c r="H361" s="2" t="s">
        <v>299</v>
      </c>
      <c r="I361" s="2">
        <v>0</v>
      </c>
      <c r="J361" s="2">
        <v>0</v>
      </c>
      <c r="K361" s="2">
        <v>0</v>
      </c>
      <c r="L361" s="2"/>
      <c r="M361" s="2"/>
      <c r="N361" s="2"/>
      <c r="O361" s="2">
        <f t="shared" si="270"/>
        <v>0</v>
      </c>
      <c r="P361" s="2">
        <f t="shared" si="271"/>
        <v>0</v>
      </c>
      <c r="Q361" s="2">
        <f t="shared" si="300"/>
        <v>0</v>
      </c>
      <c r="R361" s="2">
        <f t="shared" si="272"/>
        <v>0</v>
      </c>
      <c r="S361" s="2">
        <f t="shared" si="273"/>
        <v>0</v>
      </c>
      <c r="T361" s="2">
        <f t="shared" si="274"/>
        <v>0</v>
      </c>
      <c r="U361" s="2">
        <f t="shared" si="275"/>
        <v>0</v>
      </c>
      <c r="V361" s="2">
        <f t="shared" si="276"/>
        <v>0</v>
      </c>
      <c r="W361" s="2">
        <f t="shared" si="277"/>
        <v>0</v>
      </c>
      <c r="X361" s="2">
        <f t="shared" si="278"/>
        <v>0</v>
      </c>
      <c r="Y361" s="2">
        <f t="shared" si="279"/>
        <v>0</v>
      </c>
      <c r="Z361" s="2"/>
      <c r="AA361" s="2">
        <v>56622523</v>
      </c>
      <c r="AB361" s="2">
        <f t="shared" si="280"/>
        <v>1513.2660000000001</v>
      </c>
      <c r="AC361" s="2">
        <f t="shared" si="281"/>
        <v>35.35</v>
      </c>
      <c r="AD361" s="2">
        <f t="shared" si="301"/>
        <v>1311.277</v>
      </c>
      <c r="AE361" s="2">
        <f t="shared" si="302"/>
        <v>104.41200000000001</v>
      </c>
      <c r="AF361" s="2">
        <f t="shared" si="302"/>
        <v>166.63900000000001</v>
      </c>
      <c r="AG361" s="2">
        <f t="shared" si="282"/>
        <v>0</v>
      </c>
      <c r="AH361" s="2">
        <f t="shared" si="303"/>
        <v>15.840000000000002</v>
      </c>
      <c r="AI361" s="2">
        <f t="shared" si="303"/>
        <v>0</v>
      </c>
      <c r="AJ361" s="2">
        <f t="shared" si="283"/>
        <v>0</v>
      </c>
      <c r="AK361" s="2">
        <v>1378.91</v>
      </c>
      <c r="AL361" s="2">
        <v>35.35</v>
      </c>
      <c r="AM361" s="2">
        <v>1192.07</v>
      </c>
      <c r="AN361" s="2">
        <v>94.92</v>
      </c>
      <c r="AO361" s="2">
        <v>151.49</v>
      </c>
      <c r="AP361" s="2">
        <v>0</v>
      </c>
      <c r="AQ361" s="2">
        <v>14.4</v>
      </c>
      <c r="AR361" s="2">
        <v>0</v>
      </c>
      <c r="AS361" s="2">
        <v>0</v>
      </c>
      <c r="AT361" s="2">
        <v>161</v>
      </c>
      <c r="AU361" s="2">
        <v>107</v>
      </c>
      <c r="AV361" s="2">
        <v>1.0469999999999999</v>
      </c>
      <c r="AW361" s="2">
        <v>1.002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0</v>
      </c>
      <c r="BI361" s="2">
        <v>1</v>
      </c>
      <c r="BJ361" s="2" t="s">
        <v>300</v>
      </c>
      <c r="BK361" s="2"/>
      <c r="BL361" s="2"/>
      <c r="BM361" s="2">
        <v>146</v>
      </c>
      <c r="BN361" s="2">
        <v>0</v>
      </c>
      <c r="BO361" s="2" t="s">
        <v>3</v>
      </c>
      <c r="BP361" s="2">
        <v>0</v>
      </c>
      <c r="BQ361" s="2">
        <v>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161</v>
      </c>
      <c r="CA361" s="2">
        <v>107</v>
      </c>
      <c r="CB361" s="2" t="s">
        <v>3</v>
      </c>
      <c r="CC361" s="2"/>
      <c r="CD361" s="2"/>
      <c r="CE361" s="2">
        <v>30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689</v>
      </c>
      <c r="CO361" s="2">
        <v>0</v>
      </c>
      <c r="CP361" s="2">
        <f t="shared" si="284"/>
        <v>0</v>
      </c>
      <c r="CQ361" s="2">
        <f t="shared" si="285"/>
        <v>35.42</v>
      </c>
      <c r="CR361" s="2">
        <f t="shared" si="304"/>
        <v>1372.91</v>
      </c>
      <c r="CS361" s="2">
        <f t="shared" si="286"/>
        <v>109.32</v>
      </c>
      <c r="CT361" s="2">
        <f t="shared" si="287"/>
        <v>174.47</v>
      </c>
      <c r="CU361" s="2">
        <f t="shared" si="288"/>
        <v>0</v>
      </c>
      <c r="CV361" s="2">
        <f t="shared" si="289"/>
        <v>16.584479999999999</v>
      </c>
      <c r="CW361" s="2">
        <f t="shared" si="290"/>
        <v>0</v>
      </c>
      <c r="CX361" s="2">
        <f t="shared" si="291"/>
        <v>0</v>
      </c>
      <c r="CY361" s="2">
        <f>((S361*BZ361)/100)</f>
        <v>0</v>
      </c>
      <c r="CZ361" s="2">
        <f>((S361*CA361)/100)</f>
        <v>0</v>
      </c>
      <c r="DA361" s="2"/>
      <c r="DB361" s="2"/>
      <c r="DC361" s="2" t="s">
        <v>3</v>
      </c>
      <c r="DD361" s="2" t="s">
        <v>3</v>
      </c>
      <c r="DE361" s="2" t="s">
        <v>22</v>
      </c>
      <c r="DF361" s="2" t="s">
        <v>22</v>
      </c>
      <c r="DG361" s="2" t="s">
        <v>22</v>
      </c>
      <c r="DH361" s="2" t="s">
        <v>3</v>
      </c>
      <c r="DI361" s="2" t="s">
        <v>22</v>
      </c>
      <c r="DJ361" s="2" t="s">
        <v>22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1013</v>
      </c>
      <c r="DV361" s="2" t="s">
        <v>299</v>
      </c>
      <c r="DW361" s="2" t="s">
        <v>299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51696185</v>
      </c>
      <c r="EF361" s="2">
        <v>30</v>
      </c>
      <c r="EG361" s="2" t="s">
        <v>23</v>
      </c>
      <c r="EH361" s="2">
        <v>0</v>
      </c>
      <c r="EI361" s="2" t="s">
        <v>3</v>
      </c>
      <c r="EJ361" s="2">
        <v>1</v>
      </c>
      <c r="EK361" s="2">
        <v>146</v>
      </c>
      <c r="EL361" s="2" t="s">
        <v>301</v>
      </c>
      <c r="EM361" s="2" t="s">
        <v>302</v>
      </c>
      <c r="EN361" s="2"/>
      <c r="EO361" s="2" t="s">
        <v>26</v>
      </c>
      <c r="EP361" s="2"/>
      <c r="EQ361" s="2">
        <v>131072</v>
      </c>
      <c r="ER361" s="2">
        <v>1378.91</v>
      </c>
      <c r="ES361" s="2">
        <v>35.35</v>
      </c>
      <c r="ET361" s="2">
        <v>1192.07</v>
      </c>
      <c r="EU361" s="2">
        <v>94.92</v>
      </c>
      <c r="EV361" s="2">
        <v>151.49</v>
      </c>
      <c r="EW361" s="2">
        <v>14.4</v>
      </c>
      <c r="EX361" s="2">
        <v>0</v>
      </c>
      <c r="EY361" s="2">
        <v>0</v>
      </c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161</v>
      </c>
      <c r="FY361" s="2">
        <v>107</v>
      </c>
      <c r="FZ361" s="2"/>
      <c r="GA361" s="2" t="s">
        <v>3</v>
      </c>
      <c r="GB361" s="2"/>
      <c r="GC361" s="2"/>
      <c r="GD361" s="2">
        <v>0</v>
      </c>
      <c r="GE361" s="2"/>
      <c r="GF361" s="2">
        <v>-1177786428</v>
      </c>
      <c r="GG361" s="2">
        <v>2</v>
      </c>
      <c r="GH361" s="2">
        <v>1</v>
      </c>
      <c r="GI361" s="2">
        <v>-2</v>
      </c>
      <c r="GJ361" s="2">
        <v>0</v>
      </c>
      <c r="GK361" s="2">
        <f>ROUND(R361*(R12)/100,2)</f>
        <v>0</v>
      </c>
      <c r="GL361" s="2">
        <f t="shared" si="292"/>
        <v>0</v>
      </c>
      <c r="GM361" s="2">
        <f t="shared" si="293"/>
        <v>0</v>
      </c>
      <c r="GN361" s="2">
        <f t="shared" si="294"/>
        <v>0</v>
      </c>
      <c r="GO361" s="2">
        <f t="shared" si="295"/>
        <v>0</v>
      </c>
      <c r="GP361" s="2">
        <f t="shared" si="296"/>
        <v>0</v>
      </c>
      <c r="GQ361" s="2"/>
      <c r="GR361" s="2">
        <v>0</v>
      </c>
      <c r="GS361" s="2">
        <v>0</v>
      </c>
      <c r="GT361" s="2">
        <v>0</v>
      </c>
      <c r="GU361" s="2" t="s">
        <v>3</v>
      </c>
      <c r="GV361" s="2">
        <f t="shared" si="297"/>
        <v>0</v>
      </c>
      <c r="GW361" s="2">
        <v>1</v>
      </c>
      <c r="GX361" s="2">
        <f t="shared" si="298"/>
        <v>0</v>
      </c>
      <c r="GY361" s="2"/>
      <c r="GZ361" s="2"/>
      <c r="HA361" s="2">
        <v>0</v>
      </c>
      <c r="HB361" s="2">
        <v>0</v>
      </c>
      <c r="HC361" s="2">
        <f t="shared" si="299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">
      <c r="A362">
        <v>17</v>
      </c>
      <c r="B362">
        <v>1</v>
      </c>
      <c r="C362">
        <f>ROW(SmtRes!A200)</f>
        <v>200</v>
      </c>
      <c r="D362">
        <f>ROW(EtalonRes!A548)</f>
        <v>548</v>
      </c>
      <c r="E362" t="s">
        <v>407</v>
      </c>
      <c r="F362" t="s">
        <v>297</v>
      </c>
      <c r="G362" t="s">
        <v>408</v>
      </c>
      <c r="H362" t="s">
        <v>299</v>
      </c>
      <c r="I362">
        <v>0</v>
      </c>
      <c r="J362">
        <v>0</v>
      </c>
      <c r="K362">
        <v>0</v>
      </c>
      <c r="O362">
        <f t="shared" si="270"/>
        <v>0</v>
      </c>
      <c r="P362">
        <f t="shared" si="271"/>
        <v>0</v>
      </c>
      <c r="Q362">
        <f t="shared" si="300"/>
        <v>0</v>
      </c>
      <c r="R362">
        <f t="shared" si="272"/>
        <v>0</v>
      </c>
      <c r="S362">
        <f t="shared" si="273"/>
        <v>0</v>
      </c>
      <c r="T362">
        <f t="shared" si="274"/>
        <v>0</v>
      </c>
      <c r="U362">
        <f t="shared" si="275"/>
        <v>0</v>
      </c>
      <c r="V362">
        <f t="shared" si="276"/>
        <v>0</v>
      </c>
      <c r="W362">
        <f t="shared" si="277"/>
        <v>0</v>
      </c>
      <c r="X362">
        <f t="shared" si="278"/>
        <v>0</v>
      </c>
      <c r="Y362">
        <f t="shared" si="279"/>
        <v>0</v>
      </c>
      <c r="AA362">
        <v>56611490</v>
      </c>
      <c r="AB362">
        <f t="shared" si="280"/>
        <v>1513.2660000000001</v>
      </c>
      <c r="AC362">
        <f t="shared" si="281"/>
        <v>35.35</v>
      </c>
      <c r="AD362">
        <f t="shared" si="301"/>
        <v>1311.277</v>
      </c>
      <c r="AE362">
        <f t="shared" si="302"/>
        <v>104.41200000000001</v>
      </c>
      <c r="AF362">
        <f t="shared" si="302"/>
        <v>166.63900000000001</v>
      </c>
      <c r="AG362">
        <f t="shared" si="282"/>
        <v>0</v>
      </c>
      <c r="AH362">
        <f t="shared" si="303"/>
        <v>15.840000000000002</v>
      </c>
      <c r="AI362">
        <f t="shared" si="303"/>
        <v>0</v>
      </c>
      <c r="AJ362">
        <f t="shared" si="283"/>
        <v>0</v>
      </c>
      <c r="AK362">
        <v>1378.91</v>
      </c>
      <c r="AL362">
        <v>35.35</v>
      </c>
      <c r="AM362">
        <v>1192.07</v>
      </c>
      <c r="AN362">
        <v>94.92</v>
      </c>
      <c r="AO362">
        <v>151.49</v>
      </c>
      <c r="AP362">
        <v>0</v>
      </c>
      <c r="AQ362">
        <v>14.4</v>
      </c>
      <c r="AR362">
        <v>0</v>
      </c>
      <c r="AS362">
        <v>0</v>
      </c>
      <c r="AT362">
        <v>134</v>
      </c>
      <c r="AU362">
        <v>55</v>
      </c>
      <c r="AV362">
        <v>1.0469999999999999</v>
      </c>
      <c r="AW362">
        <v>1.002</v>
      </c>
      <c r="AZ362">
        <v>1</v>
      </c>
      <c r="BA362">
        <v>34.51</v>
      </c>
      <c r="BB362">
        <v>11.7</v>
      </c>
      <c r="BC362">
        <v>7.05</v>
      </c>
      <c r="BD362" t="s">
        <v>3</v>
      </c>
      <c r="BE362" t="s">
        <v>3</v>
      </c>
      <c r="BF362" t="s">
        <v>3</v>
      </c>
      <c r="BG362" t="s">
        <v>3</v>
      </c>
      <c r="BH362">
        <v>0</v>
      </c>
      <c r="BI362">
        <v>1</v>
      </c>
      <c r="BJ362" t="s">
        <v>300</v>
      </c>
      <c r="BM362">
        <v>146</v>
      </c>
      <c r="BN362">
        <v>0</v>
      </c>
      <c r="BO362" t="s">
        <v>297</v>
      </c>
      <c r="BP362">
        <v>1</v>
      </c>
      <c r="BQ362">
        <v>30</v>
      </c>
      <c r="BR362">
        <v>0</v>
      </c>
      <c r="BS362">
        <v>34.51</v>
      </c>
      <c r="BT362">
        <v>1</v>
      </c>
      <c r="BU362">
        <v>1</v>
      </c>
      <c r="BV362">
        <v>1</v>
      </c>
      <c r="BW362">
        <v>1</v>
      </c>
      <c r="BX362">
        <v>1</v>
      </c>
      <c r="BY362" t="s">
        <v>3</v>
      </c>
      <c r="BZ362">
        <v>134</v>
      </c>
      <c r="CA362">
        <v>55</v>
      </c>
      <c r="CB362" t="s">
        <v>3</v>
      </c>
      <c r="CE362">
        <v>30</v>
      </c>
      <c r="CF362">
        <v>0</v>
      </c>
      <c r="CG362">
        <v>0</v>
      </c>
      <c r="CM362">
        <v>0</v>
      </c>
      <c r="CN362" t="s">
        <v>689</v>
      </c>
      <c r="CO362">
        <v>0</v>
      </c>
      <c r="CP362">
        <f t="shared" si="284"/>
        <v>0</v>
      </c>
      <c r="CQ362">
        <f t="shared" si="285"/>
        <v>249.71</v>
      </c>
      <c r="CR362">
        <f t="shared" si="304"/>
        <v>16063.05</v>
      </c>
      <c r="CS362">
        <f t="shared" si="286"/>
        <v>3772.63</v>
      </c>
      <c r="CT362">
        <f t="shared" si="287"/>
        <v>6020.96</v>
      </c>
      <c r="CU362">
        <f t="shared" si="288"/>
        <v>0</v>
      </c>
      <c r="CV362">
        <f t="shared" si="289"/>
        <v>16.584479999999999</v>
      </c>
      <c r="CW362">
        <f t="shared" si="290"/>
        <v>0</v>
      </c>
      <c r="CX362">
        <f t="shared" si="291"/>
        <v>0</v>
      </c>
      <c r="CY362">
        <f>S362*(BZ362/100)</f>
        <v>0</v>
      </c>
      <c r="CZ362">
        <f>S362*(CA362/100)</f>
        <v>0</v>
      </c>
      <c r="DC362" t="s">
        <v>3</v>
      </c>
      <c r="DD362" t="s">
        <v>3</v>
      </c>
      <c r="DE362" t="s">
        <v>22</v>
      </c>
      <c r="DF362" t="s">
        <v>22</v>
      </c>
      <c r="DG362" t="s">
        <v>22</v>
      </c>
      <c r="DH362" t="s">
        <v>3</v>
      </c>
      <c r="DI362" t="s">
        <v>22</v>
      </c>
      <c r="DJ362" t="s">
        <v>22</v>
      </c>
      <c r="DK362" t="s">
        <v>3</v>
      </c>
      <c r="DL362" t="s">
        <v>3</v>
      </c>
      <c r="DM362" t="s">
        <v>3</v>
      </c>
      <c r="DN362">
        <v>161</v>
      </c>
      <c r="DO362">
        <v>107</v>
      </c>
      <c r="DP362">
        <v>1.0469999999999999</v>
      </c>
      <c r="DQ362">
        <v>1.002</v>
      </c>
      <c r="DU362">
        <v>1013</v>
      </c>
      <c r="DV362" t="s">
        <v>299</v>
      </c>
      <c r="DW362" t="s">
        <v>299</v>
      </c>
      <c r="DX362">
        <v>1</v>
      </c>
      <c r="DZ362" t="s">
        <v>3</v>
      </c>
      <c r="EA362" t="s">
        <v>3</v>
      </c>
      <c r="EB362" t="s">
        <v>3</v>
      </c>
      <c r="EC362" t="s">
        <v>3</v>
      </c>
      <c r="EE362">
        <v>51696185</v>
      </c>
      <c r="EF362">
        <v>30</v>
      </c>
      <c r="EG362" t="s">
        <v>23</v>
      </c>
      <c r="EH362">
        <v>0</v>
      </c>
      <c r="EI362" t="s">
        <v>3</v>
      </c>
      <c r="EJ362">
        <v>1</v>
      </c>
      <c r="EK362">
        <v>146</v>
      </c>
      <c r="EL362" t="s">
        <v>301</v>
      </c>
      <c r="EM362" t="s">
        <v>302</v>
      </c>
      <c r="EO362" t="s">
        <v>26</v>
      </c>
      <c r="EQ362">
        <v>131072</v>
      </c>
      <c r="ER362">
        <v>1378.91</v>
      </c>
      <c r="ES362">
        <v>35.35</v>
      </c>
      <c r="ET362">
        <v>1192.07</v>
      </c>
      <c r="EU362">
        <v>94.92</v>
      </c>
      <c r="EV362">
        <v>151.49</v>
      </c>
      <c r="EW362">
        <v>14.4</v>
      </c>
      <c r="EX362">
        <v>0</v>
      </c>
      <c r="EY362">
        <v>0</v>
      </c>
      <c r="FQ362">
        <v>0</v>
      </c>
      <c r="FR362">
        <v>0</v>
      </c>
      <c r="FS362">
        <v>0</v>
      </c>
      <c r="FX362">
        <v>161</v>
      </c>
      <c r="FY362">
        <v>107</v>
      </c>
      <c r="GA362" t="s">
        <v>3</v>
      </c>
      <c r="GD362">
        <v>0</v>
      </c>
      <c r="GF362">
        <v>-1177786428</v>
      </c>
      <c r="GG362">
        <v>2</v>
      </c>
      <c r="GH362">
        <v>1</v>
      </c>
      <c r="GI362">
        <v>2</v>
      </c>
      <c r="GJ362">
        <v>0</v>
      </c>
      <c r="GK362">
        <f>ROUND(R362*(S12)/100,2)</f>
        <v>0</v>
      </c>
      <c r="GL362">
        <f t="shared" si="292"/>
        <v>0</v>
      </c>
      <c r="GM362">
        <f t="shared" si="293"/>
        <v>0</v>
      </c>
      <c r="GN362">
        <f t="shared" si="294"/>
        <v>0</v>
      </c>
      <c r="GO362">
        <f t="shared" si="295"/>
        <v>0</v>
      </c>
      <c r="GP362">
        <f t="shared" si="296"/>
        <v>0</v>
      </c>
      <c r="GR362">
        <v>0</v>
      </c>
      <c r="GS362">
        <v>3</v>
      </c>
      <c r="GT362">
        <v>0</v>
      </c>
      <c r="GU362" t="s">
        <v>3</v>
      </c>
      <c r="GV362">
        <f t="shared" si="297"/>
        <v>0</v>
      </c>
      <c r="GW362">
        <v>1</v>
      </c>
      <c r="GX362">
        <f t="shared" si="298"/>
        <v>0</v>
      </c>
      <c r="HA362">
        <v>0</v>
      </c>
      <c r="HB362">
        <v>0</v>
      </c>
      <c r="HC362">
        <f t="shared" si="299"/>
        <v>0</v>
      </c>
      <c r="HE362" t="s">
        <v>3</v>
      </c>
      <c r="HF362" t="s">
        <v>3</v>
      </c>
      <c r="HM362" t="s">
        <v>3</v>
      </c>
      <c r="HN362" t="s">
        <v>3</v>
      </c>
      <c r="HO362" t="s">
        <v>3</v>
      </c>
      <c r="HP362" t="s">
        <v>3</v>
      </c>
      <c r="HQ362" t="s">
        <v>3</v>
      </c>
      <c r="HS362">
        <v>0</v>
      </c>
      <c r="IK362">
        <v>0</v>
      </c>
    </row>
    <row r="363" spans="1:255" x14ac:dyDescent="0.2">
      <c r="A363" s="2">
        <v>18</v>
      </c>
      <c r="B363" s="2">
        <v>1</v>
      </c>
      <c r="C363" s="2">
        <v>199</v>
      </c>
      <c r="D363" s="2"/>
      <c r="E363" s="2" t="s">
        <v>409</v>
      </c>
      <c r="F363" s="2" t="s">
        <v>86</v>
      </c>
      <c r="G363" s="2" t="s">
        <v>304</v>
      </c>
      <c r="H363" s="2" t="s">
        <v>88</v>
      </c>
      <c r="I363" s="2">
        <f>I361*J363</f>
        <v>0</v>
      </c>
      <c r="J363" s="2">
        <v>110</v>
      </c>
      <c r="K363" s="2">
        <v>110</v>
      </c>
      <c r="L363" s="2"/>
      <c r="M363" s="2"/>
      <c r="N363" s="2"/>
      <c r="O363" s="2">
        <f t="shared" si="270"/>
        <v>0</v>
      </c>
      <c r="P363" s="2">
        <f t="shared" si="271"/>
        <v>0</v>
      </c>
      <c r="Q363" s="2">
        <f>(ROUND((ROUND(((ET363)*AV363*I363),2)*BB363),2)+ROUND((ROUND(((AE363-(EU363))*AV363*I363),2)*BS363),2))</f>
        <v>0</v>
      </c>
      <c r="R363" s="2">
        <f t="shared" si="272"/>
        <v>0</v>
      </c>
      <c r="S363" s="2">
        <f t="shared" si="273"/>
        <v>0</v>
      </c>
      <c r="T363" s="2">
        <f t="shared" si="274"/>
        <v>0</v>
      </c>
      <c r="U363" s="2">
        <f t="shared" si="275"/>
        <v>0</v>
      </c>
      <c r="V363" s="2">
        <f t="shared" si="276"/>
        <v>0</v>
      </c>
      <c r="W363" s="2">
        <f t="shared" si="277"/>
        <v>0</v>
      </c>
      <c r="X363" s="2">
        <f t="shared" si="278"/>
        <v>0</v>
      </c>
      <c r="Y363" s="2">
        <f t="shared" si="279"/>
        <v>0</v>
      </c>
      <c r="Z363" s="2"/>
      <c r="AA363" s="2">
        <v>56622523</v>
      </c>
      <c r="AB363" s="2">
        <f t="shared" si="280"/>
        <v>104.99</v>
      </c>
      <c r="AC363" s="2">
        <f t="shared" si="281"/>
        <v>104.99</v>
      </c>
      <c r="AD363" s="2">
        <f>ROUND((((ET363)-(EU363))+AE363),6)</f>
        <v>0</v>
      </c>
      <c r="AE363" s="2">
        <f>ROUND((EU363),6)</f>
        <v>0</v>
      </c>
      <c r="AF363" s="2">
        <f>ROUND((EV363),6)</f>
        <v>0</v>
      </c>
      <c r="AG363" s="2">
        <f t="shared" si="282"/>
        <v>0</v>
      </c>
      <c r="AH363" s="2">
        <f>(EW363)</f>
        <v>0</v>
      </c>
      <c r="AI363" s="2">
        <f>(EX363)</f>
        <v>0</v>
      </c>
      <c r="AJ363" s="2">
        <f t="shared" si="283"/>
        <v>0</v>
      </c>
      <c r="AK363" s="2">
        <v>104.99</v>
      </c>
      <c r="AL363" s="2">
        <v>104.99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161</v>
      </c>
      <c r="AU363" s="2">
        <v>107</v>
      </c>
      <c r="AV363" s="2">
        <v>1.0469999999999999</v>
      </c>
      <c r="AW363" s="2">
        <v>1.002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1</v>
      </c>
      <c r="BJ363" s="2" t="s">
        <v>89</v>
      </c>
      <c r="BK363" s="2"/>
      <c r="BL363" s="2"/>
      <c r="BM363" s="2">
        <v>146</v>
      </c>
      <c r="BN363" s="2">
        <v>0</v>
      </c>
      <c r="BO363" s="2" t="s">
        <v>3</v>
      </c>
      <c r="BP363" s="2">
        <v>0</v>
      </c>
      <c r="BQ363" s="2">
        <v>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161</v>
      </c>
      <c r="CA363" s="2">
        <v>107</v>
      </c>
      <c r="CB363" s="2" t="s">
        <v>3</v>
      </c>
      <c r="CC363" s="2"/>
      <c r="CD363" s="2"/>
      <c r="CE363" s="2">
        <v>30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3</v>
      </c>
      <c r="CO363" s="2">
        <v>0</v>
      </c>
      <c r="CP363" s="2">
        <f t="shared" si="284"/>
        <v>0</v>
      </c>
      <c r="CQ363" s="2">
        <f t="shared" si="285"/>
        <v>105.2</v>
      </c>
      <c r="CR363" s="2">
        <f>(ROUND((ROUND(((ET363)*AV363*1),2)*BB363),2)+ROUND((ROUND(((AE363-(EU363))*AV363*1),2)*BS363),2))</f>
        <v>0</v>
      </c>
      <c r="CS363" s="2">
        <f t="shared" si="286"/>
        <v>0</v>
      </c>
      <c r="CT363" s="2">
        <f t="shared" si="287"/>
        <v>0</v>
      </c>
      <c r="CU363" s="2">
        <f t="shared" si="288"/>
        <v>0</v>
      </c>
      <c r="CV363" s="2">
        <f t="shared" si="289"/>
        <v>0</v>
      </c>
      <c r="CW363" s="2">
        <f t="shared" si="290"/>
        <v>0</v>
      </c>
      <c r="CX363" s="2">
        <f t="shared" si="291"/>
        <v>0</v>
      </c>
      <c r="CY363" s="2">
        <f>((S363*BZ363)/100)</f>
        <v>0</v>
      </c>
      <c r="CZ363" s="2">
        <f>((S363*CA363)/100)</f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1007</v>
      </c>
      <c r="DV363" s="2" t="s">
        <v>88</v>
      </c>
      <c r="DW363" s="2" t="s">
        <v>88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51696185</v>
      </c>
      <c r="EF363" s="2">
        <v>30</v>
      </c>
      <c r="EG363" s="2" t="s">
        <v>23</v>
      </c>
      <c r="EH363" s="2">
        <v>0</v>
      </c>
      <c r="EI363" s="2" t="s">
        <v>3</v>
      </c>
      <c r="EJ363" s="2">
        <v>1</v>
      </c>
      <c r="EK363" s="2">
        <v>146</v>
      </c>
      <c r="EL363" s="2" t="s">
        <v>301</v>
      </c>
      <c r="EM363" s="2" t="s">
        <v>302</v>
      </c>
      <c r="EN363" s="2"/>
      <c r="EO363" s="2" t="s">
        <v>3</v>
      </c>
      <c r="EP363" s="2"/>
      <c r="EQ363" s="2">
        <v>0</v>
      </c>
      <c r="ER363" s="2">
        <v>104.99</v>
      </c>
      <c r="ES363" s="2">
        <v>104.99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161</v>
      </c>
      <c r="FY363" s="2">
        <v>107</v>
      </c>
      <c r="FZ363" s="2"/>
      <c r="GA363" s="2" t="s">
        <v>3</v>
      </c>
      <c r="GB363" s="2"/>
      <c r="GC363" s="2"/>
      <c r="GD363" s="2">
        <v>0</v>
      </c>
      <c r="GE363" s="2"/>
      <c r="GF363" s="2">
        <v>921520</v>
      </c>
      <c r="GG363" s="2">
        <v>2</v>
      </c>
      <c r="GH363" s="2">
        <v>1</v>
      </c>
      <c r="GI363" s="2">
        <v>-2</v>
      </c>
      <c r="GJ363" s="2">
        <v>0</v>
      </c>
      <c r="GK363" s="2">
        <f>ROUND(R363*(R12)/100,2)</f>
        <v>0</v>
      </c>
      <c r="GL363" s="2">
        <f t="shared" si="292"/>
        <v>0</v>
      </c>
      <c r="GM363" s="2">
        <f t="shared" si="293"/>
        <v>0</v>
      </c>
      <c r="GN363" s="2">
        <f t="shared" si="294"/>
        <v>0</v>
      </c>
      <c r="GO363" s="2">
        <f t="shared" si="295"/>
        <v>0</v>
      </c>
      <c r="GP363" s="2">
        <f t="shared" si="296"/>
        <v>0</v>
      </c>
      <c r="GQ363" s="2"/>
      <c r="GR363" s="2">
        <v>0</v>
      </c>
      <c r="GS363" s="2">
        <v>0</v>
      </c>
      <c r="GT363" s="2">
        <v>0</v>
      </c>
      <c r="GU363" s="2" t="s">
        <v>3</v>
      </c>
      <c r="GV363" s="2">
        <f t="shared" si="297"/>
        <v>0</v>
      </c>
      <c r="GW363" s="2">
        <v>1</v>
      </c>
      <c r="GX363" s="2">
        <f t="shared" si="298"/>
        <v>0</v>
      </c>
      <c r="GY363" s="2"/>
      <c r="GZ363" s="2"/>
      <c r="HA363" s="2">
        <v>0</v>
      </c>
      <c r="HB363" s="2">
        <v>0</v>
      </c>
      <c r="HC363" s="2">
        <f t="shared" si="299"/>
        <v>0</v>
      </c>
      <c r="HD363" s="2"/>
      <c r="HE363" s="2" t="s">
        <v>3</v>
      </c>
      <c r="HF363" s="2" t="s">
        <v>3</v>
      </c>
      <c r="HG363" s="2"/>
      <c r="HH363" s="2"/>
      <c r="HI363" s="2"/>
      <c r="HJ363" s="2"/>
      <c r="HK363" s="2"/>
      <c r="HL363" s="2"/>
      <c r="HM363" s="2" t="s">
        <v>3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">
      <c r="A364">
        <v>18</v>
      </c>
      <c r="B364">
        <v>1</v>
      </c>
      <c r="C364">
        <v>200</v>
      </c>
      <c r="E364" t="s">
        <v>409</v>
      </c>
      <c r="F364" t="s">
        <v>86</v>
      </c>
      <c r="G364" t="s">
        <v>304</v>
      </c>
      <c r="H364" t="s">
        <v>88</v>
      </c>
      <c r="I364">
        <f>I362*J364</f>
        <v>0</v>
      </c>
      <c r="J364">
        <v>110</v>
      </c>
      <c r="K364">
        <v>110</v>
      </c>
      <c r="O364">
        <f t="shared" si="270"/>
        <v>0</v>
      </c>
      <c r="P364">
        <f t="shared" si="271"/>
        <v>0</v>
      </c>
      <c r="Q364">
        <f>(ROUND((ROUND(((ET364)*AV364*I364),2)*BB364),2)+ROUND((ROUND(((AE364-(EU364))*AV364*I364),2)*BS364),2))</f>
        <v>0</v>
      </c>
      <c r="R364">
        <f t="shared" si="272"/>
        <v>0</v>
      </c>
      <c r="S364">
        <f t="shared" si="273"/>
        <v>0</v>
      </c>
      <c r="T364">
        <f t="shared" si="274"/>
        <v>0</v>
      </c>
      <c r="U364">
        <f t="shared" si="275"/>
        <v>0</v>
      </c>
      <c r="V364">
        <f t="shared" si="276"/>
        <v>0</v>
      </c>
      <c r="W364">
        <f t="shared" si="277"/>
        <v>0</v>
      </c>
      <c r="X364">
        <f t="shared" si="278"/>
        <v>0</v>
      </c>
      <c r="Y364">
        <f t="shared" si="279"/>
        <v>0</v>
      </c>
      <c r="AA364">
        <v>56611490</v>
      </c>
      <c r="AB364">
        <f t="shared" si="280"/>
        <v>104.99</v>
      </c>
      <c r="AC364">
        <f t="shared" si="281"/>
        <v>104.99</v>
      </c>
      <c r="AD364">
        <f>ROUND((((ET364)-(EU364))+AE364),6)</f>
        <v>0</v>
      </c>
      <c r="AE364">
        <f>ROUND((EU364),6)</f>
        <v>0</v>
      </c>
      <c r="AF364">
        <f>ROUND((EV364),6)</f>
        <v>0</v>
      </c>
      <c r="AG364">
        <f t="shared" si="282"/>
        <v>0</v>
      </c>
      <c r="AH364">
        <f>(EW364)</f>
        <v>0</v>
      </c>
      <c r="AI364">
        <f>(EX364)</f>
        <v>0</v>
      </c>
      <c r="AJ364">
        <f t="shared" si="283"/>
        <v>0</v>
      </c>
      <c r="AK364">
        <v>104.99</v>
      </c>
      <c r="AL364">
        <v>104.99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1.002</v>
      </c>
      <c r="AZ364">
        <v>1</v>
      </c>
      <c r="BA364">
        <v>1</v>
      </c>
      <c r="BB364">
        <v>1</v>
      </c>
      <c r="BC364">
        <v>7.69</v>
      </c>
      <c r="BD364" t="s">
        <v>3</v>
      </c>
      <c r="BE364" t="s">
        <v>3</v>
      </c>
      <c r="BF364" t="s">
        <v>3</v>
      </c>
      <c r="BG364" t="s">
        <v>3</v>
      </c>
      <c r="BH364">
        <v>3</v>
      </c>
      <c r="BI364">
        <v>1</v>
      </c>
      <c r="BJ364" t="s">
        <v>89</v>
      </c>
      <c r="BM364">
        <v>146</v>
      </c>
      <c r="BN364">
        <v>0</v>
      </c>
      <c r="BO364" t="s">
        <v>86</v>
      </c>
      <c r="BP364">
        <v>1</v>
      </c>
      <c r="BQ364">
        <v>30</v>
      </c>
      <c r="BR364">
        <v>0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 t="s">
        <v>3</v>
      </c>
      <c r="BZ364">
        <v>0</v>
      </c>
      <c r="CA364">
        <v>0</v>
      </c>
      <c r="CB364" t="s">
        <v>3</v>
      </c>
      <c r="CE364">
        <v>30</v>
      </c>
      <c r="CF364">
        <v>0</v>
      </c>
      <c r="CG364">
        <v>0</v>
      </c>
      <c r="CM364">
        <v>0</v>
      </c>
      <c r="CN364" t="s">
        <v>3</v>
      </c>
      <c r="CO364">
        <v>0</v>
      </c>
      <c r="CP364">
        <f t="shared" si="284"/>
        <v>0</v>
      </c>
      <c r="CQ364">
        <f t="shared" si="285"/>
        <v>808.99</v>
      </c>
      <c r="CR364">
        <f>(ROUND((ROUND(((ET364)*AV364*1),2)*BB364),2)+ROUND((ROUND(((AE364-(EU364))*AV364*1),2)*BS364),2))</f>
        <v>0</v>
      </c>
      <c r="CS364">
        <f t="shared" si="286"/>
        <v>0</v>
      </c>
      <c r="CT364">
        <f t="shared" si="287"/>
        <v>0</v>
      </c>
      <c r="CU364">
        <f t="shared" si="288"/>
        <v>0</v>
      </c>
      <c r="CV364">
        <f t="shared" si="289"/>
        <v>0</v>
      </c>
      <c r="CW364">
        <f t="shared" si="290"/>
        <v>0</v>
      </c>
      <c r="CX364">
        <f t="shared" si="291"/>
        <v>0</v>
      </c>
      <c r="CY364">
        <f>S364*(BZ364/100)</f>
        <v>0</v>
      </c>
      <c r="CZ364">
        <f>S364*(CA364/100)</f>
        <v>0</v>
      </c>
      <c r="DC364" t="s">
        <v>3</v>
      </c>
      <c r="DD364" t="s">
        <v>3</v>
      </c>
      <c r="DE364" t="s">
        <v>3</v>
      </c>
      <c r="DF364" t="s">
        <v>3</v>
      </c>
      <c r="DG364" t="s">
        <v>3</v>
      </c>
      <c r="DH364" t="s">
        <v>3</v>
      </c>
      <c r="DI364" t="s">
        <v>3</v>
      </c>
      <c r="DJ364" t="s">
        <v>3</v>
      </c>
      <c r="DK364" t="s">
        <v>3</v>
      </c>
      <c r="DL364" t="s">
        <v>3</v>
      </c>
      <c r="DM364" t="s">
        <v>3</v>
      </c>
      <c r="DN364">
        <v>161</v>
      </c>
      <c r="DO364">
        <v>107</v>
      </c>
      <c r="DP364">
        <v>1.0469999999999999</v>
      </c>
      <c r="DQ364">
        <v>1.002</v>
      </c>
      <c r="DU364">
        <v>1007</v>
      </c>
      <c r="DV364" t="s">
        <v>88</v>
      </c>
      <c r="DW364" t="s">
        <v>88</v>
      </c>
      <c r="DX364">
        <v>1</v>
      </c>
      <c r="DZ364" t="s">
        <v>3</v>
      </c>
      <c r="EA364" t="s">
        <v>3</v>
      </c>
      <c r="EB364" t="s">
        <v>3</v>
      </c>
      <c r="EC364" t="s">
        <v>3</v>
      </c>
      <c r="EE364">
        <v>51696185</v>
      </c>
      <c r="EF364">
        <v>30</v>
      </c>
      <c r="EG364" t="s">
        <v>23</v>
      </c>
      <c r="EH364">
        <v>0</v>
      </c>
      <c r="EI364" t="s">
        <v>3</v>
      </c>
      <c r="EJ364">
        <v>1</v>
      </c>
      <c r="EK364">
        <v>146</v>
      </c>
      <c r="EL364" t="s">
        <v>301</v>
      </c>
      <c r="EM364" t="s">
        <v>302</v>
      </c>
      <c r="EO364" t="s">
        <v>3</v>
      </c>
      <c r="EQ364">
        <v>0</v>
      </c>
      <c r="ER364">
        <v>104.99</v>
      </c>
      <c r="ES364">
        <v>104.99</v>
      </c>
      <c r="ET364">
        <v>0</v>
      </c>
      <c r="EU364">
        <v>0</v>
      </c>
      <c r="EV364">
        <v>0</v>
      </c>
      <c r="EW364">
        <v>0</v>
      </c>
      <c r="EX364">
        <v>0</v>
      </c>
      <c r="FQ364">
        <v>0</v>
      </c>
      <c r="FR364">
        <v>0</v>
      </c>
      <c r="FS364">
        <v>0</v>
      </c>
      <c r="FX364">
        <v>161</v>
      </c>
      <c r="FY364">
        <v>107</v>
      </c>
      <c r="GA364" t="s">
        <v>3</v>
      </c>
      <c r="GD364">
        <v>0</v>
      </c>
      <c r="GF364">
        <v>921520</v>
      </c>
      <c r="GG364">
        <v>2</v>
      </c>
      <c r="GH364">
        <v>1</v>
      </c>
      <c r="GI364">
        <v>2</v>
      </c>
      <c r="GJ364">
        <v>0</v>
      </c>
      <c r="GK364">
        <f>ROUND(R364*(S12)/100,2)</f>
        <v>0</v>
      </c>
      <c r="GL364">
        <f t="shared" si="292"/>
        <v>0</v>
      </c>
      <c r="GM364">
        <f t="shared" si="293"/>
        <v>0</v>
      </c>
      <c r="GN364">
        <f t="shared" si="294"/>
        <v>0</v>
      </c>
      <c r="GO364">
        <f t="shared" si="295"/>
        <v>0</v>
      </c>
      <c r="GP364">
        <f t="shared" si="296"/>
        <v>0</v>
      </c>
      <c r="GR364">
        <v>0</v>
      </c>
      <c r="GS364">
        <v>3</v>
      </c>
      <c r="GT364">
        <v>0</v>
      </c>
      <c r="GU364" t="s">
        <v>3</v>
      </c>
      <c r="GV364">
        <f t="shared" si="297"/>
        <v>0</v>
      </c>
      <c r="GW364">
        <v>1</v>
      </c>
      <c r="GX364">
        <f t="shared" si="298"/>
        <v>0</v>
      </c>
      <c r="HA364">
        <v>0</v>
      </c>
      <c r="HB364">
        <v>0</v>
      </c>
      <c r="HC364">
        <f t="shared" si="299"/>
        <v>0</v>
      </c>
      <c r="HE364" t="s">
        <v>3</v>
      </c>
      <c r="HF364" t="s">
        <v>3</v>
      </c>
      <c r="HM364" t="s">
        <v>3</v>
      </c>
      <c r="HN364" t="s">
        <v>3</v>
      </c>
      <c r="HO364" t="s">
        <v>3</v>
      </c>
      <c r="HP364" t="s">
        <v>3</v>
      </c>
      <c r="HQ364" t="s">
        <v>3</v>
      </c>
      <c r="HS364">
        <v>0</v>
      </c>
      <c r="IK364">
        <v>0</v>
      </c>
    </row>
    <row r="365" spans="1:255" x14ac:dyDescent="0.2">
      <c r="A365" s="2">
        <v>17</v>
      </c>
      <c r="B365" s="2">
        <v>1</v>
      </c>
      <c r="C365" s="2">
        <f>ROW(SmtRes!A201)</f>
        <v>201</v>
      </c>
      <c r="D365" s="2">
        <f>ROW(EtalonRes!A560)</f>
        <v>560</v>
      </c>
      <c r="E365" s="2" t="s">
        <v>410</v>
      </c>
      <c r="F365" s="2" t="s">
        <v>306</v>
      </c>
      <c r="G365" s="2" t="s">
        <v>307</v>
      </c>
      <c r="H365" s="2" t="s">
        <v>308</v>
      </c>
      <c r="I365" s="2">
        <v>0</v>
      </c>
      <c r="J365" s="2">
        <v>0</v>
      </c>
      <c r="K365" s="2">
        <v>0</v>
      </c>
      <c r="L365" s="2"/>
      <c r="M365" s="2"/>
      <c r="N365" s="2"/>
      <c r="O365" s="2">
        <f t="shared" si="270"/>
        <v>0</v>
      </c>
      <c r="P365" s="2">
        <f t="shared" si="271"/>
        <v>0</v>
      </c>
      <c r="Q365" s="2">
        <f>(ROUND((ROUND((((ET365*1.1))*AV365*I365),2)*BB365),2)+ROUND((ROUND(((AE365-((EU365*1.1)))*AV365*I365),2)*BS365),2))</f>
        <v>0</v>
      </c>
      <c r="R365" s="2">
        <f t="shared" si="272"/>
        <v>0</v>
      </c>
      <c r="S365" s="2">
        <f t="shared" si="273"/>
        <v>0</v>
      </c>
      <c r="T365" s="2">
        <f t="shared" si="274"/>
        <v>0</v>
      </c>
      <c r="U365" s="2">
        <f t="shared" si="275"/>
        <v>0</v>
      </c>
      <c r="V365" s="2">
        <f t="shared" si="276"/>
        <v>0</v>
      </c>
      <c r="W365" s="2">
        <f t="shared" si="277"/>
        <v>0</v>
      </c>
      <c r="X365" s="2">
        <f t="shared" si="278"/>
        <v>0</v>
      </c>
      <c r="Y365" s="2">
        <f t="shared" si="279"/>
        <v>0</v>
      </c>
      <c r="Z365" s="2"/>
      <c r="AA365" s="2">
        <v>56622523</v>
      </c>
      <c r="AB365" s="2">
        <f t="shared" si="280"/>
        <v>12318.191999999999</v>
      </c>
      <c r="AC365" s="2">
        <f t="shared" si="281"/>
        <v>6742.82</v>
      </c>
      <c r="AD365" s="2">
        <f>ROUND(((((ET365*1.1))-((EU365*1.1)))+AE365),6)</f>
        <v>2206.6329999999998</v>
      </c>
      <c r="AE365" s="2">
        <f>ROUND(((EU365*1.1)),6)</f>
        <v>179.828</v>
      </c>
      <c r="AF365" s="2">
        <f>ROUND(((EV365*1.1)),6)</f>
        <v>3368.739</v>
      </c>
      <c r="AG365" s="2">
        <f t="shared" si="282"/>
        <v>0</v>
      </c>
      <c r="AH365" s="2">
        <f>((EW365*1.1))</f>
        <v>293.70000000000005</v>
      </c>
      <c r="AI365" s="2">
        <f>((EX365*1.1))</f>
        <v>0</v>
      </c>
      <c r="AJ365" s="2">
        <f t="shared" si="283"/>
        <v>0</v>
      </c>
      <c r="AK365" s="2">
        <v>11811.34</v>
      </c>
      <c r="AL365" s="2">
        <v>6742.82</v>
      </c>
      <c r="AM365" s="2">
        <v>2006.03</v>
      </c>
      <c r="AN365" s="2">
        <v>163.47999999999999</v>
      </c>
      <c r="AO365" s="2">
        <v>3062.49</v>
      </c>
      <c r="AP365" s="2">
        <v>0</v>
      </c>
      <c r="AQ365" s="2">
        <v>267</v>
      </c>
      <c r="AR365" s="2">
        <v>0</v>
      </c>
      <c r="AS365" s="2">
        <v>0</v>
      </c>
      <c r="AT365" s="2">
        <v>161</v>
      </c>
      <c r="AU365" s="2">
        <v>107</v>
      </c>
      <c r="AV365" s="2">
        <v>1.0469999999999999</v>
      </c>
      <c r="AW365" s="2">
        <v>1.002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0</v>
      </c>
      <c r="BI365" s="2">
        <v>1</v>
      </c>
      <c r="BJ365" s="2" t="s">
        <v>309</v>
      </c>
      <c r="BK365" s="2"/>
      <c r="BL365" s="2"/>
      <c r="BM365" s="2">
        <v>152</v>
      </c>
      <c r="BN365" s="2">
        <v>0</v>
      </c>
      <c r="BO365" s="2" t="s">
        <v>3</v>
      </c>
      <c r="BP365" s="2">
        <v>0</v>
      </c>
      <c r="BQ365" s="2">
        <v>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161</v>
      </c>
      <c r="CA365" s="2">
        <v>107</v>
      </c>
      <c r="CB365" s="2" t="s">
        <v>3</v>
      </c>
      <c r="CC365" s="2"/>
      <c r="CD365" s="2"/>
      <c r="CE365" s="2">
        <v>30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689</v>
      </c>
      <c r="CO365" s="2">
        <v>0</v>
      </c>
      <c r="CP365" s="2">
        <f t="shared" si="284"/>
        <v>0</v>
      </c>
      <c r="CQ365" s="2">
        <f t="shared" si="285"/>
        <v>6756.31</v>
      </c>
      <c r="CR365" s="2">
        <f>(ROUND((ROUND((((ET365*1.1))*AV365*1),2)*BB365),2)+ROUND((ROUND(((AE365-((EU365*1.1)))*AV365*1),2)*BS365),2))</f>
        <v>2310.34</v>
      </c>
      <c r="CS365" s="2">
        <f t="shared" si="286"/>
        <v>188.28</v>
      </c>
      <c r="CT365" s="2">
        <f t="shared" si="287"/>
        <v>3527.07</v>
      </c>
      <c r="CU365" s="2">
        <f t="shared" si="288"/>
        <v>0</v>
      </c>
      <c r="CV365" s="2">
        <f t="shared" si="289"/>
        <v>307.50390000000004</v>
      </c>
      <c r="CW365" s="2">
        <f t="shared" si="290"/>
        <v>0</v>
      </c>
      <c r="CX365" s="2">
        <f t="shared" si="291"/>
        <v>0</v>
      </c>
      <c r="CY365" s="2">
        <f>((S365*BZ365)/100)</f>
        <v>0</v>
      </c>
      <c r="CZ365" s="2">
        <f>((S365*CA365)/100)</f>
        <v>0</v>
      </c>
      <c r="DA365" s="2"/>
      <c r="DB365" s="2"/>
      <c r="DC365" s="2" t="s">
        <v>3</v>
      </c>
      <c r="DD365" s="2" t="s">
        <v>3</v>
      </c>
      <c r="DE365" s="2" t="s">
        <v>22</v>
      </c>
      <c r="DF365" s="2" t="s">
        <v>22</v>
      </c>
      <c r="DG365" s="2" t="s">
        <v>22</v>
      </c>
      <c r="DH365" s="2" t="s">
        <v>3</v>
      </c>
      <c r="DI365" s="2" t="s">
        <v>22</v>
      </c>
      <c r="DJ365" s="2" t="s">
        <v>22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1013</v>
      </c>
      <c r="DV365" s="2" t="s">
        <v>308</v>
      </c>
      <c r="DW365" s="2" t="s">
        <v>308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51696191</v>
      </c>
      <c r="EF365" s="2">
        <v>30</v>
      </c>
      <c r="EG365" s="2" t="s">
        <v>23</v>
      </c>
      <c r="EH365" s="2">
        <v>0</v>
      </c>
      <c r="EI365" s="2" t="s">
        <v>3</v>
      </c>
      <c r="EJ365" s="2">
        <v>1</v>
      </c>
      <c r="EK365" s="2">
        <v>152</v>
      </c>
      <c r="EL365" s="2" t="s">
        <v>310</v>
      </c>
      <c r="EM365" s="2" t="s">
        <v>311</v>
      </c>
      <c r="EN365" s="2"/>
      <c r="EO365" s="2" t="s">
        <v>26</v>
      </c>
      <c r="EP365" s="2"/>
      <c r="EQ365" s="2">
        <v>131072</v>
      </c>
      <c r="ER365" s="2">
        <v>11811.34</v>
      </c>
      <c r="ES365" s="2">
        <v>6742.82</v>
      </c>
      <c r="ET365" s="2">
        <v>2006.03</v>
      </c>
      <c r="EU365" s="2">
        <v>163.47999999999999</v>
      </c>
      <c r="EV365" s="2">
        <v>3062.49</v>
      </c>
      <c r="EW365" s="2">
        <v>267</v>
      </c>
      <c r="EX365" s="2">
        <v>0</v>
      </c>
      <c r="EY365" s="2">
        <v>0</v>
      </c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161</v>
      </c>
      <c r="FY365" s="2">
        <v>107</v>
      </c>
      <c r="FZ365" s="2"/>
      <c r="GA365" s="2" t="s">
        <v>3</v>
      </c>
      <c r="GB365" s="2"/>
      <c r="GC365" s="2"/>
      <c r="GD365" s="2">
        <v>0</v>
      </c>
      <c r="GE365" s="2"/>
      <c r="GF365" s="2">
        <v>-245766510</v>
      </c>
      <c r="GG365" s="2">
        <v>2</v>
      </c>
      <c r="GH365" s="2">
        <v>1</v>
      </c>
      <c r="GI365" s="2">
        <v>-2</v>
      </c>
      <c r="GJ365" s="2">
        <v>0</v>
      </c>
      <c r="GK365" s="2">
        <f>ROUND(R365*(R12)/100,2)</f>
        <v>0</v>
      </c>
      <c r="GL365" s="2">
        <f t="shared" si="292"/>
        <v>0</v>
      </c>
      <c r="GM365" s="2">
        <f t="shared" si="293"/>
        <v>0</v>
      </c>
      <c r="GN365" s="2">
        <f t="shared" si="294"/>
        <v>0</v>
      </c>
      <c r="GO365" s="2">
        <f t="shared" si="295"/>
        <v>0</v>
      </c>
      <c r="GP365" s="2">
        <f t="shared" si="296"/>
        <v>0</v>
      </c>
      <c r="GQ365" s="2"/>
      <c r="GR365" s="2">
        <v>0</v>
      </c>
      <c r="GS365" s="2">
        <v>0</v>
      </c>
      <c r="GT365" s="2">
        <v>0</v>
      </c>
      <c r="GU365" s="2" t="s">
        <v>3</v>
      </c>
      <c r="GV365" s="2">
        <f t="shared" si="297"/>
        <v>0</v>
      </c>
      <c r="GW365" s="2">
        <v>1</v>
      </c>
      <c r="GX365" s="2">
        <f t="shared" si="298"/>
        <v>0</v>
      </c>
      <c r="GY365" s="2"/>
      <c r="GZ365" s="2"/>
      <c r="HA365" s="2">
        <v>0</v>
      </c>
      <c r="HB365" s="2">
        <v>0</v>
      </c>
      <c r="HC365" s="2">
        <f t="shared" si="299"/>
        <v>0</v>
      </c>
      <c r="HD365" s="2"/>
      <c r="HE365" s="2" t="s">
        <v>3</v>
      </c>
      <c r="HF365" s="2" t="s">
        <v>3</v>
      </c>
      <c r="HG365" s="2"/>
      <c r="HH365" s="2"/>
      <c r="HI365" s="2"/>
      <c r="HJ365" s="2"/>
      <c r="HK365" s="2"/>
      <c r="HL365" s="2"/>
      <c r="HM365" s="2" t="s">
        <v>3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">
      <c r="A366">
        <v>17</v>
      </c>
      <c r="B366">
        <v>1</v>
      </c>
      <c r="C366">
        <f>ROW(SmtRes!A202)</f>
        <v>202</v>
      </c>
      <c r="D366">
        <f>ROW(EtalonRes!A572)</f>
        <v>572</v>
      </c>
      <c r="E366" t="s">
        <v>410</v>
      </c>
      <c r="F366" t="s">
        <v>306</v>
      </c>
      <c r="G366" t="s">
        <v>307</v>
      </c>
      <c r="H366" t="s">
        <v>308</v>
      </c>
      <c r="I366">
        <v>0</v>
      </c>
      <c r="J366">
        <v>0</v>
      </c>
      <c r="K366">
        <v>0</v>
      </c>
      <c r="O366">
        <f t="shared" si="270"/>
        <v>0</v>
      </c>
      <c r="P366">
        <f t="shared" si="271"/>
        <v>0</v>
      </c>
      <c r="Q366">
        <f>(ROUND((ROUND((((ET366*1.1))*AV366*I366),2)*BB366),2)+ROUND((ROUND(((AE366-((EU366*1.1)))*AV366*I366),2)*BS366),2))</f>
        <v>0</v>
      </c>
      <c r="R366">
        <f t="shared" si="272"/>
        <v>0</v>
      </c>
      <c r="S366">
        <f t="shared" si="273"/>
        <v>0</v>
      </c>
      <c r="T366">
        <f t="shared" si="274"/>
        <v>0</v>
      </c>
      <c r="U366">
        <f t="shared" si="275"/>
        <v>0</v>
      </c>
      <c r="V366">
        <f t="shared" si="276"/>
        <v>0</v>
      </c>
      <c r="W366">
        <f t="shared" si="277"/>
        <v>0</v>
      </c>
      <c r="X366">
        <f t="shared" si="278"/>
        <v>0</v>
      </c>
      <c r="Y366">
        <f t="shared" si="279"/>
        <v>0</v>
      </c>
      <c r="AA366">
        <v>56611490</v>
      </c>
      <c r="AB366">
        <f t="shared" si="280"/>
        <v>12318.191999999999</v>
      </c>
      <c r="AC366">
        <f t="shared" si="281"/>
        <v>6742.82</v>
      </c>
      <c r="AD366">
        <f>ROUND(((((ET366*1.1))-((EU366*1.1)))+AE366),6)</f>
        <v>2206.6329999999998</v>
      </c>
      <c r="AE366">
        <f>ROUND(((EU366*1.1)),6)</f>
        <v>179.828</v>
      </c>
      <c r="AF366">
        <f>ROUND(((EV366*1.1)),6)</f>
        <v>3368.739</v>
      </c>
      <c r="AG366">
        <f t="shared" si="282"/>
        <v>0</v>
      </c>
      <c r="AH366">
        <f>((EW366*1.1))</f>
        <v>293.70000000000005</v>
      </c>
      <c r="AI366">
        <f>((EX366*1.1))</f>
        <v>0</v>
      </c>
      <c r="AJ366">
        <f t="shared" si="283"/>
        <v>0</v>
      </c>
      <c r="AK366">
        <v>11811.34</v>
      </c>
      <c r="AL366">
        <v>6742.82</v>
      </c>
      <c r="AM366">
        <v>2006.03</v>
      </c>
      <c r="AN366">
        <v>163.47999999999999</v>
      </c>
      <c r="AO366">
        <v>3062.49</v>
      </c>
      <c r="AP366">
        <v>0</v>
      </c>
      <c r="AQ366">
        <v>267</v>
      </c>
      <c r="AR366">
        <v>0</v>
      </c>
      <c r="AS366">
        <v>0</v>
      </c>
      <c r="AT366">
        <v>134</v>
      </c>
      <c r="AU366">
        <v>55</v>
      </c>
      <c r="AV366">
        <v>1.0469999999999999</v>
      </c>
      <c r="AW366">
        <v>1.002</v>
      </c>
      <c r="AZ366">
        <v>1</v>
      </c>
      <c r="BA366">
        <v>34.51</v>
      </c>
      <c r="BB366">
        <v>11.5</v>
      </c>
      <c r="BC366">
        <v>7.13</v>
      </c>
      <c r="BD366" t="s">
        <v>3</v>
      </c>
      <c r="BE366" t="s">
        <v>3</v>
      </c>
      <c r="BF366" t="s">
        <v>3</v>
      </c>
      <c r="BG366" t="s">
        <v>3</v>
      </c>
      <c r="BH366">
        <v>0</v>
      </c>
      <c r="BI366">
        <v>1</v>
      </c>
      <c r="BJ366" t="s">
        <v>309</v>
      </c>
      <c r="BM366">
        <v>152</v>
      </c>
      <c r="BN366">
        <v>0</v>
      </c>
      <c r="BO366" t="s">
        <v>306</v>
      </c>
      <c r="BP366">
        <v>1</v>
      </c>
      <c r="BQ366">
        <v>30</v>
      </c>
      <c r="BR366">
        <v>0</v>
      </c>
      <c r="BS366">
        <v>34.51</v>
      </c>
      <c r="BT366">
        <v>1</v>
      </c>
      <c r="BU366">
        <v>1</v>
      </c>
      <c r="BV366">
        <v>1</v>
      </c>
      <c r="BW366">
        <v>1</v>
      </c>
      <c r="BX366">
        <v>1</v>
      </c>
      <c r="BY366" t="s">
        <v>3</v>
      </c>
      <c r="BZ366">
        <v>134</v>
      </c>
      <c r="CA366">
        <v>55</v>
      </c>
      <c r="CB366" t="s">
        <v>3</v>
      </c>
      <c r="CE366">
        <v>30</v>
      </c>
      <c r="CF366">
        <v>0</v>
      </c>
      <c r="CG366">
        <v>0</v>
      </c>
      <c r="CM366">
        <v>0</v>
      </c>
      <c r="CN366" t="s">
        <v>689</v>
      </c>
      <c r="CO366">
        <v>0</v>
      </c>
      <c r="CP366">
        <f t="shared" si="284"/>
        <v>0</v>
      </c>
      <c r="CQ366">
        <f t="shared" si="285"/>
        <v>48172.49</v>
      </c>
      <c r="CR366">
        <f>(ROUND((ROUND((((ET366*1.1))*AV366*1),2)*BB366),2)+ROUND((ROUND(((AE366-((EU366*1.1)))*AV366*1),2)*BS366),2))</f>
        <v>26568.91</v>
      </c>
      <c r="CS366">
        <f t="shared" si="286"/>
        <v>6497.54</v>
      </c>
      <c r="CT366">
        <f t="shared" si="287"/>
        <v>121719.19</v>
      </c>
      <c r="CU366">
        <f t="shared" si="288"/>
        <v>0</v>
      </c>
      <c r="CV366">
        <f t="shared" si="289"/>
        <v>307.50390000000004</v>
      </c>
      <c r="CW366">
        <f t="shared" si="290"/>
        <v>0</v>
      </c>
      <c r="CX366">
        <f t="shared" si="291"/>
        <v>0</v>
      </c>
      <c r="CY366">
        <f>S366*(BZ366/100)</f>
        <v>0</v>
      </c>
      <c r="CZ366">
        <f>S366*(CA366/100)</f>
        <v>0</v>
      </c>
      <c r="DC366" t="s">
        <v>3</v>
      </c>
      <c r="DD366" t="s">
        <v>3</v>
      </c>
      <c r="DE366" t="s">
        <v>22</v>
      </c>
      <c r="DF366" t="s">
        <v>22</v>
      </c>
      <c r="DG366" t="s">
        <v>22</v>
      </c>
      <c r="DH366" t="s">
        <v>3</v>
      </c>
      <c r="DI366" t="s">
        <v>22</v>
      </c>
      <c r="DJ366" t="s">
        <v>22</v>
      </c>
      <c r="DK366" t="s">
        <v>3</v>
      </c>
      <c r="DL366" t="s">
        <v>3</v>
      </c>
      <c r="DM366" t="s">
        <v>3</v>
      </c>
      <c r="DN366">
        <v>161</v>
      </c>
      <c r="DO366">
        <v>107</v>
      </c>
      <c r="DP366">
        <v>1.0469999999999999</v>
      </c>
      <c r="DQ366">
        <v>1.002</v>
      </c>
      <c r="DU366">
        <v>1013</v>
      </c>
      <c r="DV366" t="s">
        <v>308</v>
      </c>
      <c r="DW366" t="s">
        <v>308</v>
      </c>
      <c r="DX366">
        <v>1</v>
      </c>
      <c r="DZ366" t="s">
        <v>3</v>
      </c>
      <c r="EA366" t="s">
        <v>3</v>
      </c>
      <c r="EB366" t="s">
        <v>3</v>
      </c>
      <c r="EC366" t="s">
        <v>3</v>
      </c>
      <c r="EE366">
        <v>51696191</v>
      </c>
      <c r="EF366">
        <v>30</v>
      </c>
      <c r="EG366" t="s">
        <v>23</v>
      </c>
      <c r="EH366">
        <v>0</v>
      </c>
      <c r="EI366" t="s">
        <v>3</v>
      </c>
      <c r="EJ366">
        <v>1</v>
      </c>
      <c r="EK366">
        <v>152</v>
      </c>
      <c r="EL366" t="s">
        <v>310</v>
      </c>
      <c r="EM366" t="s">
        <v>311</v>
      </c>
      <c r="EO366" t="s">
        <v>26</v>
      </c>
      <c r="EQ366">
        <v>131072</v>
      </c>
      <c r="ER366">
        <v>11811.34</v>
      </c>
      <c r="ES366">
        <v>6742.82</v>
      </c>
      <c r="ET366">
        <v>2006.03</v>
      </c>
      <c r="EU366">
        <v>163.47999999999999</v>
      </c>
      <c r="EV366">
        <v>3062.49</v>
      </c>
      <c r="EW366">
        <v>267</v>
      </c>
      <c r="EX366">
        <v>0</v>
      </c>
      <c r="EY366">
        <v>0</v>
      </c>
      <c r="FQ366">
        <v>0</v>
      </c>
      <c r="FR366">
        <v>0</v>
      </c>
      <c r="FS366">
        <v>0</v>
      </c>
      <c r="FX366">
        <v>161</v>
      </c>
      <c r="FY366">
        <v>107</v>
      </c>
      <c r="GA366" t="s">
        <v>3</v>
      </c>
      <c r="GD366">
        <v>0</v>
      </c>
      <c r="GF366">
        <v>-245766510</v>
      </c>
      <c r="GG366">
        <v>2</v>
      </c>
      <c r="GH366">
        <v>1</v>
      </c>
      <c r="GI366">
        <v>2</v>
      </c>
      <c r="GJ366">
        <v>0</v>
      </c>
      <c r="GK366">
        <f>ROUND(R366*(S12)/100,2)</f>
        <v>0</v>
      </c>
      <c r="GL366">
        <f t="shared" si="292"/>
        <v>0</v>
      </c>
      <c r="GM366">
        <f t="shared" si="293"/>
        <v>0</v>
      </c>
      <c r="GN366">
        <f t="shared" si="294"/>
        <v>0</v>
      </c>
      <c r="GO366">
        <f t="shared" si="295"/>
        <v>0</v>
      </c>
      <c r="GP366">
        <f t="shared" si="296"/>
        <v>0</v>
      </c>
      <c r="GR366">
        <v>0</v>
      </c>
      <c r="GS366">
        <v>3</v>
      </c>
      <c r="GT366">
        <v>0</v>
      </c>
      <c r="GU366" t="s">
        <v>3</v>
      </c>
      <c r="GV366">
        <f t="shared" si="297"/>
        <v>0</v>
      </c>
      <c r="GW366">
        <v>1</v>
      </c>
      <c r="GX366">
        <f t="shared" si="298"/>
        <v>0</v>
      </c>
      <c r="HA366">
        <v>0</v>
      </c>
      <c r="HB366">
        <v>0</v>
      </c>
      <c r="HC366">
        <f t="shared" si="299"/>
        <v>0</v>
      </c>
      <c r="HE366" t="s">
        <v>3</v>
      </c>
      <c r="HF366" t="s">
        <v>3</v>
      </c>
      <c r="HM366" t="s">
        <v>3</v>
      </c>
      <c r="HN366" t="s">
        <v>3</v>
      </c>
      <c r="HO366" t="s">
        <v>3</v>
      </c>
      <c r="HP366" t="s">
        <v>3</v>
      </c>
      <c r="HQ366" t="s">
        <v>3</v>
      </c>
      <c r="HS366">
        <v>0</v>
      </c>
      <c r="IK366">
        <v>0</v>
      </c>
    </row>
    <row r="367" spans="1:255" x14ac:dyDescent="0.2">
      <c r="A367" s="2">
        <v>18</v>
      </c>
      <c r="B367" s="2">
        <v>1</v>
      </c>
      <c r="C367" s="2">
        <v>201</v>
      </c>
      <c r="D367" s="2"/>
      <c r="E367" s="2" t="s">
        <v>411</v>
      </c>
      <c r="F367" s="2" t="s">
        <v>313</v>
      </c>
      <c r="G367" s="2" t="s">
        <v>314</v>
      </c>
      <c r="H367" s="2" t="s">
        <v>88</v>
      </c>
      <c r="I367" s="2">
        <f>I365*J367</f>
        <v>0</v>
      </c>
      <c r="J367" s="2">
        <v>162</v>
      </c>
      <c r="K367" s="2">
        <v>162</v>
      </c>
      <c r="L367" s="2"/>
      <c r="M367" s="2"/>
      <c r="N367" s="2"/>
      <c r="O367" s="2">
        <f t="shared" si="270"/>
        <v>0</v>
      </c>
      <c r="P367" s="2">
        <f t="shared" si="271"/>
        <v>0</v>
      </c>
      <c r="Q367" s="2">
        <f>(ROUND((ROUND(((ET367)*AV367*I367),2)*BB367),2)+ROUND((ROUND(((AE367-(EU367))*AV367*I367),2)*BS367),2))</f>
        <v>0</v>
      </c>
      <c r="R367" s="2">
        <f t="shared" si="272"/>
        <v>0</v>
      </c>
      <c r="S367" s="2">
        <f t="shared" si="273"/>
        <v>0</v>
      </c>
      <c r="T367" s="2">
        <f t="shared" si="274"/>
        <v>0</v>
      </c>
      <c r="U367" s="2">
        <f t="shared" si="275"/>
        <v>0</v>
      </c>
      <c r="V367" s="2">
        <f t="shared" si="276"/>
        <v>0</v>
      </c>
      <c r="W367" s="2">
        <f t="shared" si="277"/>
        <v>0</v>
      </c>
      <c r="X367" s="2">
        <f t="shared" si="278"/>
        <v>0</v>
      </c>
      <c r="Y367" s="2">
        <f t="shared" si="279"/>
        <v>0</v>
      </c>
      <c r="Z367" s="2"/>
      <c r="AA367" s="2">
        <v>56622523</v>
      </c>
      <c r="AB367" s="2">
        <f t="shared" si="280"/>
        <v>517.14</v>
      </c>
      <c r="AC367" s="2">
        <f t="shared" si="281"/>
        <v>517.14</v>
      </c>
      <c r="AD367" s="2">
        <f>ROUND((((ET367)-(EU367))+AE367),6)</f>
        <v>0</v>
      </c>
      <c r="AE367" s="2">
        <f>ROUND((EU367),6)</f>
        <v>0</v>
      </c>
      <c r="AF367" s="2">
        <f>ROUND((EV367),6)</f>
        <v>0</v>
      </c>
      <c r="AG367" s="2">
        <f t="shared" si="282"/>
        <v>0</v>
      </c>
      <c r="AH367" s="2">
        <f>(EW367)</f>
        <v>0</v>
      </c>
      <c r="AI367" s="2">
        <f>(EX367)</f>
        <v>0</v>
      </c>
      <c r="AJ367" s="2">
        <f t="shared" si="283"/>
        <v>0</v>
      </c>
      <c r="AK367" s="2">
        <v>517.14</v>
      </c>
      <c r="AL367" s="2">
        <v>517.14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161</v>
      </c>
      <c r="AU367" s="2">
        <v>107</v>
      </c>
      <c r="AV367" s="2">
        <v>1.0469999999999999</v>
      </c>
      <c r="AW367" s="2">
        <v>1.002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3</v>
      </c>
      <c r="BI367" s="2">
        <v>1</v>
      </c>
      <c r="BJ367" s="2" t="s">
        <v>315</v>
      </c>
      <c r="BK367" s="2"/>
      <c r="BL367" s="2"/>
      <c r="BM367" s="2">
        <v>152</v>
      </c>
      <c r="BN367" s="2">
        <v>0</v>
      </c>
      <c r="BO367" s="2" t="s">
        <v>3</v>
      </c>
      <c r="BP367" s="2">
        <v>0</v>
      </c>
      <c r="BQ367" s="2">
        <v>30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161</v>
      </c>
      <c r="CA367" s="2">
        <v>107</v>
      </c>
      <c r="CB367" s="2" t="s">
        <v>3</v>
      </c>
      <c r="CC367" s="2"/>
      <c r="CD367" s="2"/>
      <c r="CE367" s="2">
        <v>30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3</v>
      </c>
      <c r="CO367" s="2">
        <v>0</v>
      </c>
      <c r="CP367" s="2">
        <f t="shared" si="284"/>
        <v>0</v>
      </c>
      <c r="CQ367" s="2">
        <f t="shared" si="285"/>
        <v>518.16999999999996</v>
      </c>
      <c r="CR367" s="2">
        <f>(ROUND((ROUND(((ET367)*AV367*1),2)*BB367),2)+ROUND((ROUND(((AE367-(EU367))*AV367*1),2)*BS367),2))</f>
        <v>0</v>
      </c>
      <c r="CS367" s="2">
        <f t="shared" si="286"/>
        <v>0</v>
      </c>
      <c r="CT367" s="2">
        <f t="shared" si="287"/>
        <v>0</v>
      </c>
      <c r="CU367" s="2">
        <f t="shared" si="288"/>
        <v>0</v>
      </c>
      <c r="CV367" s="2">
        <f t="shared" si="289"/>
        <v>0</v>
      </c>
      <c r="CW367" s="2">
        <f t="shared" si="290"/>
        <v>0</v>
      </c>
      <c r="CX367" s="2">
        <f t="shared" si="291"/>
        <v>0</v>
      </c>
      <c r="CY367" s="2">
        <f>((S367*BZ367)/100)</f>
        <v>0</v>
      </c>
      <c r="CZ367" s="2">
        <f>((S367*CA367)/100)</f>
        <v>0</v>
      </c>
      <c r="DA367" s="2"/>
      <c r="DB367" s="2"/>
      <c r="DC367" s="2" t="s">
        <v>3</v>
      </c>
      <c r="DD367" s="2" t="s">
        <v>3</v>
      </c>
      <c r="DE367" s="2" t="s">
        <v>3</v>
      </c>
      <c r="DF367" s="2" t="s">
        <v>3</v>
      </c>
      <c r="DG367" s="2" t="s">
        <v>3</v>
      </c>
      <c r="DH367" s="2" t="s">
        <v>3</v>
      </c>
      <c r="DI367" s="2" t="s">
        <v>3</v>
      </c>
      <c r="DJ367" s="2" t="s">
        <v>3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1007</v>
      </c>
      <c r="DV367" s="2" t="s">
        <v>88</v>
      </c>
      <c r="DW367" s="2" t="s">
        <v>88</v>
      </c>
      <c r="DX367" s="2">
        <v>1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51696191</v>
      </c>
      <c r="EF367" s="2">
        <v>30</v>
      </c>
      <c r="EG367" s="2" t="s">
        <v>23</v>
      </c>
      <c r="EH367" s="2">
        <v>0</v>
      </c>
      <c r="EI367" s="2" t="s">
        <v>3</v>
      </c>
      <c r="EJ367" s="2">
        <v>1</v>
      </c>
      <c r="EK367" s="2">
        <v>152</v>
      </c>
      <c r="EL367" s="2" t="s">
        <v>310</v>
      </c>
      <c r="EM367" s="2" t="s">
        <v>311</v>
      </c>
      <c r="EN367" s="2"/>
      <c r="EO367" s="2" t="s">
        <v>3</v>
      </c>
      <c r="EP367" s="2"/>
      <c r="EQ367" s="2">
        <v>0</v>
      </c>
      <c r="ER367" s="2">
        <v>517.14</v>
      </c>
      <c r="ES367" s="2">
        <v>517.14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161</v>
      </c>
      <c r="FY367" s="2">
        <v>107</v>
      </c>
      <c r="FZ367" s="2"/>
      <c r="GA367" s="2" t="s">
        <v>3</v>
      </c>
      <c r="GB367" s="2"/>
      <c r="GC367" s="2"/>
      <c r="GD367" s="2">
        <v>0</v>
      </c>
      <c r="GE367" s="2"/>
      <c r="GF367" s="2">
        <v>-520181400</v>
      </c>
      <c r="GG367" s="2">
        <v>2</v>
      </c>
      <c r="GH367" s="2">
        <v>1</v>
      </c>
      <c r="GI367" s="2">
        <v>-2</v>
      </c>
      <c r="GJ367" s="2">
        <v>0</v>
      </c>
      <c r="GK367" s="2">
        <f>ROUND(R367*(R12)/100,2)</f>
        <v>0</v>
      </c>
      <c r="GL367" s="2">
        <f t="shared" si="292"/>
        <v>0</v>
      </c>
      <c r="GM367" s="2">
        <f t="shared" si="293"/>
        <v>0</v>
      </c>
      <c r="GN367" s="2">
        <f t="shared" si="294"/>
        <v>0</v>
      </c>
      <c r="GO367" s="2">
        <f t="shared" si="295"/>
        <v>0</v>
      </c>
      <c r="GP367" s="2">
        <f t="shared" si="296"/>
        <v>0</v>
      </c>
      <c r="GQ367" s="2"/>
      <c r="GR367" s="2">
        <v>0</v>
      </c>
      <c r="GS367" s="2">
        <v>0</v>
      </c>
      <c r="GT367" s="2">
        <v>0</v>
      </c>
      <c r="GU367" s="2" t="s">
        <v>3</v>
      </c>
      <c r="GV367" s="2">
        <f t="shared" si="297"/>
        <v>0</v>
      </c>
      <c r="GW367" s="2">
        <v>1</v>
      </c>
      <c r="GX367" s="2">
        <f t="shared" si="298"/>
        <v>0</v>
      </c>
      <c r="GY367" s="2"/>
      <c r="GZ367" s="2"/>
      <c r="HA367" s="2">
        <v>0</v>
      </c>
      <c r="HB367" s="2">
        <v>0</v>
      </c>
      <c r="HC367" s="2">
        <f t="shared" si="299"/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">
      <c r="A368">
        <v>18</v>
      </c>
      <c r="B368">
        <v>1</v>
      </c>
      <c r="C368">
        <v>202</v>
      </c>
      <c r="E368" t="s">
        <v>411</v>
      </c>
      <c r="F368" t="s">
        <v>313</v>
      </c>
      <c r="G368" t="s">
        <v>314</v>
      </c>
      <c r="H368" t="s">
        <v>88</v>
      </c>
      <c r="I368">
        <f>I366*J368</f>
        <v>0</v>
      </c>
      <c r="J368">
        <v>162</v>
      </c>
      <c r="K368">
        <v>162</v>
      </c>
      <c r="O368">
        <f t="shared" si="270"/>
        <v>0</v>
      </c>
      <c r="P368">
        <f t="shared" si="271"/>
        <v>0</v>
      </c>
      <c r="Q368">
        <f>(ROUND((ROUND(((ET368)*AV368*I368),2)*BB368),2)+ROUND((ROUND(((AE368-(EU368))*AV368*I368),2)*BS368),2))</f>
        <v>0</v>
      </c>
      <c r="R368">
        <f t="shared" si="272"/>
        <v>0</v>
      </c>
      <c r="S368">
        <f t="shared" si="273"/>
        <v>0</v>
      </c>
      <c r="T368">
        <f t="shared" si="274"/>
        <v>0</v>
      </c>
      <c r="U368">
        <f t="shared" si="275"/>
        <v>0</v>
      </c>
      <c r="V368">
        <f t="shared" si="276"/>
        <v>0</v>
      </c>
      <c r="W368">
        <f t="shared" si="277"/>
        <v>0</v>
      </c>
      <c r="X368">
        <f t="shared" si="278"/>
        <v>0</v>
      </c>
      <c r="Y368">
        <f t="shared" si="279"/>
        <v>0</v>
      </c>
      <c r="AA368">
        <v>56611490</v>
      </c>
      <c r="AB368">
        <f t="shared" si="280"/>
        <v>517.14</v>
      </c>
      <c r="AC368">
        <f t="shared" si="281"/>
        <v>517.14</v>
      </c>
      <c r="AD368">
        <f>ROUND((((ET368)-(EU368))+AE368),6)</f>
        <v>0</v>
      </c>
      <c r="AE368">
        <f>ROUND((EU368),6)</f>
        <v>0</v>
      </c>
      <c r="AF368">
        <f>ROUND((EV368),6)</f>
        <v>0</v>
      </c>
      <c r="AG368">
        <f t="shared" si="282"/>
        <v>0</v>
      </c>
      <c r="AH368">
        <f>(EW368)</f>
        <v>0</v>
      </c>
      <c r="AI368">
        <f>(EX368)</f>
        <v>0</v>
      </c>
      <c r="AJ368">
        <f t="shared" si="283"/>
        <v>0</v>
      </c>
      <c r="AK368">
        <v>517.14</v>
      </c>
      <c r="AL368">
        <v>517.14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1.002</v>
      </c>
      <c r="AZ368">
        <v>1</v>
      </c>
      <c r="BA368">
        <v>1</v>
      </c>
      <c r="BB368">
        <v>1</v>
      </c>
      <c r="BC368">
        <v>11.03</v>
      </c>
      <c r="BD368" t="s">
        <v>3</v>
      </c>
      <c r="BE368" t="s">
        <v>3</v>
      </c>
      <c r="BF368" t="s">
        <v>3</v>
      </c>
      <c r="BG368" t="s">
        <v>3</v>
      </c>
      <c r="BH368">
        <v>3</v>
      </c>
      <c r="BI368">
        <v>1</v>
      </c>
      <c r="BJ368" t="s">
        <v>315</v>
      </c>
      <c r="BM368">
        <v>152</v>
      </c>
      <c r="BN368">
        <v>0</v>
      </c>
      <c r="BO368" t="s">
        <v>313</v>
      </c>
      <c r="BP368">
        <v>1</v>
      </c>
      <c r="BQ368">
        <v>30</v>
      </c>
      <c r="BR368">
        <v>0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 t="s">
        <v>3</v>
      </c>
      <c r="BZ368">
        <v>0</v>
      </c>
      <c r="CA368">
        <v>0</v>
      </c>
      <c r="CB368" t="s">
        <v>3</v>
      </c>
      <c r="CE368">
        <v>30</v>
      </c>
      <c r="CF368">
        <v>0</v>
      </c>
      <c r="CG368">
        <v>0</v>
      </c>
      <c r="CM368">
        <v>0</v>
      </c>
      <c r="CN368" t="s">
        <v>3</v>
      </c>
      <c r="CO368">
        <v>0</v>
      </c>
      <c r="CP368">
        <f t="shared" si="284"/>
        <v>0</v>
      </c>
      <c r="CQ368">
        <f t="shared" si="285"/>
        <v>5715.42</v>
      </c>
      <c r="CR368">
        <f>(ROUND((ROUND(((ET368)*AV368*1),2)*BB368),2)+ROUND((ROUND(((AE368-(EU368))*AV368*1),2)*BS368),2))</f>
        <v>0</v>
      </c>
      <c r="CS368">
        <f t="shared" si="286"/>
        <v>0</v>
      </c>
      <c r="CT368">
        <f t="shared" si="287"/>
        <v>0</v>
      </c>
      <c r="CU368">
        <f t="shared" si="288"/>
        <v>0</v>
      </c>
      <c r="CV368">
        <f t="shared" si="289"/>
        <v>0</v>
      </c>
      <c r="CW368">
        <f t="shared" si="290"/>
        <v>0</v>
      </c>
      <c r="CX368">
        <f t="shared" si="291"/>
        <v>0</v>
      </c>
      <c r="CY368">
        <f>S368*(BZ368/100)</f>
        <v>0</v>
      </c>
      <c r="CZ368">
        <f>S368*(CA368/100)</f>
        <v>0</v>
      </c>
      <c r="DC368" t="s">
        <v>3</v>
      </c>
      <c r="DD368" t="s">
        <v>3</v>
      </c>
      <c r="DE368" t="s">
        <v>3</v>
      </c>
      <c r="DF368" t="s">
        <v>3</v>
      </c>
      <c r="DG368" t="s">
        <v>3</v>
      </c>
      <c r="DH368" t="s">
        <v>3</v>
      </c>
      <c r="DI368" t="s">
        <v>3</v>
      </c>
      <c r="DJ368" t="s">
        <v>3</v>
      </c>
      <c r="DK368" t="s">
        <v>3</v>
      </c>
      <c r="DL368" t="s">
        <v>3</v>
      </c>
      <c r="DM368" t="s">
        <v>3</v>
      </c>
      <c r="DN368">
        <v>161</v>
      </c>
      <c r="DO368">
        <v>107</v>
      </c>
      <c r="DP368">
        <v>1.0469999999999999</v>
      </c>
      <c r="DQ368">
        <v>1.002</v>
      </c>
      <c r="DU368">
        <v>1007</v>
      </c>
      <c r="DV368" t="s">
        <v>88</v>
      </c>
      <c r="DW368" t="s">
        <v>88</v>
      </c>
      <c r="DX368">
        <v>1</v>
      </c>
      <c r="DZ368" t="s">
        <v>3</v>
      </c>
      <c r="EA368" t="s">
        <v>3</v>
      </c>
      <c r="EB368" t="s">
        <v>3</v>
      </c>
      <c r="EC368" t="s">
        <v>3</v>
      </c>
      <c r="EE368">
        <v>51696191</v>
      </c>
      <c r="EF368">
        <v>30</v>
      </c>
      <c r="EG368" t="s">
        <v>23</v>
      </c>
      <c r="EH368">
        <v>0</v>
      </c>
      <c r="EI368" t="s">
        <v>3</v>
      </c>
      <c r="EJ368">
        <v>1</v>
      </c>
      <c r="EK368">
        <v>152</v>
      </c>
      <c r="EL368" t="s">
        <v>310</v>
      </c>
      <c r="EM368" t="s">
        <v>311</v>
      </c>
      <c r="EO368" t="s">
        <v>3</v>
      </c>
      <c r="EQ368">
        <v>0</v>
      </c>
      <c r="ER368">
        <v>517.14</v>
      </c>
      <c r="ES368">
        <v>517.14</v>
      </c>
      <c r="ET368">
        <v>0</v>
      </c>
      <c r="EU368">
        <v>0</v>
      </c>
      <c r="EV368">
        <v>0</v>
      </c>
      <c r="EW368">
        <v>0</v>
      </c>
      <c r="EX368">
        <v>0</v>
      </c>
      <c r="FQ368">
        <v>0</v>
      </c>
      <c r="FR368">
        <v>0</v>
      </c>
      <c r="FS368">
        <v>0</v>
      </c>
      <c r="FX368">
        <v>161</v>
      </c>
      <c r="FY368">
        <v>107</v>
      </c>
      <c r="GA368" t="s">
        <v>3</v>
      </c>
      <c r="GD368">
        <v>0</v>
      </c>
      <c r="GF368">
        <v>-520181400</v>
      </c>
      <c r="GG368">
        <v>2</v>
      </c>
      <c r="GH368">
        <v>1</v>
      </c>
      <c r="GI368">
        <v>2</v>
      </c>
      <c r="GJ368">
        <v>0</v>
      </c>
      <c r="GK368">
        <f>ROUND(R368*(S12)/100,2)</f>
        <v>0</v>
      </c>
      <c r="GL368">
        <f t="shared" si="292"/>
        <v>0</v>
      </c>
      <c r="GM368">
        <f t="shared" si="293"/>
        <v>0</v>
      </c>
      <c r="GN368">
        <f t="shared" si="294"/>
        <v>0</v>
      </c>
      <c r="GO368">
        <f t="shared" si="295"/>
        <v>0</v>
      </c>
      <c r="GP368">
        <f t="shared" si="296"/>
        <v>0</v>
      </c>
      <c r="GR368">
        <v>0</v>
      </c>
      <c r="GS368">
        <v>3</v>
      </c>
      <c r="GT368">
        <v>0</v>
      </c>
      <c r="GU368" t="s">
        <v>3</v>
      </c>
      <c r="GV368">
        <f t="shared" si="297"/>
        <v>0</v>
      </c>
      <c r="GW368">
        <v>1</v>
      </c>
      <c r="GX368">
        <f t="shared" si="298"/>
        <v>0</v>
      </c>
      <c r="HA368">
        <v>0</v>
      </c>
      <c r="HB368">
        <v>0</v>
      </c>
      <c r="HC368">
        <f t="shared" si="299"/>
        <v>0</v>
      </c>
      <c r="HE368" t="s">
        <v>3</v>
      </c>
      <c r="HF368" t="s">
        <v>3</v>
      </c>
      <c r="HM368" t="s">
        <v>3</v>
      </c>
      <c r="HN368" t="s">
        <v>3</v>
      </c>
      <c r="HO368" t="s">
        <v>3</v>
      </c>
      <c r="HP368" t="s">
        <v>3</v>
      </c>
      <c r="HQ368" t="s">
        <v>3</v>
      </c>
      <c r="HS368">
        <v>0</v>
      </c>
      <c r="IK368">
        <v>0</v>
      </c>
    </row>
    <row r="369" spans="1:255" x14ac:dyDescent="0.2">
      <c r="A369" s="2">
        <v>17</v>
      </c>
      <c r="B369" s="2">
        <v>1</v>
      </c>
      <c r="C369" s="2">
        <f>ROW(SmtRes!A203)</f>
        <v>203</v>
      </c>
      <c r="D369" s="2">
        <f>ROW(EtalonRes!A575)</f>
        <v>575</v>
      </c>
      <c r="E369" s="2" t="s">
        <v>412</v>
      </c>
      <c r="F369" s="2" t="s">
        <v>317</v>
      </c>
      <c r="G369" s="2" t="s">
        <v>318</v>
      </c>
      <c r="H369" s="2" t="s">
        <v>308</v>
      </c>
      <c r="I369" s="2">
        <v>0</v>
      </c>
      <c r="J369" s="2">
        <v>0</v>
      </c>
      <c r="K369" s="2">
        <v>0</v>
      </c>
      <c r="L369" s="2"/>
      <c r="M369" s="2"/>
      <c r="N369" s="2"/>
      <c r="O369" s="2">
        <f t="shared" si="270"/>
        <v>0</v>
      </c>
      <c r="P369" s="2">
        <f t="shared" si="271"/>
        <v>0</v>
      </c>
      <c r="Q369" s="2">
        <f>(ROUND((ROUND((((ET369*1.1*13))*AV369*I369),2)*BB369),2)+ROUND((ROUND(((AE369-((EU369*1.1*13)))*AV369*I369),2)*BS369),2))</f>
        <v>0</v>
      </c>
      <c r="R369" s="2">
        <f t="shared" si="272"/>
        <v>0</v>
      </c>
      <c r="S369" s="2">
        <f t="shared" si="273"/>
        <v>0</v>
      </c>
      <c r="T369" s="2">
        <f t="shared" si="274"/>
        <v>0</v>
      </c>
      <c r="U369" s="2">
        <f t="shared" si="275"/>
        <v>0</v>
      </c>
      <c r="V369" s="2">
        <f t="shared" si="276"/>
        <v>0</v>
      </c>
      <c r="W369" s="2">
        <f t="shared" si="277"/>
        <v>0</v>
      </c>
      <c r="X369" s="2">
        <f t="shared" si="278"/>
        <v>0</v>
      </c>
      <c r="Y369" s="2">
        <f t="shared" si="279"/>
        <v>0</v>
      </c>
      <c r="Z369" s="2"/>
      <c r="AA369" s="2">
        <v>56622523</v>
      </c>
      <c r="AB369" s="2">
        <f t="shared" si="280"/>
        <v>906.59</v>
      </c>
      <c r="AC369" s="2">
        <f t="shared" si="281"/>
        <v>58.6</v>
      </c>
      <c r="AD369" s="2">
        <f>ROUND(((((ET369*1.1*13))-((EU369*1.1*13)))+AE369),6)</f>
        <v>0</v>
      </c>
      <c r="AE369" s="2">
        <f>ROUND(((EU369*1.1*13)),6)</f>
        <v>0</v>
      </c>
      <c r="AF369" s="2">
        <f>ROUND(((EV369*1.1*13)),6)</f>
        <v>847.99</v>
      </c>
      <c r="AG369" s="2">
        <f t="shared" si="282"/>
        <v>0</v>
      </c>
      <c r="AH369" s="2">
        <f>((EW369*1.1*13))</f>
        <v>73.930999999999997</v>
      </c>
      <c r="AI369" s="2">
        <f>((EX369*1.1*13))</f>
        <v>0</v>
      </c>
      <c r="AJ369" s="2">
        <f t="shared" si="283"/>
        <v>0</v>
      </c>
      <c r="AK369" s="2">
        <v>117.9</v>
      </c>
      <c r="AL369" s="2">
        <v>58.6</v>
      </c>
      <c r="AM369" s="2">
        <v>0</v>
      </c>
      <c r="AN369" s="2">
        <v>0</v>
      </c>
      <c r="AO369" s="2">
        <v>59.3</v>
      </c>
      <c r="AP369" s="2">
        <v>0</v>
      </c>
      <c r="AQ369" s="2">
        <v>5.17</v>
      </c>
      <c r="AR369" s="2">
        <v>0</v>
      </c>
      <c r="AS369" s="2">
        <v>0</v>
      </c>
      <c r="AT369" s="2">
        <v>161</v>
      </c>
      <c r="AU369" s="2">
        <v>107</v>
      </c>
      <c r="AV369" s="2">
        <v>1.0469999999999999</v>
      </c>
      <c r="AW369" s="2">
        <v>1.002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0</v>
      </c>
      <c r="BI369" s="2">
        <v>1</v>
      </c>
      <c r="BJ369" s="2" t="s">
        <v>319</v>
      </c>
      <c r="BK369" s="2"/>
      <c r="BL369" s="2"/>
      <c r="BM369" s="2">
        <v>152</v>
      </c>
      <c r="BN369" s="2">
        <v>0</v>
      </c>
      <c r="BO369" s="2" t="s">
        <v>3</v>
      </c>
      <c r="BP369" s="2">
        <v>0</v>
      </c>
      <c r="BQ369" s="2">
        <v>30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161</v>
      </c>
      <c r="CA369" s="2">
        <v>107</v>
      </c>
      <c r="CB369" s="2" t="s">
        <v>3</v>
      </c>
      <c r="CC369" s="2"/>
      <c r="CD369" s="2"/>
      <c r="CE369" s="2">
        <v>30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689</v>
      </c>
      <c r="CO369" s="2">
        <v>0</v>
      </c>
      <c r="CP369" s="2">
        <f t="shared" si="284"/>
        <v>0</v>
      </c>
      <c r="CQ369" s="2">
        <f t="shared" si="285"/>
        <v>58.72</v>
      </c>
      <c r="CR369" s="2">
        <f>(ROUND((ROUND((((ET369*1.1*13))*AV369*1),2)*BB369),2)+ROUND((ROUND(((AE369-((EU369*1.1*13)))*AV369*1),2)*BS369),2))</f>
        <v>0</v>
      </c>
      <c r="CS369" s="2">
        <f t="shared" si="286"/>
        <v>0</v>
      </c>
      <c r="CT369" s="2">
        <f t="shared" si="287"/>
        <v>887.85</v>
      </c>
      <c r="CU369" s="2">
        <f t="shared" si="288"/>
        <v>0</v>
      </c>
      <c r="CV369" s="2">
        <f t="shared" si="289"/>
        <v>77.405756999999994</v>
      </c>
      <c r="CW369" s="2">
        <f t="shared" si="290"/>
        <v>0</v>
      </c>
      <c r="CX369" s="2">
        <f t="shared" si="291"/>
        <v>0</v>
      </c>
      <c r="CY369" s="2">
        <f>((S369*BZ369)/100)</f>
        <v>0</v>
      </c>
      <c r="CZ369" s="2">
        <f>((S369*CA369)/100)</f>
        <v>0</v>
      </c>
      <c r="DA369" s="2"/>
      <c r="DB369" s="2"/>
      <c r="DC369" s="2" t="s">
        <v>3</v>
      </c>
      <c r="DD369" s="2" t="s">
        <v>3</v>
      </c>
      <c r="DE369" s="2" t="s">
        <v>413</v>
      </c>
      <c r="DF369" s="2" t="s">
        <v>413</v>
      </c>
      <c r="DG369" s="2" t="s">
        <v>413</v>
      </c>
      <c r="DH369" s="2" t="s">
        <v>3</v>
      </c>
      <c r="DI369" s="2" t="s">
        <v>413</v>
      </c>
      <c r="DJ369" s="2" t="s">
        <v>413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1013</v>
      </c>
      <c r="DV369" s="2" t="s">
        <v>308</v>
      </c>
      <c r="DW369" s="2" t="s">
        <v>308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51696191</v>
      </c>
      <c r="EF369" s="2">
        <v>30</v>
      </c>
      <c r="EG369" s="2" t="s">
        <v>23</v>
      </c>
      <c r="EH369" s="2">
        <v>0</v>
      </c>
      <c r="EI369" s="2" t="s">
        <v>3</v>
      </c>
      <c r="EJ369" s="2">
        <v>1</v>
      </c>
      <c r="EK369" s="2">
        <v>152</v>
      </c>
      <c r="EL369" s="2" t="s">
        <v>310</v>
      </c>
      <c r="EM369" s="2" t="s">
        <v>311</v>
      </c>
      <c r="EN369" s="2"/>
      <c r="EO369" s="2" t="s">
        <v>26</v>
      </c>
      <c r="EP369" s="2"/>
      <c r="EQ369" s="2">
        <v>131072</v>
      </c>
      <c r="ER369" s="2">
        <v>117.9</v>
      </c>
      <c r="ES369" s="2">
        <v>58.6</v>
      </c>
      <c r="ET369" s="2">
        <v>0</v>
      </c>
      <c r="EU369" s="2">
        <v>0</v>
      </c>
      <c r="EV369" s="2">
        <v>59.3</v>
      </c>
      <c r="EW369" s="2">
        <v>5.17</v>
      </c>
      <c r="EX369" s="2">
        <v>0</v>
      </c>
      <c r="EY369" s="2">
        <v>0</v>
      </c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161</v>
      </c>
      <c r="FY369" s="2">
        <v>107</v>
      </c>
      <c r="FZ369" s="2"/>
      <c r="GA369" s="2" t="s">
        <v>3</v>
      </c>
      <c r="GB369" s="2"/>
      <c r="GC369" s="2"/>
      <c r="GD369" s="2">
        <v>0</v>
      </c>
      <c r="GE369" s="2"/>
      <c r="GF369" s="2">
        <v>36365599</v>
      </c>
      <c r="GG369" s="2">
        <v>2</v>
      </c>
      <c r="GH369" s="2">
        <v>1</v>
      </c>
      <c r="GI369" s="2">
        <v>-2</v>
      </c>
      <c r="GJ369" s="2">
        <v>0</v>
      </c>
      <c r="GK369" s="2">
        <f>ROUND(R369*(R12)/100,2)</f>
        <v>0</v>
      </c>
      <c r="GL369" s="2">
        <f t="shared" si="292"/>
        <v>0</v>
      </c>
      <c r="GM369" s="2">
        <f t="shared" si="293"/>
        <v>0</v>
      </c>
      <c r="GN369" s="2">
        <f t="shared" si="294"/>
        <v>0</v>
      </c>
      <c r="GO369" s="2">
        <f t="shared" si="295"/>
        <v>0</v>
      </c>
      <c r="GP369" s="2">
        <f t="shared" si="296"/>
        <v>0</v>
      </c>
      <c r="GQ369" s="2"/>
      <c r="GR369" s="2">
        <v>0</v>
      </c>
      <c r="GS369" s="2">
        <v>0</v>
      </c>
      <c r="GT369" s="2">
        <v>0</v>
      </c>
      <c r="GU369" s="2" t="s">
        <v>3</v>
      </c>
      <c r="GV369" s="2">
        <f t="shared" si="297"/>
        <v>0</v>
      </c>
      <c r="GW369" s="2">
        <v>1</v>
      </c>
      <c r="GX369" s="2">
        <f t="shared" si="298"/>
        <v>0</v>
      </c>
      <c r="GY369" s="2"/>
      <c r="GZ369" s="2"/>
      <c r="HA369" s="2">
        <v>0</v>
      </c>
      <c r="HB369" s="2">
        <v>0</v>
      </c>
      <c r="HC369" s="2">
        <f t="shared" si="299"/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3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">
      <c r="A370">
        <v>17</v>
      </c>
      <c r="B370">
        <v>1</v>
      </c>
      <c r="C370">
        <f>ROW(SmtRes!A204)</f>
        <v>204</v>
      </c>
      <c r="D370">
        <f>ROW(EtalonRes!A578)</f>
        <v>578</v>
      </c>
      <c r="E370" t="s">
        <v>412</v>
      </c>
      <c r="F370" t="s">
        <v>317</v>
      </c>
      <c r="G370" t="s">
        <v>318</v>
      </c>
      <c r="H370" t="s">
        <v>308</v>
      </c>
      <c r="I370">
        <v>0</v>
      </c>
      <c r="J370">
        <v>0</v>
      </c>
      <c r="K370">
        <v>0</v>
      </c>
      <c r="O370">
        <f t="shared" si="270"/>
        <v>0</v>
      </c>
      <c r="P370">
        <f t="shared" si="271"/>
        <v>0</v>
      </c>
      <c r="Q370">
        <f>(ROUND((ROUND((((ET370*1.1*13))*AV370*I370),2)*BB370),2)+ROUND((ROUND(((AE370-((EU370*1.1*13)))*AV370*I370),2)*BS370),2))</f>
        <v>0</v>
      </c>
      <c r="R370">
        <f t="shared" si="272"/>
        <v>0</v>
      </c>
      <c r="S370">
        <f t="shared" si="273"/>
        <v>0</v>
      </c>
      <c r="T370">
        <f t="shared" si="274"/>
        <v>0</v>
      </c>
      <c r="U370">
        <f t="shared" si="275"/>
        <v>0</v>
      </c>
      <c r="V370">
        <f t="shared" si="276"/>
        <v>0</v>
      </c>
      <c r="W370">
        <f t="shared" si="277"/>
        <v>0</v>
      </c>
      <c r="X370">
        <f t="shared" si="278"/>
        <v>0</v>
      </c>
      <c r="Y370">
        <f t="shared" si="279"/>
        <v>0</v>
      </c>
      <c r="AA370">
        <v>56611490</v>
      </c>
      <c r="AB370">
        <f t="shared" si="280"/>
        <v>906.59</v>
      </c>
      <c r="AC370">
        <f t="shared" si="281"/>
        <v>58.6</v>
      </c>
      <c r="AD370">
        <f>ROUND(((((ET370*1.1*13))-((EU370*1.1*13)))+AE370),6)</f>
        <v>0</v>
      </c>
      <c r="AE370">
        <f>ROUND(((EU370*1.1*13)),6)</f>
        <v>0</v>
      </c>
      <c r="AF370">
        <f>ROUND(((EV370*1.1*13)),6)</f>
        <v>847.99</v>
      </c>
      <c r="AG370">
        <f t="shared" si="282"/>
        <v>0</v>
      </c>
      <c r="AH370">
        <f>((EW370*1.1*13))</f>
        <v>73.930999999999997</v>
      </c>
      <c r="AI370">
        <f>((EX370*1.1*13))</f>
        <v>0</v>
      </c>
      <c r="AJ370">
        <f t="shared" si="283"/>
        <v>0</v>
      </c>
      <c r="AK370">
        <v>117.9</v>
      </c>
      <c r="AL370">
        <v>58.6</v>
      </c>
      <c r="AM370">
        <v>0</v>
      </c>
      <c r="AN370">
        <v>0</v>
      </c>
      <c r="AO370">
        <v>59.3</v>
      </c>
      <c r="AP370">
        <v>0</v>
      </c>
      <c r="AQ370">
        <v>5.17</v>
      </c>
      <c r="AR370">
        <v>0</v>
      </c>
      <c r="AS370">
        <v>0</v>
      </c>
      <c r="AT370">
        <v>134</v>
      </c>
      <c r="AU370">
        <v>55</v>
      </c>
      <c r="AV370">
        <v>1.0469999999999999</v>
      </c>
      <c r="AW370">
        <v>1.002</v>
      </c>
      <c r="AZ370">
        <v>1</v>
      </c>
      <c r="BA370">
        <v>34.51</v>
      </c>
      <c r="BB370">
        <v>1</v>
      </c>
      <c r="BC370">
        <v>3.59</v>
      </c>
      <c r="BD370" t="s">
        <v>3</v>
      </c>
      <c r="BE370" t="s">
        <v>3</v>
      </c>
      <c r="BF370" t="s">
        <v>3</v>
      </c>
      <c r="BG370" t="s">
        <v>3</v>
      </c>
      <c r="BH370">
        <v>0</v>
      </c>
      <c r="BI370">
        <v>1</v>
      </c>
      <c r="BJ370" t="s">
        <v>319</v>
      </c>
      <c r="BM370">
        <v>152</v>
      </c>
      <c r="BN370">
        <v>0</v>
      </c>
      <c r="BO370" t="s">
        <v>317</v>
      </c>
      <c r="BP370">
        <v>1</v>
      </c>
      <c r="BQ370">
        <v>30</v>
      </c>
      <c r="BR370">
        <v>0</v>
      </c>
      <c r="BS370">
        <v>34.51</v>
      </c>
      <c r="BT370">
        <v>1</v>
      </c>
      <c r="BU370">
        <v>1</v>
      </c>
      <c r="BV370">
        <v>1</v>
      </c>
      <c r="BW370">
        <v>1</v>
      </c>
      <c r="BX370">
        <v>1</v>
      </c>
      <c r="BY370" t="s">
        <v>3</v>
      </c>
      <c r="BZ370">
        <v>134</v>
      </c>
      <c r="CA370">
        <v>55</v>
      </c>
      <c r="CB370" t="s">
        <v>3</v>
      </c>
      <c r="CE370">
        <v>30</v>
      </c>
      <c r="CF370">
        <v>0</v>
      </c>
      <c r="CG370">
        <v>0</v>
      </c>
      <c r="CM370">
        <v>0</v>
      </c>
      <c r="CN370" t="s">
        <v>689</v>
      </c>
      <c r="CO370">
        <v>0</v>
      </c>
      <c r="CP370">
        <f t="shared" si="284"/>
        <v>0</v>
      </c>
      <c r="CQ370">
        <f t="shared" si="285"/>
        <v>210.8</v>
      </c>
      <c r="CR370">
        <f>(ROUND((ROUND((((ET370*1.1*13))*AV370*1),2)*BB370),2)+ROUND((ROUND(((AE370-((EU370*1.1*13)))*AV370*1),2)*BS370),2))</f>
        <v>0</v>
      </c>
      <c r="CS370">
        <f t="shared" si="286"/>
        <v>0</v>
      </c>
      <c r="CT370">
        <f t="shared" si="287"/>
        <v>30639.7</v>
      </c>
      <c r="CU370">
        <f t="shared" si="288"/>
        <v>0</v>
      </c>
      <c r="CV370">
        <f t="shared" si="289"/>
        <v>77.405756999999994</v>
      </c>
      <c r="CW370">
        <f t="shared" si="290"/>
        <v>0</v>
      </c>
      <c r="CX370">
        <f t="shared" si="291"/>
        <v>0</v>
      </c>
      <c r="CY370">
        <f>S370*(BZ370/100)</f>
        <v>0</v>
      </c>
      <c r="CZ370">
        <f>S370*(CA370/100)</f>
        <v>0</v>
      </c>
      <c r="DC370" t="s">
        <v>3</v>
      </c>
      <c r="DD370" t="s">
        <v>3</v>
      </c>
      <c r="DE370" t="s">
        <v>413</v>
      </c>
      <c r="DF370" t="s">
        <v>413</v>
      </c>
      <c r="DG370" t="s">
        <v>413</v>
      </c>
      <c r="DH370" t="s">
        <v>3</v>
      </c>
      <c r="DI370" t="s">
        <v>413</v>
      </c>
      <c r="DJ370" t="s">
        <v>413</v>
      </c>
      <c r="DK370" t="s">
        <v>3</v>
      </c>
      <c r="DL370" t="s">
        <v>3</v>
      </c>
      <c r="DM370" t="s">
        <v>3</v>
      </c>
      <c r="DN370">
        <v>161</v>
      </c>
      <c r="DO370">
        <v>107</v>
      </c>
      <c r="DP370">
        <v>1.0469999999999999</v>
      </c>
      <c r="DQ370">
        <v>1.002</v>
      </c>
      <c r="DU370">
        <v>1013</v>
      </c>
      <c r="DV370" t="s">
        <v>308</v>
      </c>
      <c r="DW370" t="s">
        <v>308</v>
      </c>
      <c r="DX370">
        <v>1</v>
      </c>
      <c r="DZ370" t="s">
        <v>3</v>
      </c>
      <c r="EA370" t="s">
        <v>3</v>
      </c>
      <c r="EB370" t="s">
        <v>3</v>
      </c>
      <c r="EC370" t="s">
        <v>3</v>
      </c>
      <c r="EE370">
        <v>51696191</v>
      </c>
      <c r="EF370">
        <v>30</v>
      </c>
      <c r="EG370" t="s">
        <v>23</v>
      </c>
      <c r="EH370">
        <v>0</v>
      </c>
      <c r="EI370" t="s">
        <v>3</v>
      </c>
      <c r="EJ370">
        <v>1</v>
      </c>
      <c r="EK370">
        <v>152</v>
      </c>
      <c r="EL370" t="s">
        <v>310</v>
      </c>
      <c r="EM370" t="s">
        <v>311</v>
      </c>
      <c r="EO370" t="s">
        <v>26</v>
      </c>
      <c r="EQ370">
        <v>131072</v>
      </c>
      <c r="ER370">
        <v>117.9</v>
      </c>
      <c r="ES370">
        <v>58.6</v>
      </c>
      <c r="ET370">
        <v>0</v>
      </c>
      <c r="EU370">
        <v>0</v>
      </c>
      <c r="EV370">
        <v>59.3</v>
      </c>
      <c r="EW370">
        <v>5.17</v>
      </c>
      <c r="EX370">
        <v>0</v>
      </c>
      <c r="EY370">
        <v>0</v>
      </c>
      <c r="FQ370">
        <v>0</v>
      </c>
      <c r="FR370">
        <v>0</v>
      </c>
      <c r="FS370">
        <v>0</v>
      </c>
      <c r="FX370">
        <v>161</v>
      </c>
      <c r="FY370">
        <v>107</v>
      </c>
      <c r="GA370" t="s">
        <v>3</v>
      </c>
      <c r="GD370">
        <v>0</v>
      </c>
      <c r="GF370">
        <v>36365599</v>
      </c>
      <c r="GG370">
        <v>2</v>
      </c>
      <c r="GH370">
        <v>1</v>
      </c>
      <c r="GI370">
        <v>2</v>
      </c>
      <c r="GJ370">
        <v>0</v>
      </c>
      <c r="GK370">
        <f>ROUND(R370*(S12)/100,2)</f>
        <v>0</v>
      </c>
      <c r="GL370">
        <f t="shared" si="292"/>
        <v>0</v>
      </c>
      <c r="GM370">
        <f t="shared" si="293"/>
        <v>0</v>
      </c>
      <c r="GN370">
        <f t="shared" si="294"/>
        <v>0</v>
      </c>
      <c r="GO370">
        <f t="shared" si="295"/>
        <v>0</v>
      </c>
      <c r="GP370">
        <f t="shared" si="296"/>
        <v>0</v>
      </c>
      <c r="GR370">
        <v>0</v>
      </c>
      <c r="GS370">
        <v>3</v>
      </c>
      <c r="GT370">
        <v>0</v>
      </c>
      <c r="GU370" t="s">
        <v>3</v>
      </c>
      <c r="GV370">
        <f t="shared" si="297"/>
        <v>0</v>
      </c>
      <c r="GW370">
        <v>1</v>
      </c>
      <c r="GX370">
        <f t="shared" si="298"/>
        <v>0</v>
      </c>
      <c r="HA370">
        <v>0</v>
      </c>
      <c r="HB370">
        <v>0</v>
      </c>
      <c r="HC370">
        <f t="shared" si="299"/>
        <v>0</v>
      </c>
      <c r="HE370" t="s">
        <v>3</v>
      </c>
      <c r="HF370" t="s">
        <v>3</v>
      </c>
      <c r="HM370" t="s">
        <v>3</v>
      </c>
      <c r="HN370" t="s">
        <v>3</v>
      </c>
      <c r="HO370" t="s">
        <v>3</v>
      </c>
      <c r="HP370" t="s">
        <v>3</v>
      </c>
      <c r="HQ370" t="s">
        <v>3</v>
      </c>
      <c r="HS370">
        <v>0</v>
      </c>
      <c r="IK370">
        <v>0</v>
      </c>
    </row>
    <row r="371" spans="1:255" x14ac:dyDescent="0.2">
      <c r="A371" s="2">
        <v>18</v>
      </c>
      <c r="B371" s="2">
        <v>1</v>
      </c>
      <c r="C371" s="2">
        <v>203</v>
      </c>
      <c r="D371" s="2"/>
      <c r="E371" s="2" t="s">
        <v>414</v>
      </c>
      <c r="F371" s="2" t="s">
        <v>313</v>
      </c>
      <c r="G371" s="2" t="s">
        <v>314</v>
      </c>
      <c r="H371" s="2" t="s">
        <v>88</v>
      </c>
      <c r="I371" s="2">
        <f>I369*J371</f>
        <v>0</v>
      </c>
      <c r="J371" s="2">
        <v>10.199999999999999</v>
      </c>
      <c r="K371" s="2">
        <v>10.199999999999999</v>
      </c>
      <c r="L371" s="2"/>
      <c r="M371" s="2"/>
      <c r="N371" s="2"/>
      <c r="O371" s="2">
        <f t="shared" si="270"/>
        <v>0</v>
      </c>
      <c r="P371" s="2">
        <f t="shared" si="271"/>
        <v>0</v>
      </c>
      <c r="Q371" s="2">
        <f>(ROUND((ROUND(((ET371)*AV371*I371),2)*BB371),2)+ROUND((ROUND(((AE371-(EU371))*AV371*I371),2)*BS371),2))</f>
        <v>0</v>
      </c>
      <c r="R371" s="2">
        <f t="shared" si="272"/>
        <v>0</v>
      </c>
      <c r="S371" s="2">
        <f t="shared" si="273"/>
        <v>0</v>
      </c>
      <c r="T371" s="2">
        <f t="shared" si="274"/>
        <v>0</v>
      </c>
      <c r="U371" s="2">
        <f t="shared" si="275"/>
        <v>0</v>
      </c>
      <c r="V371" s="2">
        <f t="shared" si="276"/>
        <v>0</v>
      </c>
      <c r="W371" s="2">
        <f t="shared" si="277"/>
        <v>0</v>
      </c>
      <c r="X371" s="2">
        <f t="shared" si="278"/>
        <v>0</v>
      </c>
      <c r="Y371" s="2">
        <f t="shared" si="279"/>
        <v>0</v>
      </c>
      <c r="Z371" s="2"/>
      <c r="AA371" s="2">
        <v>56622523</v>
      </c>
      <c r="AB371" s="2">
        <f t="shared" si="280"/>
        <v>517.14</v>
      </c>
      <c r="AC371" s="2">
        <f t="shared" si="281"/>
        <v>517.14</v>
      </c>
      <c r="AD371" s="2">
        <f>ROUND((((ET371)-(EU371))+AE371),6)</f>
        <v>0</v>
      </c>
      <c r="AE371" s="2">
        <f>ROUND((EU371),6)</f>
        <v>0</v>
      </c>
      <c r="AF371" s="2">
        <f>ROUND((EV371),6)</f>
        <v>0</v>
      </c>
      <c r="AG371" s="2">
        <f t="shared" si="282"/>
        <v>0</v>
      </c>
      <c r="AH371" s="2">
        <f>(EW371)</f>
        <v>0</v>
      </c>
      <c r="AI371" s="2">
        <f>(EX371)</f>
        <v>0</v>
      </c>
      <c r="AJ371" s="2">
        <f t="shared" si="283"/>
        <v>0</v>
      </c>
      <c r="AK371" s="2">
        <v>517.14</v>
      </c>
      <c r="AL371" s="2">
        <v>517.14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161</v>
      </c>
      <c r="AU371" s="2">
        <v>107</v>
      </c>
      <c r="AV371" s="2">
        <v>1.0469999999999999</v>
      </c>
      <c r="AW371" s="2">
        <v>1.002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3</v>
      </c>
      <c r="BI371" s="2">
        <v>1</v>
      </c>
      <c r="BJ371" s="2" t="s">
        <v>315</v>
      </c>
      <c r="BK371" s="2"/>
      <c r="BL371" s="2"/>
      <c r="BM371" s="2">
        <v>152</v>
      </c>
      <c r="BN371" s="2">
        <v>0</v>
      </c>
      <c r="BO371" s="2" t="s">
        <v>3</v>
      </c>
      <c r="BP371" s="2">
        <v>0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161</v>
      </c>
      <c r="CA371" s="2">
        <v>107</v>
      </c>
      <c r="CB371" s="2" t="s">
        <v>3</v>
      </c>
      <c r="CC371" s="2"/>
      <c r="CD371" s="2"/>
      <c r="CE371" s="2">
        <v>30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3</v>
      </c>
      <c r="CO371" s="2">
        <v>0</v>
      </c>
      <c r="CP371" s="2">
        <f t="shared" si="284"/>
        <v>0</v>
      </c>
      <c r="CQ371" s="2">
        <f t="shared" si="285"/>
        <v>518.16999999999996</v>
      </c>
      <c r="CR371" s="2">
        <f>(ROUND((ROUND(((ET371)*AV371*1),2)*BB371),2)+ROUND((ROUND(((AE371-(EU371))*AV371*1),2)*BS371),2))</f>
        <v>0</v>
      </c>
      <c r="CS371" s="2">
        <f t="shared" si="286"/>
        <v>0</v>
      </c>
      <c r="CT371" s="2">
        <f t="shared" si="287"/>
        <v>0</v>
      </c>
      <c r="CU371" s="2">
        <f t="shared" si="288"/>
        <v>0</v>
      </c>
      <c r="CV371" s="2">
        <f t="shared" si="289"/>
        <v>0</v>
      </c>
      <c r="CW371" s="2">
        <f t="shared" si="290"/>
        <v>0</v>
      </c>
      <c r="CX371" s="2">
        <f t="shared" si="291"/>
        <v>0</v>
      </c>
      <c r="CY371" s="2">
        <f>((S371*BZ371)/100)</f>
        <v>0</v>
      </c>
      <c r="CZ371" s="2">
        <f>((S371*CA371)/100)</f>
        <v>0</v>
      </c>
      <c r="DA371" s="2"/>
      <c r="DB371" s="2"/>
      <c r="DC371" s="2" t="s">
        <v>3</v>
      </c>
      <c r="DD371" s="2" t="s">
        <v>3</v>
      </c>
      <c r="DE371" s="2" t="s">
        <v>3</v>
      </c>
      <c r="DF371" s="2" t="s">
        <v>3</v>
      </c>
      <c r="DG371" s="2" t="s">
        <v>3</v>
      </c>
      <c r="DH371" s="2" t="s">
        <v>3</v>
      </c>
      <c r="DI371" s="2" t="s">
        <v>3</v>
      </c>
      <c r="DJ371" s="2" t="s">
        <v>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1007</v>
      </c>
      <c r="DV371" s="2" t="s">
        <v>88</v>
      </c>
      <c r="DW371" s="2" t="s">
        <v>88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51696191</v>
      </c>
      <c r="EF371" s="2">
        <v>30</v>
      </c>
      <c r="EG371" s="2" t="s">
        <v>23</v>
      </c>
      <c r="EH371" s="2">
        <v>0</v>
      </c>
      <c r="EI371" s="2" t="s">
        <v>3</v>
      </c>
      <c r="EJ371" s="2">
        <v>1</v>
      </c>
      <c r="EK371" s="2">
        <v>152</v>
      </c>
      <c r="EL371" s="2" t="s">
        <v>310</v>
      </c>
      <c r="EM371" s="2" t="s">
        <v>311</v>
      </c>
      <c r="EN371" s="2"/>
      <c r="EO371" s="2" t="s">
        <v>3</v>
      </c>
      <c r="EP371" s="2"/>
      <c r="EQ371" s="2">
        <v>0</v>
      </c>
      <c r="ER371" s="2">
        <v>517.14</v>
      </c>
      <c r="ES371" s="2">
        <v>517.14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161</v>
      </c>
      <c r="FY371" s="2">
        <v>107</v>
      </c>
      <c r="FZ371" s="2"/>
      <c r="GA371" s="2" t="s">
        <v>3</v>
      </c>
      <c r="GB371" s="2"/>
      <c r="GC371" s="2"/>
      <c r="GD371" s="2">
        <v>0</v>
      </c>
      <c r="GE371" s="2"/>
      <c r="GF371" s="2">
        <v>-520181400</v>
      </c>
      <c r="GG371" s="2">
        <v>2</v>
      </c>
      <c r="GH371" s="2">
        <v>1</v>
      </c>
      <c r="GI371" s="2">
        <v>-2</v>
      </c>
      <c r="GJ371" s="2">
        <v>0</v>
      </c>
      <c r="GK371" s="2">
        <f>ROUND(R371*(R12)/100,2)</f>
        <v>0</v>
      </c>
      <c r="GL371" s="2">
        <f t="shared" si="292"/>
        <v>0</v>
      </c>
      <c r="GM371" s="2">
        <f t="shared" si="293"/>
        <v>0</v>
      </c>
      <c r="GN371" s="2">
        <f t="shared" si="294"/>
        <v>0</v>
      </c>
      <c r="GO371" s="2">
        <f t="shared" si="295"/>
        <v>0</v>
      </c>
      <c r="GP371" s="2">
        <f t="shared" si="296"/>
        <v>0</v>
      </c>
      <c r="GQ371" s="2"/>
      <c r="GR371" s="2">
        <v>0</v>
      </c>
      <c r="GS371" s="2">
        <v>0</v>
      </c>
      <c r="GT371" s="2">
        <v>0</v>
      </c>
      <c r="GU371" s="2" t="s">
        <v>3</v>
      </c>
      <c r="GV371" s="2">
        <f t="shared" si="297"/>
        <v>0</v>
      </c>
      <c r="GW371" s="2">
        <v>1</v>
      </c>
      <c r="GX371" s="2">
        <f t="shared" si="298"/>
        <v>0</v>
      </c>
      <c r="GY371" s="2"/>
      <c r="GZ371" s="2"/>
      <c r="HA371" s="2">
        <v>0</v>
      </c>
      <c r="HB371" s="2">
        <v>0</v>
      </c>
      <c r="HC371" s="2">
        <f t="shared" si="299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3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">
      <c r="A372">
        <v>18</v>
      </c>
      <c r="B372">
        <v>1</v>
      </c>
      <c r="C372">
        <v>204</v>
      </c>
      <c r="E372" t="s">
        <v>414</v>
      </c>
      <c r="F372" t="s">
        <v>313</v>
      </c>
      <c r="G372" t="s">
        <v>314</v>
      </c>
      <c r="H372" t="s">
        <v>88</v>
      </c>
      <c r="I372">
        <f>I370*J372</f>
        <v>0</v>
      </c>
      <c r="J372">
        <v>10.199999999999999</v>
      </c>
      <c r="K372">
        <v>10.199999999999999</v>
      </c>
      <c r="O372">
        <f t="shared" si="270"/>
        <v>0</v>
      </c>
      <c r="P372">
        <f t="shared" si="271"/>
        <v>0</v>
      </c>
      <c r="Q372">
        <f>(ROUND((ROUND(((ET372)*AV372*I372),2)*BB372),2)+ROUND((ROUND(((AE372-(EU372))*AV372*I372),2)*BS372),2))</f>
        <v>0</v>
      </c>
      <c r="R372">
        <f t="shared" si="272"/>
        <v>0</v>
      </c>
      <c r="S372">
        <f t="shared" si="273"/>
        <v>0</v>
      </c>
      <c r="T372">
        <f t="shared" si="274"/>
        <v>0</v>
      </c>
      <c r="U372">
        <f t="shared" si="275"/>
        <v>0</v>
      </c>
      <c r="V372">
        <f t="shared" si="276"/>
        <v>0</v>
      </c>
      <c r="W372">
        <f t="shared" si="277"/>
        <v>0</v>
      </c>
      <c r="X372">
        <f t="shared" si="278"/>
        <v>0</v>
      </c>
      <c r="Y372">
        <f t="shared" si="279"/>
        <v>0</v>
      </c>
      <c r="AA372">
        <v>56611490</v>
      </c>
      <c r="AB372">
        <f t="shared" si="280"/>
        <v>517.14</v>
      </c>
      <c r="AC372">
        <f t="shared" si="281"/>
        <v>517.14</v>
      </c>
      <c r="AD372">
        <f>ROUND((((ET372)-(EU372))+AE372),6)</f>
        <v>0</v>
      </c>
      <c r="AE372">
        <f>ROUND((EU372),6)</f>
        <v>0</v>
      </c>
      <c r="AF372">
        <f>ROUND((EV372),6)</f>
        <v>0</v>
      </c>
      <c r="AG372">
        <f t="shared" si="282"/>
        <v>0</v>
      </c>
      <c r="AH372">
        <f>(EW372)</f>
        <v>0</v>
      </c>
      <c r="AI372">
        <f>(EX372)</f>
        <v>0</v>
      </c>
      <c r="AJ372">
        <f t="shared" si="283"/>
        <v>0</v>
      </c>
      <c r="AK372">
        <v>517.14</v>
      </c>
      <c r="AL372">
        <v>517.14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1.002</v>
      </c>
      <c r="AZ372">
        <v>1</v>
      </c>
      <c r="BA372">
        <v>1</v>
      </c>
      <c r="BB372">
        <v>1</v>
      </c>
      <c r="BC372">
        <v>11.03</v>
      </c>
      <c r="BD372" t="s">
        <v>3</v>
      </c>
      <c r="BE372" t="s">
        <v>3</v>
      </c>
      <c r="BF372" t="s">
        <v>3</v>
      </c>
      <c r="BG372" t="s">
        <v>3</v>
      </c>
      <c r="BH372">
        <v>3</v>
      </c>
      <c r="BI372">
        <v>1</v>
      </c>
      <c r="BJ372" t="s">
        <v>315</v>
      </c>
      <c r="BM372">
        <v>152</v>
      </c>
      <c r="BN372">
        <v>0</v>
      </c>
      <c r="BO372" t="s">
        <v>313</v>
      </c>
      <c r="BP372">
        <v>1</v>
      </c>
      <c r="BQ372">
        <v>30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 t="s">
        <v>3</v>
      </c>
      <c r="BZ372">
        <v>0</v>
      </c>
      <c r="CA372">
        <v>0</v>
      </c>
      <c r="CB372" t="s">
        <v>3</v>
      </c>
      <c r="CE372">
        <v>30</v>
      </c>
      <c r="CF372">
        <v>0</v>
      </c>
      <c r="CG372">
        <v>0</v>
      </c>
      <c r="CM372">
        <v>0</v>
      </c>
      <c r="CN372" t="s">
        <v>3</v>
      </c>
      <c r="CO372">
        <v>0</v>
      </c>
      <c r="CP372">
        <f t="shared" si="284"/>
        <v>0</v>
      </c>
      <c r="CQ372">
        <f t="shared" si="285"/>
        <v>5715.42</v>
      </c>
      <c r="CR372">
        <f>(ROUND((ROUND(((ET372)*AV372*1),2)*BB372),2)+ROUND((ROUND(((AE372-(EU372))*AV372*1),2)*BS372),2))</f>
        <v>0</v>
      </c>
      <c r="CS372">
        <f t="shared" si="286"/>
        <v>0</v>
      </c>
      <c r="CT372">
        <f t="shared" si="287"/>
        <v>0</v>
      </c>
      <c r="CU372">
        <f t="shared" si="288"/>
        <v>0</v>
      </c>
      <c r="CV372">
        <f t="shared" si="289"/>
        <v>0</v>
      </c>
      <c r="CW372">
        <f t="shared" si="290"/>
        <v>0</v>
      </c>
      <c r="CX372">
        <f t="shared" si="291"/>
        <v>0</v>
      </c>
      <c r="CY372">
        <f>S372*(BZ372/100)</f>
        <v>0</v>
      </c>
      <c r="CZ372">
        <f>S372*(CA372/100)</f>
        <v>0</v>
      </c>
      <c r="DC372" t="s">
        <v>3</v>
      </c>
      <c r="DD372" t="s">
        <v>3</v>
      </c>
      <c r="DE372" t="s">
        <v>3</v>
      </c>
      <c r="DF372" t="s">
        <v>3</v>
      </c>
      <c r="DG372" t="s">
        <v>3</v>
      </c>
      <c r="DH372" t="s">
        <v>3</v>
      </c>
      <c r="DI372" t="s">
        <v>3</v>
      </c>
      <c r="DJ372" t="s">
        <v>3</v>
      </c>
      <c r="DK372" t="s">
        <v>3</v>
      </c>
      <c r="DL372" t="s">
        <v>3</v>
      </c>
      <c r="DM372" t="s">
        <v>3</v>
      </c>
      <c r="DN372">
        <v>161</v>
      </c>
      <c r="DO372">
        <v>107</v>
      </c>
      <c r="DP372">
        <v>1.0469999999999999</v>
      </c>
      <c r="DQ372">
        <v>1.002</v>
      </c>
      <c r="DU372">
        <v>1007</v>
      </c>
      <c r="DV372" t="s">
        <v>88</v>
      </c>
      <c r="DW372" t="s">
        <v>88</v>
      </c>
      <c r="DX372">
        <v>1</v>
      </c>
      <c r="DZ372" t="s">
        <v>3</v>
      </c>
      <c r="EA372" t="s">
        <v>3</v>
      </c>
      <c r="EB372" t="s">
        <v>3</v>
      </c>
      <c r="EC372" t="s">
        <v>3</v>
      </c>
      <c r="EE372">
        <v>51696191</v>
      </c>
      <c r="EF372">
        <v>30</v>
      </c>
      <c r="EG372" t="s">
        <v>23</v>
      </c>
      <c r="EH372">
        <v>0</v>
      </c>
      <c r="EI372" t="s">
        <v>3</v>
      </c>
      <c r="EJ372">
        <v>1</v>
      </c>
      <c r="EK372">
        <v>152</v>
      </c>
      <c r="EL372" t="s">
        <v>310</v>
      </c>
      <c r="EM372" t="s">
        <v>311</v>
      </c>
      <c r="EO372" t="s">
        <v>3</v>
      </c>
      <c r="EQ372">
        <v>0</v>
      </c>
      <c r="ER372">
        <v>517.14</v>
      </c>
      <c r="ES372">
        <v>517.14</v>
      </c>
      <c r="ET372">
        <v>0</v>
      </c>
      <c r="EU372">
        <v>0</v>
      </c>
      <c r="EV372">
        <v>0</v>
      </c>
      <c r="EW372">
        <v>0</v>
      </c>
      <c r="EX372">
        <v>0</v>
      </c>
      <c r="FQ372">
        <v>0</v>
      </c>
      <c r="FR372">
        <v>0</v>
      </c>
      <c r="FS372">
        <v>0</v>
      </c>
      <c r="FX372">
        <v>161</v>
      </c>
      <c r="FY372">
        <v>107</v>
      </c>
      <c r="GA372" t="s">
        <v>3</v>
      </c>
      <c r="GD372">
        <v>0</v>
      </c>
      <c r="GF372">
        <v>-520181400</v>
      </c>
      <c r="GG372">
        <v>2</v>
      </c>
      <c r="GH372">
        <v>1</v>
      </c>
      <c r="GI372">
        <v>2</v>
      </c>
      <c r="GJ372">
        <v>0</v>
      </c>
      <c r="GK372">
        <f>ROUND(R372*(S12)/100,2)</f>
        <v>0</v>
      </c>
      <c r="GL372">
        <f t="shared" si="292"/>
        <v>0</v>
      </c>
      <c r="GM372">
        <f t="shared" si="293"/>
        <v>0</v>
      </c>
      <c r="GN372">
        <f t="shared" si="294"/>
        <v>0</v>
      </c>
      <c r="GO372">
        <f t="shared" si="295"/>
        <v>0</v>
      </c>
      <c r="GP372">
        <f t="shared" si="296"/>
        <v>0</v>
      </c>
      <c r="GR372">
        <v>0</v>
      </c>
      <c r="GS372">
        <v>3</v>
      </c>
      <c r="GT372">
        <v>0</v>
      </c>
      <c r="GU372" t="s">
        <v>3</v>
      </c>
      <c r="GV372">
        <f t="shared" si="297"/>
        <v>0</v>
      </c>
      <c r="GW372">
        <v>1</v>
      </c>
      <c r="GX372">
        <f t="shared" si="298"/>
        <v>0</v>
      </c>
      <c r="HA372">
        <v>0</v>
      </c>
      <c r="HB372">
        <v>0</v>
      </c>
      <c r="HC372">
        <f t="shared" si="299"/>
        <v>0</v>
      </c>
      <c r="HE372" t="s">
        <v>3</v>
      </c>
      <c r="HF372" t="s">
        <v>3</v>
      </c>
      <c r="HM372" t="s">
        <v>3</v>
      </c>
      <c r="HN372" t="s">
        <v>3</v>
      </c>
      <c r="HO372" t="s">
        <v>3</v>
      </c>
      <c r="HP372" t="s">
        <v>3</v>
      </c>
      <c r="HQ372" t="s">
        <v>3</v>
      </c>
      <c r="HS372">
        <v>0</v>
      </c>
      <c r="IK372">
        <v>0</v>
      </c>
    </row>
    <row r="373" spans="1:255" x14ac:dyDescent="0.2">
      <c r="A373" s="2">
        <v>17</v>
      </c>
      <c r="B373" s="2">
        <v>1</v>
      </c>
      <c r="C373" s="2">
        <f>ROW(SmtRes!A205)</f>
        <v>205</v>
      </c>
      <c r="D373" s="2">
        <f>ROW(EtalonRes!A587)</f>
        <v>587</v>
      </c>
      <c r="E373" s="2" t="s">
        <v>415</v>
      </c>
      <c r="F373" s="2" t="s">
        <v>416</v>
      </c>
      <c r="G373" s="2" t="s">
        <v>417</v>
      </c>
      <c r="H373" s="2" t="s">
        <v>299</v>
      </c>
      <c r="I373" s="2">
        <v>0</v>
      </c>
      <c r="J373" s="2">
        <v>0</v>
      </c>
      <c r="K373" s="2">
        <v>0</v>
      </c>
      <c r="L373" s="2"/>
      <c r="M373" s="2"/>
      <c r="N373" s="2"/>
      <c r="O373" s="2">
        <f t="shared" si="270"/>
        <v>0</v>
      </c>
      <c r="P373" s="2">
        <f t="shared" si="271"/>
        <v>0</v>
      </c>
      <c r="Q373" s="2">
        <f>(ROUND((ROUND((((ET373*1.1))*AV373*I373),2)*BB373),2)+ROUND((ROUND(((AE373-((EU373*1.1)))*AV373*I373),2)*BS373),2))</f>
        <v>0</v>
      </c>
      <c r="R373" s="2">
        <f t="shared" si="272"/>
        <v>0</v>
      </c>
      <c r="S373" s="2">
        <f t="shared" si="273"/>
        <v>0</v>
      </c>
      <c r="T373" s="2">
        <f t="shared" si="274"/>
        <v>0</v>
      </c>
      <c r="U373" s="2">
        <f t="shared" si="275"/>
        <v>0</v>
      </c>
      <c r="V373" s="2">
        <f t="shared" si="276"/>
        <v>0</v>
      </c>
      <c r="W373" s="2">
        <f t="shared" si="277"/>
        <v>0</v>
      </c>
      <c r="X373" s="2">
        <f t="shared" si="278"/>
        <v>0</v>
      </c>
      <c r="Y373" s="2">
        <f t="shared" si="279"/>
        <v>0</v>
      </c>
      <c r="Z373" s="2"/>
      <c r="AA373" s="2">
        <v>56622523</v>
      </c>
      <c r="AB373" s="2">
        <f t="shared" si="280"/>
        <v>6227.8710000000001</v>
      </c>
      <c r="AC373" s="2">
        <f t="shared" si="281"/>
        <v>49.49</v>
      </c>
      <c r="AD373" s="2">
        <f>ROUND(((((ET373*1.1))-((EU373*1.1)))+AE373),6)</f>
        <v>5928.4279999999999</v>
      </c>
      <c r="AE373" s="2">
        <f>ROUND(((EU373*1.1)),6)</f>
        <v>444.75200000000001</v>
      </c>
      <c r="AF373" s="2">
        <f>ROUND(((EV373*1.1)),6)</f>
        <v>249.953</v>
      </c>
      <c r="AG373" s="2">
        <f t="shared" si="282"/>
        <v>0</v>
      </c>
      <c r="AH373" s="2">
        <f>((EW373*1.1))</f>
        <v>23.760000000000005</v>
      </c>
      <c r="AI373" s="2">
        <f>((EX373*1.1))</f>
        <v>0</v>
      </c>
      <c r="AJ373" s="2">
        <f t="shared" si="283"/>
        <v>0</v>
      </c>
      <c r="AK373" s="2">
        <v>5666.2</v>
      </c>
      <c r="AL373" s="2">
        <v>49.49</v>
      </c>
      <c r="AM373" s="2">
        <v>5389.48</v>
      </c>
      <c r="AN373" s="2">
        <v>404.32</v>
      </c>
      <c r="AO373" s="2">
        <v>227.23</v>
      </c>
      <c r="AP373" s="2">
        <v>0</v>
      </c>
      <c r="AQ373" s="2">
        <v>21.6</v>
      </c>
      <c r="AR373" s="2">
        <v>0</v>
      </c>
      <c r="AS373" s="2">
        <v>0</v>
      </c>
      <c r="AT373" s="2">
        <v>161</v>
      </c>
      <c r="AU373" s="2">
        <v>107</v>
      </c>
      <c r="AV373" s="2">
        <v>1.0469999999999999</v>
      </c>
      <c r="AW373" s="2">
        <v>1.002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0</v>
      </c>
      <c r="BI373" s="2">
        <v>1</v>
      </c>
      <c r="BJ373" s="2" t="s">
        <v>418</v>
      </c>
      <c r="BK373" s="2"/>
      <c r="BL373" s="2"/>
      <c r="BM373" s="2">
        <v>146</v>
      </c>
      <c r="BN373" s="2">
        <v>0</v>
      </c>
      <c r="BO373" s="2" t="s">
        <v>3</v>
      </c>
      <c r="BP373" s="2">
        <v>0</v>
      </c>
      <c r="BQ373" s="2">
        <v>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161</v>
      </c>
      <c r="CA373" s="2">
        <v>107</v>
      </c>
      <c r="CB373" s="2" t="s">
        <v>3</v>
      </c>
      <c r="CC373" s="2"/>
      <c r="CD373" s="2"/>
      <c r="CE373" s="2">
        <v>30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689</v>
      </c>
      <c r="CO373" s="2">
        <v>0</v>
      </c>
      <c r="CP373" s="2">
        <f t="shared" si="284"/>
        <v>0</v>
      </c>
      <c r="CQ373" s="2">
        <f t="shared" si="285"/>
        <v>49.59</v>
      </c>
      <c r="CR373" s="2">
        <f>(ROUND((ROUND((((ET373*1.1))*AV373*1),2)*BB373),2)+ROUND((ROUND(((AE373-((EU373*1.1)))*AV373*1),2)*BS373),2))</f>
        <v>6207.06</v>
      </c>
      <c r="CS373" s="2">
        <f t="shared" si="286"/>
        <v>465.66</v>
      </c>
      <c r="CT373" s="2">
        <f t="shared" si="287"/>
        <v>261.7</v>
      </c>
      <c r="CU373" s="2">
        <f t="shared" si="288"/>
        <v>0</v>
      </c>
      <c r="CV373" s="2">
        <f t="shared" si="289"/>
        <v>24.876720000000002</v>
      </c>
      <c r="CW373" s="2">
        <f t="shared" si="290"/>
        <v>0</v>
      </c>
      <c r="CX373" s="2">
        <f t="shared" si="291"/>
        <v>0</v>
      </c>
      <c r="CY373" s="2">
        <f>((S373*BZ373)/100)</f>
        <v>0</v>
      </c>
      <c r="CZ373" s="2">
        <f>((S373*CA373)/100)</f>
        <v>0</v>
      </c>
      <c r="DA373" s="2"/>
      <c r="DB373" s="2"/>
      <c r="DC373" s="2" t="s">
        <v>3</v>
      </c>
      <c r="DD373" s="2" t="s">
        <v>3</v>
      </c>
      <c r="DE373" s="2" t="s">
        <v>22</v>
      </c>
      <c r="DF373" s="2" t="s">
        <v>22</v>
      </c>
      <c r="DG373" s="2" t="s">
        <v>22</v>
      </c>
      <c r="DH373" s="2" t="s">
        <v>3</v>
      </c>
      <c r="DI373" s="2" t="s">
        <v>22</v>
      </c>
      <c r="DJ373" s="2" t="s">
        <v>22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1013</v>
      </c>
      <c r="DV373" s="2" t="s">
        <v>299</v>
      </c>
      <c r="DW373" s="2" t="s">
        <v>299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51696185</v>
      </c>
      <c r="EF373" s="2">
        <v>30</v>
      </c>
      <c r="EG373" s="2" t="s">
        <v>23</v>
      </c>
      <c r="EH373" s="2">
        <v>0</v>
      </c>
      <c r="EI373" s="2" t="s">
        <v>3</v>
      </c>
      <c r="EJ373" s="2">
        <v>1</v>
      </c>
      <c r="EK373" s="2">
        <v>146</v>
      </c>
      <c r="EL373" s="2" t="s">
        <v>301</v>
      </c>
      <c r="EM373" s="2" t="s">
        <v>302</v>
      </c>
      <c r="EN373" s="2"/>
      <c r="EO373" s="2" t="s">
        <v>26</v>
      </c>
      <c r="EP373" s="2"/>
      <c r="EQ373" s="2">
        <v>131072</v>
      </c>
      <c r="ER373" s="2">
        <v>5666.2</v>
      </c>
      <c r="ES373" s="2">
        <v>49.49</v>
      </c>
      <c r="ET373" s="2">
        <v>5389.48</v>
      </c>
      <c r="EU373" s="2">
        <v>404.32</v>
      </c>
      <c r="EV373" s="2">
        <v>227.23</v>
      </c>
      <c r="EW373" s="2">
        <v>21.6</v>
      </c>
      <c r="EX373" s="2">
        <v>0</v>
      </c>
      <c r="EY373" s="2">
        <v>0</v>
      </c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161</v>
      </c>
      <c r="FY373" s="2">
        <v>107</v>
      </c>
      <c r="FZ373" s="2"/>
      <c r="GA373" s="2" t="s">
        <v>3</v>
      </c>
      <c r="GB373" s="2"/>
      <c r="GC373" s="2"/>
      <c r="GD373" s="2">
        <v>0</v>
      </c>
      <c r="GE373" s="2"/>
      <c r="GF373" s="2">
        <v>-1230589429</v>
      </c>
      <c r="GG373" s="2">
        <v>2</v>
      </c>
      <c r="GH373" s="2">
        <v>1</v>
      </c>
      <c r="GI373" s="2">
        <v>-2</v>
      </c>
      <c r="GJ373" s="2">
        <v>0</v>
      </c>
      <c r="GK373" s="2">
        <f>ROUND(R373*(R12)/100,2)</f>
        <v>0</v>
      </c>
      <c r="GL373" s="2">
        <f t="shared" si="292"/>
        <v>0</v>
      </c>
      <c r="GM373" s="2">
        <f t="shared" si="293"/>
        <v>0</v>
      </c>
      <c r="GN373" s="2">
        <f t="shared" si="294"/>
        <v>0</v>
      </c>
      <c r="GO373" s="2">
        <f t="shared" si="295"/>
        <v>0</v>
      </c>
      <c r="GP373" s="2">
        <f t="shared" si="296"/>
        <v>0</v>
      </c>
      <c r="GQ373" s="2"/>
      <c r="GR373" s="2">
        <v>0</v>
      </c>
      <c r="GS373" s="2">
        <v>0</v>
      </c>
      <c r="GT373" s="2">
        <v>0</v>
      </c>
      <c r="GU373" s="2" t="s">
        <v>3</v>
      </c>
      <c r="GV373" s="2">
        <f t="shared" si="297"/>
        <v>0</v>
      </c>
      <c r="GW373" s="2">
        <v>1</v>
      </c>
      <c r="GX373" s="2">
        <f t="shared" si="298"/>
        <v>0</v>
      </c>
      <c r="GY373" s="2"/>
      <c r="GZ373" s="2"/>
      <c r="HA373" s="2">
        <v>0</v>
      </c>
      <c r="HB373" s="2">
        <v>0</v>
      </c>
      <c r="HC373" s="2">
        <f t="shared" si="299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">
      <c r="A374">
        <v>17</v>
      </c>
      <c r="B374">
        <v>1</v>
      </c>
      <c r="C374">
        <f>ROW(SmtRes!A206)</f>
        <v>206</v>
      </c>
      <c r="D374">
        <f>ROW(EtalonRes!A596)</f>
        <v>596</v>
      </c>
      <c r="E374" t="s">
        <v>415</v>
      </c>
      <c r="F374" t="s">
        <v>416</v>
      </c>
      <c r="G374" t="s">
        <v>417</v>
      </c>
      <c r="H374" t="s">
        <v>299</v>
      </c>
      <c r="I374">
        <v>0</v>
      </c>
      <c r="J374">
        <v>0</v>
      </c>
      <c r="K374">
        <v>0</v>
      </c>
      <c r="O374">
        <f t="shared" si="270"/>
        <v>0</v>
      </c>
      <c r="P374">
        <f t="shared" si="271"/>
        <v>0</v>
      </c>
      <c r="Q374">
        <f>(ROUND((ROUND((((ET374*1.1))*AV374*I374),2)*BB374),2)+ROUND((ROUND(((AE374-((EU374*1.1)))*AV374*I374),2)*BS374),2))</f>
        <v>0</v>
      </c>
      <c r="R374">
        <f t="shared" si="272"/>
        <v>0</v>
      </c>
      <c r="S374">
        <f t="shared" si="273"/>
        <v>0</v>
      </c>
      <c r="T374">
        <f t="shared" si="274"/>
        <v>0</v>
      </c>
      <c r="U374">
        <f t="shared" si="275"/>
        <v>0</v>
      </c>
      <c r="V374">
        <f t="shared" si="276"/>
        <v>0</v>
      </c>
      <c r="W374">
        <f t="shared" si="277"/>
        <v>0</v>
      </c>
      <c r="X374">
        <f t="shared" si="278"/>
        <v>0</v>
      </c>
      <c r="Y374">
        <f t="shared" si="279"/>
        <v>0</v>
      </c>
      <c r="AA374">
        <v>56611490</v>
      </c>
      <c r="AB374">
        <f t="shared" si="280"/>
        <v>6227.8710000000001</v>
      </c>
      <c r="AC374">
        <f t="shared" si="281"/>
        <v>49.49</v>
      </c>
      <c r="AD374">
        <f>ROUND(((((ET374*1.1))-((EU374*1.1)))+AE374),6)</f>
        <v>5928.4279999999999</v>
      </c>
      <c r="AE374">
        <f>ROUND(((EU374*1.1)),6)</f>
        <v>444.75200000000001</v>
      </c>
      <c r="AF374">
        <f>ROUND(((EV374*1.1)),6)</f>
        <v>249.953</v>
      </c>
      <c r="AG374">
        <f t="shared" si="282"/>
        <v>0</v>
      </c>
      <c r="AH374">
        <f>((EW374*1.1))</f>
        <v>23.760000000000005</v>
      </c>
      <c r="AI374">
        <f>((EX374*1.1))</f>
        <v>0</v>
      </c>
      <c r="AJ374">
        <f t="shared" si="283"/>
        <v>0</v>
      </c>
      <c r="AK374">
        <v>5666.2</v>
      </c>
      <c r="AL374">
        <v>49.49</v>
      </c>
      <c r="AM374">
        <v>5389.48</v>
      </c>
      <c r="AN374">
        <v>404.32</v>
      </c>
      <c r="AO374">
        <v>227.23</v>
      </c>
      <c r="AP374">
        <v>0</v>
      </c>
      <c r="AQ374">
        <v>21.6</v>
      </c>
      <c r="AR374">
        <v>0</v>
      </c>
      <c r="AS374">
        <v>0</v>
      </c>
      <c r="AT374">
        <v>134</v>
      </c>
      <c r="AU374">
        <v>55</v>
      </c>
      <c r="AV374">
        <v>1.0469999999999999</v>
      </c>
      <c r="AW374">
        <v>1.002</v>
      </c>
      <c r="AZ374">
        <v>1</v>
      </c>
      <c r="BA374">
        <v>34.51</v>
      </c>
      <c r="BB374">
        <v>11.62</v>
      </c>
      <c r="BC374">
        <v>7.05</v>
      </c>
      <c r="BD374" t="s">
        <v>3</v>
      </c>
      <c r="BE374" t="s">
        <v>3</v>
      </c>
      <c r="BF374" t="s">
        <v>3</v>
      </c>
      <c r="BG374" t="s">
        <v>3</v>
      </c>
      <c r="BH374">
        <v>0</v>
      </c>
      <c r="BI374">
        <v>1</v>
      </c>
      <c r="BJ374" t="s">
        <v>418</v>
      </c>
      <c r="BM374">
        <v>146</v>
      </c>
      <c r="BN374">
        <v>0</v>
      </c>
      <c r="BO374" t="s">
        <v>416</v>
      </c>
      <c r="BP374">
        <v>1</v>
      </c>
      <c r="BQ374">
        <v>30</v>
      </c>
      <c r="BR374">
        <v>0</v>
      </c>
      <c r="BS374">
        <v>34.51</v>
      </c>
      <c r="BT374">
        <v>1</v>
      </c>
      <c r="BU374">
        <v>1</v>
      </c>
      <c r="BV374">
        <v>1</v>
      </c>
      <c r="BW374">
        <v>1</v>
      </c>
      <c r="BX374">
        <v>1</v>
      </c>
      <c r="BY374" t="s">
        <v>3</v>
      </c>
      <c r="BZ374">
        <v>134</v>
      </c>
      <c r="CA374">
        <v>55</v>
      </c>
      <c r="CB374" t="s">
        <v>3</v>
      </c>
      <c r="CE374">
        <v>30</v>
      </c>
      <c r="CF374">
        <v>0</v>
      </c>
      <c r="CG374">
        <v>0</v>
      </c>
      <c r="CM374">
        <v>0</v>
      </c>
      <c r="CN374" t="s">
        <v>689</v>
      </c>
      <c r="CO374">
        <v>0</v>
      </c>
      <c r="CP374">
        <f t="shared" si="284"/>
        <v>0</v>
      </c>
      <c r="CQ374">
        <f t="shared" si="285"/>
        <v>349.61</v>
      </c>
      <c r="CR374">
        <f>(ROUND((ROUND((((ET374*1.1))*AV374*1),2)*BB374),2)+ROUND((ROUND(((AE374-((EU374*1.1)))*AV374*1),2)*BS374),2))</f>
        <v>72126.039999999994</v>
      </c>
      <c r="CS374">
        <f t="shared" si="286"/>
        <v>16069.93</v>
      </c>
      <c r="CT374">
        <f t="shared" si="287"/>
        <v>9031.27</v>
      </c>
      <c r="CU374">
        <f t="shared" si="288"/>
        <v>0</v>
      </c>
      <c r="CV374">
        <f t="shared" si="289"/>
        <v>24.876720000000002</v>
      </c>
      <c r="CW374">
        <f t="shared" si="290"/>
        <v>0</v>
      </c>
      <c r="CX374">
        <f t="shared" si="291"/>
        <v>0</v>
      </c>
      <c r="CY374">
        <f>S374*(BZ374/100)</f>
        <v>0</v>
      </c>
      <c r="CZ374">
        <f>S374*(CA374/100)</f>
        <v>0</v>
      </c>
      <c r="DC374" t="s">
        <v>3</v>
      </c>
      <c r="DD374" t="s">
        <v>3</v>
      </c>
      <c r="DE374" t="s">
        <v>22</v>
      </c>
      <c r="DF374" t="s">
        <v>22</v>
      </c>
      <c r="DG374" t="s">
        <v>22</v>
      </c>
      <c r="DH374" t="s">
        <v>3</v>
      </c>
      <c r="DI374" t="s">
        <v>22</v>
      </c>
      <c r="DJ374" t="s">
        <v>22</v>
      </c>
      <c r="DK374" t="s">
        <v>3</v>
      </c>
      <c r="DL374" t="s">
        <v>3</v>
      </c>
      <c r="DM374" t="s">
        <v>3</v>
      </c>
      <c r="DN374">
        <v>161</v>
      </c>
      <c r="DO374">
        <v>107</v>
      </c>
      <c r="DP374">
        <v>1.0469999999999999</v>
      </c>
      <c r="DQ374">
        <v>1.002</v>
      </c>
      <c r="DU374">
        <v>1013</v>
      </c>
      <c r="DV374" t="s">
        <v>299</v>
      </c>
      <c r="DW374" t="s">
        <v>299</v>
      </c>
      <c r="DX374">
        <v>1</v>
      </c>
      <c r="DZ374" t="s">
        <v>3</v>
      </c>
      <c r="EA374" t="s">
        <v>3</v>
      </c>
      <c r="EB374" t="s">
        <v>3</v>
      </c>
      <c r="EC374" t="s">
        <v>3</v>
      </c>
      <c r="EE374">
        <v>51696185</v>
      </c>
      <c r="EF374">
        <v>30</v>
      </c>
      <c r="EG374" t="s">
        <v>23</v>
      </c>
      <c r="EH374">
        <v>0</v>
      </c>
      <c r="EI374" t="s">
        <v>3</v>
      </c>
      <c r="EJ374">
        <v>1</v>
      </c>
      <c r="EK374">
        <v>146</v>
      </c>
      <c r="EL374" t="s">
        <v>301</v>
      </c>
      <c r="EM374" t="s">
        <v>302</v>
      </c>
      <c r="EO374" t="s">
        <v>26</v>
      </c>
      <c r="EQ374">
        <v>131072</v>
      </c>
      <c r="ER374">
        <v>5666.2</v>
      </c>
      <c r="ES374">
        <v>49.49</v>
      </c>
      <c r="ET374">
        <v>5389.48</v>
      </c>
      <c r="EU374">
        <v>404.32</v>
      </c>
      <c r="EV374">
        <v>227.23</v>
      </c>
      <c r="EW374">
        <v>21.6</v>
      </c>
      <c r="EX374">
        <v>0</v>
      </c>
      <c r="EY374">
        <v>0</v>
      </c>
      <c r="FQ374">
        <v>0</v>
      </c>
      <c r="FR374">
        <v>0</v>
      </c>
      <c r="FS374">
        <v>0</v>
      </c>
      <c r="FX374">
        <v>161</v>
      </c>
      <c r="FY374">
        <v>107</v>
      </c>
      <c r="GA374" t="s">
        <v>3</v>
      </c>
      <c r="GD374">
        <v>0</v>
      </c>
      <c r="GF374">
        <v>-1230589429</v>
      </c>
      <c r="GG374">
        <v>2</v>
      </c>
      <c r="GH374">
        <v>1</v>
      </c>
      <c r="GI374">
        <v>2</v>
      </c>
      <c r="GJ374">
        <v>0</v>
      </c>
      <c r="GK374">
        <f>ROUND(R374*(S12)/100,2)</f>
        <v>0</v>
      </c>
      <c r="GL374">
        <f t="shared" si="292"/>
        <v>0</v>
      </c>
      <c r="GM374">
        <f t="shared" si="293"/>
        <v>0</v>
      </c>
      <c r="GN374">
        <f t="shared" si="294"/>
        <v>0</v>
      </c>
      <c r="GO374">
        <f t="shared" si="295"/>
        <v>0</v>
      </c>
      <c r="GP374">
        <f t="shared" si="296"/>
        <v>0</v>
      </c>
      <c r="GR374">
        <v>0</v>
      </c>
      <c r="GS374">
        <v>3</v>
      </c>
      <c r="GT374">
        <v>0</v>
      </c>
      <c r="GU374" t="s">
        <v>3</v>
      </c>
      <c r="GV374">
        <f t="shared" si="297"/>
        <v>0</v>
      </c>
      <c r="GW374">
        <v>1</v>
      </c>
      <c r="GX374">
        <f t="shared" si="298"/>
        <v>0</v>
      </c>
      <c r="HA374">
        <v>0</v>
      </c>
      <c r="HB374">
        <v>0</v>
      </c>
      <c r="HC374">
        <f t="shared" si="299"/>
        <v>0</v>
      </c>
      <c r="HE374" t="s">
        <v>3</v>
      </c>
      <c r="HF374" t="s">
        <v>3</v>
      </c>
      <c r="HM374" t="s">
        <v>3</v>
      </c>
      <c r="HN374" t="s">
        <v>3</v>
      </c>
      <c r="HO374" t="s">
        <v>3</v>
      </c>
      <c r="HP374" t="s">
        <v>3</v>
      </c>
      <c r="HQ374" t="s">
        <v>3</v>
      </c>
      <c r="HS374">
        <v>0</v>
      </c>
      <c r="IK374">
        <v>0</v>
      </c>
    </row>
    <row r="375" spans="1:255" x14ac:dyDescent="0.2">
      <c r="A375" s="2">
        <v>18</v>
      </c>
      <c r="B375" s="2">
        <v>1</v>
      </c>
      <c r="C375" s="2">
        <v>205</v>
      </c>
      <c r="D375" s="2"/>
      <c r="E375" s="2" t="s">
        <v>419</v>
      </c>
      <c r="F375" s="2" t="s">
        <v>420</v>
      </c>
      <c r="G375" s="2" t="s">
        <v>421</v>
      </c>
      <c r="H375" s="2" t="s">
        <v>88</v>
      </c>
      <c r="I375" s="2">
        <f>I373*J375</f>
        <v>0</v>
      </c>
      <c r="J375" s="2">
        <v>100</v>
      </c>
      <c r="K375" s="2">
        <v>100</v>
      </c>
      <c r="L375" s="2"/>
      <c r="M375" s="2"/>
      <c r="N375" s="2"/>
      <c r="O375" s="2">
        <f t="shared" si="270"/>
        <v>0</v>
      </c>
      <c r="P375" s="2">
        <f t="shared" si="271"/>
        <v>0</v>
      </c>
      <c r="Q375" s="2">
        <f>(ROUND((ROUND(((ET375)*AV375*I375),2)*BB375),2)+ROUND((ROUND(((AE375-(EU375))*AV375*I375),2)*BS375),2))</f>
        <v>0</v>
      </c>
      <c r="R375" s="2">
        <f t="shared" si="272"/>
        <v>0</v>
      </c>
      <c r="S375" s="2">
        <f t="shared" si="273"/>
        <v>0</v>
      </c>
      <c r="T375" s="2">
        <f t="shared" si="274"/>
        <v>0</v>
      </c>
      <c r="U375" s="2">
        <f t="shared" si="275"/>
        <v>0</v>
      </c>
      <c r="V375" s="2">
        <f t="shared" si="276"/>
        <v>0</v>
      </c>
      <c r="W375" s="2">
        <f t="shared" si="277"/>
        <v>0</v>
      </c>
      <c r="X375" s="2">
        <f t="shared" si="278"/>
        <v>0</v>
      </c>
      <c r="Y375" s="2">
        <f t="shared" si="279"/>
        <v>0</v>
      </c>
      <c r="Z375" s="2"/>
      <c r="AA375" s="2">
        <v>56622523</v>
      </c>
      <c r="AB375" s="2">
        <f t="shared" si="280"/>
        <v>165.8</v>
      </c>
      <c r="AC375" s="2">
        <f t="shared" si="281"/>
        <v>165.8</v>
      </c>
      <c r="AD375" s="2">
        <f>ROUND((((ET375)-(EU375))+AE375),6)</f>
        <v>0</v>
      </c>
      <c r="AE375" s="2">
        <f>ROUND((EU375),6)</f>
        <v>0</v>
      </c>
      <c r="AF375" s="2">
        <f>ROUND((EV375),6)</f>
        <v>0</v>
      </c>
      <c r="AG375" s="2">
        <f t="shared" si="282"/>
        <v>0</v>
      </c>
      <c r="AH375" s="2">
        <f>(EW375)</f>
        <v>0</v>
      </c>
      <c r="AI375" s="2">
        <f>(EX375)</f>
        <v>0</v>
      </c>
      <c r="AJ375" s="2">
        <f t="shared" si="283"/>
        <v>0</v>
      </c>
      <c r="AK375" s="2">
        <v>165.8</v>
      </c>
      <c r="AL375" s="2">
        <v>165.8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161</v>
      </c>
      <c r="AU375" s="2">
        <v>107</v>
      </c>
      <c r="AV375" s="2">
        <v>1.0469999999999999</v>
      </c>
      <c r="AW375" s="2">
        <v>1.002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3</v>
      </c>
      <c r="BI375" s="2">
        <v>1</v>
      </c>
      <c r="BJ375" s="2" t="s">
        <v>422</v>
      </c>
      <c r="BK375" s="2"/>
      <c r="BL375" s="2"/>
      <c r="BM375" s="2">
        <v>146</v>
      </c>
      <c r="BN375" s="2">
        <v>0</v>
      </c>
      <c r="BO375" s="2" t="s">
        <v>3</v>
      </c>
      <c r="BP375" s="2">
        <v>0</v>
      </c>
      <c r="BQ375" s="2">
        <v>30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161</v>
      </c>
      <c r="CA375" s="2">
        <v>107</v>
      </c>
      <c r="CB375" s="2" t="s">
        <v>3</v>
      </c>
      <c r="CC375" s="2"/>
      <c r="CD375" s="2"/>
      <c r="CE375" s="2">
        <v>30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3</v>
      </c>
      <c r="CO375" s="2">
        <v>0</v>
      </c>
      <c r="CP375" s="2">
        <f t="shared" si="284"/>
        <v>0</v>
      </c>
      <c r="CQ375" s="2">
        <f t="shared" si="285"/>
        <v>166.13</v>
      </c>
      <c r="CR375" s="2">
        <f>(ROUND((ROUND(((ET375)*AV375*1),2)*BB375),2)+ROUND((ROUND(((AE375-(EU375))*AV375*1),2)*BS375),2))</f>
        <v>0</v>
      </c>
      <c r="CS375" s="2">
        <f t="shared" si="286"/>
        <v>0</v>
      </c>
      <c r="CT375" s="2">
        <f t="shared" si="287"/>
        <v>0</v>
      </c>
      <c r="CU375" s="2">
        <f t="shared" si="288"/>
        <v>0</v>
      </c>
      <c r="CV375" s="2">
        <f t="shared" si="289"/>
        <v>0</v>
      </c>
      <c r="CW375" s="2">
        <f t="shared" si="290"/>
        <v>0</v>
      </c>
      <c r="CX375" s="2">
        <f t="shared" si="291"/>
        <v>0</v>
      </c>
      <c r="CY375" s="2">
        <f>((S375*BZ375)/100)</f>
        <v>0</v>
      </c>
      <c r="CZ375" s="2">
        <f>((S375*CA375)/100)</f>
        <v>0</v>
      </c>
      <c r="DA375" s="2"/>
      <c r="DB375" s="2"/>
      <c r="DC375" s="2" t="s">
        <v>3</v>
      </c>
      <c r="DD375" s="2" t="s">
        <v>3</v>
      </c>
      <c r="DE375" s="2" t="s">
        <v>3</v>
      </c>
      <c r="DF375" s="2" t="s">
        <v>3</v>
      </c>
      <c r="DG375" s="2" t="s">
        <v>3</v>
      </c>
      <c r="DH375" s="2" t="s">
        <v>3</v>
      </c>
      <c r="DI375" s="2" t="s">
        <v>3</v>
      </c>
      <c r="DJ375" s="2" t="s">
        <v>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1007</v>
      </c>
      <c r="DV375" s="2" t="s">
        <v>88</v>
      </c>
      <c r="DW375" s="2" t="s">
        <v>88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51696185</v>
      </c>
      <c r="EF375" s="2">
        <v>30</v>
      </c>
      <c r="EG375" s="2" t="s">
        <v>23</v>
      </c>
      <c r="EH375" s="2">
        <v>0</v>
      </c>
      <c r="EI375" s="2" t="s">
        <v>3</v>
      </c>
      <c r="EJ375" s="2">
        <v>1</v>
      </c>
      <c r="EK375" s="2">
        <v>146</v>
      </c>
      <c r="EL375" s="2" t="s">
        <v>301</v>
      </c>
      <c r="EM375" s="2" t="s">
        <v>302</v>
      </c>
      <c r="EN375" s="2"/>
      <c r="EO375" s="2" t="s">
        <v>3</v>
      </c>
      <c r="EP375" s="2"/>
      <c r="EQ375" s="2">
        <v>0</v>
      </c>
      <c r="ER375" s="2">
        <v>165.8</v>
      </c>
      <c r="ES375" s="2">
        <v>165.8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161</v>
      </c>
      <c r="FY375" s="2">
        <v>107</v>
      </c>
      <c r="FZ375" s="2"/>
      <c r="GA375" s="2" t="s">
        <v>3</v>
      </c>
      <c r="GB375" s="2"/>
      <c r="GC375" s="2"/>
      <c r="GD375" s="2">
        <v>0</v>
      </c>
      <c r="GE375" s="2"/>
      <c r="GF375" s="2">
        <v>1202100556</v>
      </c>
      <c r="GG375" s="2">
        <v>2</v>
      </c>
      <c r="GH375" s="2">
        <v>1</v>
      </c>
      <c r="GI375" s="2">
        <v>-2</v>
      </c>
      <c r="GJ375" s="2">
        <v>0</v>
      </c>
      <c r="GK375" s="2">
        <f>ROUND(R375*(R12)/100,2)</f>
        <v>0</v>
      </c>
      <c r="GL375" s="2">
        <f t="shared" si="292"/>
        <v>0</v>
      </c>
      <c r="GM375" s="2">
        <f t="shared" si="293"/>
        <v>0</v>
      </c>
      <c r="GN375" s="2">
        <f t="shared" si="294"/>
        <v>0</v>
      </c>
      <c r="GO375" s="2">
        <f t="shared" si="295"/>
        <v>0</v>
      </c>
      <c r="GP375" s="2">
        <f t="shared" si="296"/>
        <v>0</v>
      </c>
      <c r="GQ375" s="2"/>
      <c r="GR375" s="2">
        <v>0</v>
      </c>
      <c r="GS375" s="2">
        <v>0</v>
      </c>
      <c r="GT375" s="2">
        <v>0</v>
      </c>
      <c r="GU375" s="2" t="s">
        <v>3</v>
      </c>
      <c r="GV375" s="2">
        <f t="shared" si="297"/>
        <v>0</v>
      </c>
      <c r="GW375" s="2">
        <v>1</v>
      </c>
      <c r="GX375" s="2">
        <f t="shared" si="298"/>
        <v>0</v>
      </c>
      <c r="GY375" s="2"/>
      <c r="GZ375" s="2"/>
      <c r="HA375" s="2">
        <v>0</v>
      </c>
      <c r="HB375" s="2">
        <v>0</v>
      </c>
      <c r="HC375" s="2">
        <f t="shared" si="299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3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">
      <c r="A376">
        <v>18</v>
      </c>
      <c r="B376">
        <v>1</v>
      </c>
      <c r="C376">
        <v>206</v>
      </c>
      <c r="E376" t="s">
        <v>419</v>
      </c>
      <c r="F376" t="s">
        <v>420</v>
      </c>
      <c r="G376" t="s">
        <v>421</v>
      </c>
      <c r="H376" t="s">
        <v>88</v>
      </c>
      <c r="I376">
        <f>I374*J376</f>
        <v>0</v>
      </c>
      <c r="J376">
        <v>100</v>
      </c>
      <c r="K376">
        <v>100</v>
      </c>
      <c r="O376">
        <f t="shared" si="270"/>
        <v>0</v>
      </c>
      <c r="P376">
        <f t="shared" si="271"/>
        <v>0</v>
      </c>
      <c r="Q376">
        <f>(ROUND((ROUND(((ET376)*AV376*I376),2)*BB376),2)+ROUND((ROUND(((AE376-(EU376))*AV376*I376),2)*BS376),2))</f>
        <v>0</v>
      </c>
      <c r="R376">
        <f t="shared" si="272"/>
        <v>0</v>
      </c>
      <c r="S376">
        <f t="shared" si="273"/>
        <v>0</v>
      </c>
      <c r="T376">
        <f t="shared" si="274"/>
        <v>0</v>
      </c>
      <c r="U376">
        <f t="shared" si="275"/>
        <v>0</v>
      </c>
      <c r="V376">
        <f t="shared" si="276"/>
        <v>0</v>
      </c>
      <c r="W376">
        <f t="shared" si="277"/>
        <v>0</v>
      </c>
      <c r="X376">
        <f t="shared" si="278"/>
        <v>0</v>
      </c>
      <c r="Y376">
        <f t="shared" si="279"/>
        <v>0</v>
      </c>
      <c r="AA376">
        <v>56611490</v>
      </c>
      <c r="AB376">
        <f t="shared" si="280"/>
        <v>165.8</v>
      </c>
      <c r="AC376">
        <f t="shared" si="281"/>
        <v>165.8</v>
      </c>
      <c r="AD376">
        <f>ROUND((((ET376)-(EU376))+AE376),6)</f>
        <v>0</v>
      </c>
      <c r="AE376">
        <f>ROUND((EU376),6)</f>
        <v>0</v>
      </c>
      <c r="AF376">
        <f>ROUND((EV376),6)</f>
        <v>0</v>
      </c>
      <c r="AG376">
        <f t="shared" si="282"/>
        <v>0</v>
      </c>
      <c r="AH376">
        <f>(EW376)</f>
        <v>0</v>
      </c>
      <c r="AI376">
        <f>(EX376)</f>
        <v>0</v>
      </c>
      <c r="AJ376">
        <f t="shared" si="283"/>
        <v>0</v>
      </c>
      <c r="AK376">
        <v>165.8</v>
      </c>
      <c r="AL376">
        <v>165.8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1.002</v>
      </c>
      <c r="AZ376">
        <v>1</v>
      </c>
      <c r="BA376">
        <v>1</v>
      </c>
      <c r="BB376">
        <v>1</v>
      </c>
      <c r="BC376">
        <v>17.93</v>
      </c>
      <c r="BD376" t="s">
        <v>3</v>
      </c>
      <c r="BE376" t="s">
        <v>3</v>
      </c>
      <c r="BF376" t="s">
        <v>3</v>
      </c>
      <c r="BG376" t="s">
        <v>3</v>
      </c>
      <c r="BH376">
        <v>3</v>
      </c>
      <c r="BI376">
        <v>1</v>
      </c>
      <c r="BJ376" t="s">
        <v>422</v>
      </c>
      <c r="BM376">
        <v>146</v>
      </c>
      <c r="BN376">
        <v>0</v>
      </c>
      <c r="BO376" t="s">
        <v>420</v>
      </c>
      <c r="BP376">
        <v>1</v>
      </c>
      <c r="BQ376">
        <v>30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 t="s">
        <v>3</v>
      </c>
      <c r="BZ376">
        <v>0</v>
      </c>
      <c r="CA376">
        <v>0</v>
      </c>
      <c r="CB376" t="s">
        <v>3</v>
      </c>
      <c r="CE376">
        <v>30</v>
      </c>
      <c r="CF376">
        <v>0</v>
      </c>
      <c r="CG376">
        <v>0</v>
      </c>
      <c r="CM376">
        <v>0</v>
      </c>
      <c r="CN376" t="s">
        <v>3</v>
      </c>
      <c r="CO376">
        <v>0</v>
      </c>
      <c r="CP376">
        <f t="shared" si="284"/>
        <v>0</v>
      </c>
      <c r="CQ376">
        <f t="shared" si="285"/>
        <v>2978.71</v>
      </c>
      <c r="CR376">
        <f>(ROUND((ROUND(((ET376)*AV376*1),2)*BB376),2)+ROUND((ROUND(((AE376-(EU376))*AV376*1),2)*BS376),2))</f>
        <v>0</v>
      </c>
      <c r="CS376">
        <f t="shared" si="286"/>
        <v>0</v>
      </c>
      <c r="CT376">
        <f t="shared" si="287"/>
        <v>0</v>
      </c>
      <c r="CU376">
        <f t="shared" si="288"/>
        <v>0</v>
      </c>
      <c r="CV376">
        <f t="shared" si="289"/>
        <v>0</v>
      </c>
      <c r="CW376">
        <f t="shared" si="290"/>
        <v>0</v>
      </c>
      <c r="CX376">
        <f t="shared" si="291"/>
        <v>0</v>
      </c>
      <c r="CY376">
        <f>S376*(BZ376/100)</f>
        <v>0</v>
      </c>
      <c r="CZ376">
        <f>S376*(CA376/100)</f>
        <v>0</v>
      </c>
      <c r="DC376" t="s">
        <v>3</v>
      </c>
      <c r="DD376" t="s">
        <v>3</v>
      </c>
      <c r="DE376" t="s">
        <v>3</v>
      </c>
      <c r="DF376" t="s">
        <v>3</v>
      </c>
      <c r="DG376" t="s">
        <v>3</v>
      </c>
      <c r="DH376" t="s">
        <v>3</v>
      </c>
      <c r="DI376" t="s">
        <v>3</v>
      </c>
      <c r="DJ376" t="s">
        <v>3</v>
      </c>
      <c r="DK376" t="s">
        <v>3</v>
      </c>
      <c r="DL376" t="s">
        <v>3</v>
      </c>
      <c r="DM376" t="s">
        <v>3</v>
      </c>
      <c r="DN376">
        <v>161</v>
      </c>
      <c r="DO376">
        <v>107</v>
      </c>
      <c r="DP376">
        <v>1.0469999999999999</v>
      </c>
      <c r="DQ376">
        <v>1.002</v>
      </c>
      <c r="DU376">
        <v>1007</v>
      </c>
      <c r="DV376" t="s">
        <v>88</v>
      </c>
      <c r="DW376" t="s">
        <v>88</v>
      </c>
      <c r="DX376">
        <v>1</v>
      </c>
      <c r="DZ376" t="s">
        <v>3</v>
      </c>
      <c r="EA376" t="s">
        <v>3</v>
      </c>
      <c r="EB376" t="s">
        <v>3</v>
      </c>
      <c r="EC376" t="s">
        <v>3</v>
      </c>
      <c r="EE376">
        <v>51696185</v>
      </c>
      <c r="EF376">
        <v>30</v>
      </c>
      <c r="EG376" t="s">
        <v>23</v>
      </c>
      <c r="EH376">
        <v>0</v>
      </c>
      <c r="EI376" t="s">
        <v>3</v>
      </c>
      <c r="EJ376">
        <v>1</v>
      </c>
      <c r="EK376">
        <v>146</v>
      </c>
      <c r="EL376" t="s">
        <v>301</v>
      </c>
      <c r="EM376" t="s">
        <v>302</v>
      </c>
      <c r="EO376" t="s">
        <v>3</v>
      </c>
      <c r="EQ376">
        <v>0</v>
      </c>
      <c r="ER376">
        <v>165.8</v>
      </c>
      <c r="ES376">
        <v>165.8</v>
      </c>
      <c r="ET376">
        <v>0</v>
      </c>
      <c r="EU376">
        <v>0</v>
      </c>
      <c r="EV376">
        <v>0</v>
      </c>
      <c r="EW376">
        <v>0</v>
      </c>
      <c r="EX376">
        <v>0</v>
      </c>
      <c r="FQ376">
        <v>0</v>
      </c>
      <c r="FR376">
        <v>0</v>
      </c>
      <c r="FS376">
        <v>0</v>
      </c>
      <c r="FX376">
        <v>161</v>
      </c>
      <c r="FY376">
        <v>107</v>
      </c>
      <c r="GA376" t="s">
        <v>3</v>
      </c>
      <c r="GD376">
        <v>0</v>
      </c>
      <c r="GF376">
        <v>1202100556</v>
      </c>
      <c r="GG376">
        <v>2</v>
      </c>
      <c r="GH376">
        <v>1</v>
      </c>
      <c r="GI376">
        <v>2</v>
      </c>
      <c r="GJ376">
        <v>0</v>
      </c>
      <c r="GK376">
        <f>ROUND(R376*(S12)/100,2)</f>
        <v>0</v>
      </c>
      <c r="GL376">
        <f t="shared" si="292"/>
        <v>0</v>
      </c>
      <c r="GM376">
        <f t="shared" si="293"/>
        <v>0</v>
      </c>
      <c r="GN376">
        <f t="shared" si="294"/>
        <v>0</v>
      </c>
      <c r="GO376">
        <f t="shared" si="295"/>
        <v>0</v>
      </c>
      <c r="GP376">
        <f t="shared" si="296"/>
        <v>0</v>
      </c>
      <c r="GR376">
        <v>0</v>
      </c>
      <c r="GS376">
        <v>3</v>
      </c>
      <c r="GT376">
        <v>0</v>
      </c>
      <c r="GU376" t="s">
        <v>3</v>
      </c>
      <c r="GV376">
        <f t="shared" si="297"/>
        <v>0</v>
      </c>
      <c r="GW376">
        <v>1</v>
      </c>
      <c r="GX376">
        <f t="shared" si="298"/>
        <v>0</v>
      </c>
      <c r="HA376">
        <v>0</v>
      </c>
      <c r="HB376">
        <v>0</v>
      </c>
      <c r="HC376">
        <f t="shared" si="299"/>
        <v>0</v>
      </c>
      <c r="HE376" t="s">
        <v>3</v>
      </c>
      <c r="HF376" t="s">
        <v>3</v>
      </c>
      <c r="HM376" t="s">
        <v>3</v>
      </c>
      <c r="HN376" t="s">
        <v>3</v>
      </c>
      <c r="HO376" t="s">
        <v>3</v>
      </c>
      <c r="HP376" t="s">
        <v>3</v>
      </c>
      <c r="HQ376" t="s">
        <v>3</v>
      </c>
      <c r="HS376">
        <v>0</v>
      </c>
      <c r="IK376">
        <v>0</v>
      </c>
    </row>
    <row r="377" spans="1:255" x14ac:dyDescent="0.2">
      <c r="A377" s="2">
        <v>17</v>
      </c>
      <c r="B377" s="2">
        <v>1</v>
      </c>
      <c r="C377" s="2"/>
      <c r="D377" s="2">
        <f>ROW(EtalonRes!A602)</f>
        <v>602</v>
      </c>
      <c r="E377" s="2" t="s">
        <v>423</v>
      </c>
      <c r="F377" s="2" t="s">
        <v>424</v>
      </c>
      <c r="G377" s="2" t="s">
        <v>425</v>
      </c>
      <c r="H377" s="2" t="s">
        <v>426</v>
      </c>
      <c r="I377" s="2">
        <v>0</v>
      </c>
      <c r="J377" s="2">
        <v>0</v>
      </c>
      <c r="K377" s="2">
        <v>0</v>
      </c>
      <c r="L377" s="2"/>
      <c r="M377" s="2"/>
      <c r="N377" s="2"/>
      <c r="O377" s="2">
        <f t="shared" si="270"/>
        <v>0</v>
      </c>
      <c r="P377" s="2">
        <f t="shared" si="271"/>
        <v>0</v>
      </c>
      <c r="Q377" s="2">
        <f>(ROUND((ROUND((((ET377*1.1))*AV377*I377),2)*BB377),2)+ROUND((ROUND(((AE377-((EU377*1.1)))*AV377*I377),2)*BS377),2))</f>
        <v>0</v>
      </c>
      <c r="R377" s="2">
        <f t="shared" si="272"/>
        <v>0</v>
      </c>
      <c r="S377" s="2">
        <f t="shared" si="273"/>
        <v>0</v>
      </c>
      <c r="T377" s="2">
        <f t="shared" si="274"/>
        <v>0</v>
      </c>
      <c r="U377" s="2">
        <f t="shared" si="275"/>
        <v>0</v>
      </c>
      <c r="V377" s="2">
        <f t="shared" si="276"/>
        <v>0</v>
      </c>
      <c r="W377" s="2">
        <f t="shared" si="277"/>
        <v>0</v>
      </c>
      <c r="X377" s="2">
        <f t="shared" si="278"/>
        <v>0</v>
      </c>
      <c r="Y377" s="2">
        <f t="shared" si="279"/>
        <v>0</v>
      </c>
      <c r="Z377" s="2"/>
      <c r="AA377" s="2">
        <v>56622523</v>
      </c>
      <c r="AB377" s="2">
        <f t="shared" si="280"/>
        <v>745.53499999999997</v>
      </c>
      <c r="AC377" s="2">
        <f t="shared" si="281"/>
        <v>23.88</v>
      </c>
      <c r="AD377" s="2">
        <f>ROUND(((((ET377*1.1))-((EU377*1.1)))+AE377),6)</f>
        <v>182.589</v>
      </c>
      <c r="AE377" s="2">
        <f>ROUND(((EU377*1.1)),6)</f>
        <v>14.157</v>
      </c>
      <c r="AF377" s="2">
        <f>ROUND(((EV377*1.1)),6)</f>
        <v>539.06600000000003</v>
      </c>
      <c r="AG377" s="2">
        <f t="shared" si="282"/>
        <v>0</v>
      </c>
      <c r="AH377" s="2">
        <f>((EW377*1.1))</f>
        <v>50.38</v>
      </c>
      <c r="AI377" s="2">
        <f>((EX377*1.1))</f>
        <v>0</v>
      </c>
      <c r="AJ377" s="2">
        <f t="shared" si="283"/>
        <v>0</v>
      </c>
      <c r="AK377" s="2">
        <v>679.93</v>
      </c>
      <c r="AL377" s="2">
        <v>23.88</v>
      </c>
      <c r="AM377" s="2">
        <v>165.99</v>
      </c>
      <c r="AN377" s="2">
        <v>12.87</v>
      </c>
      <c r="AO377" s="2">
        <v>490.06</v>
      </c>
      <c r="AP377" s="2">
        <v>0</v>
      </c>
      <c r="AQ377" s="2">
        <v>45.8</v>
      </c>
      <c r="AR377" s="2">
        <v>0</v>
      </c>
      <c r="AS377" s="2">
        <v>0</v>
      </c>
      <c r="AT377" s="2">
        <v>134</v>
      </c>
      <c r="AU377" s="2">
        <v>83</v>
      </c>
      <c r="AV377" s="2">
        <v>1.0469999999999999</v>
      </c>
      <c r="AW377" s="2">
        <v>1.006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0</v>
      </c>
      <c r="BI377" s="2">
        <v>1</v>
      </c>
      <c r="BJ377" s="2" t="s">
        <v>427</v>
      </c>
      <c r="BK377" s="2"/>
      <c r="BL377" s="2"/>
      <c r="BM377" s="2">
        <v>161</v>
      </c>
      <c r="BN377" s="2">
        <v>0</v>
      </c>
      <c r="BO377" s="2" t="s">
        <v>3</v>
      </c>
      <c r="BP377" s="2">
        <v>0</v>
      </c>
      <c r="BQ377" s="2">
        <v>30</v>
      </c>
      <c r="BR377" s="2">
        <v>0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134</v>
      </c>
      <c r="CA377" s="2">
        <v>83</v>
      </c>
      <c r="CB377" s="2" t="s">
        <v>3</v>
      </c>
      <c r="CC377" s="2"/>
      <c r="CD377" s="2"/>
      <c r="CE377" s="2">
        <v>30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689</v>
      </c>
      <c r="CO377" s="2">
        <v>0</v>
      </c>
      <c r="CP377" s="2">
        <f t="shared" si="284"/>
        <v>0</v>
      </c>
      <c r="CQ377" s="2">
        <f t="shared" si="285"/>
        <v>24.02</v>
      </c>
      <c r="CR377" s="2">
        <f>(ROUND((ROUND((((ET377*1.1))*AV377*1),2)*BB377),2)+ROUND((ROUND(((AE377-((EU377*1.1)))*AV377*1),2)*BS377),2))</f>
        <v>191.17</v>
      </c>
      <c r="CS377" s="2">
        <f t="shared" si="286"/>
        <v>14.82</v>
      </c>
      <c r="CT377" s="2">
        <f t="shared" si="287"/>
        <v>564.4</v>
      </c>
      <c r="CU377" s="2">
        <f t="shared" si="288"/>
        <v>0</v>
      </c>
      <c r="CV377" s="2">
        <f t="shared" si="289"/>
        <v>52.747859999999996</v>
      </c>
      <c r="CW377" s="2">
        <f t="shared" si="290"/>
        <v>0</v>
      </c>
      <c r="CX377" s="2">
        <f t="shared" si="291"/>
        <v>0</v>
      </c>
      <c r="CY377" s="2">
        <f>((S377*BZ377)/100)</f>
        <v>0</v>
      </c>
      <c r="CZ377" s="2">
        <f>((S377*CA377)/100)</f>
        <v>0</v>
      </c>
      <c r="DA377" s="2"/>
      <c r="DB377" s="2"/>
      <c r="DC377" s="2" t="s">
        <v>3</v>
      </c>
      <c r="DD377" s="2" t="s">
        <v>3</v>
      </c>
      <c r="DE377" s="2" t="s">
        <v>22</v>
      </c>
      <c r="DF377" s="2" t="s">
        <v>22</v>
      </c>
      <c r="DG377" s="2" t="s">
        <v>22</v>
      </c>
      <c r="DH377" s="2" t="s">
        <v>3</v>
      </c>
      <c r="DI377" s="2" t="s">
        <v>22</v>
      </c>
      <c r="DJ377" s="2" t="s">
        <v>22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1013</v>
      </c>
      <c r="DV377" s="2" t="s">
        <v>426</v>
      </c>
      <c r="DW377" s="2" t="s">
        <v>426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51696200</v>
      </c>
      <c r="EF377" s="2">
        <v>30</v>
      </c>
      <c r="EG377" s="2" t="s">
        <v>23</v>
      </c>
      <c r="EH377" s="2">
        <v>0</v>
      </c>
      <c r="EI377" s="2" t="s">
        <v>3</v>
      </c>
      <c r="EJ377" s="2">
        <v>1</v>
      </c>
      <c r="EK377" s="2">
        <v>161</v>
      </c>
      <c r="EL377" s="2" t="s">
        <v>428</v>
      </c>
      <c r="EM377" s="2" t="s">
        <v>429</v>
      </c>
      <c r="EN377" s="2"/>
      <c r="EO377" s="2" t="s">
        <v>26</v>
      </c>
      <c r="EP377" s="2"/>
      <c r="EQ377" s="2">
        <v>131072</v>
      </c>
      <c r="ER377" s="2">
        <v>679.93</v>
      </c>
      <c r="ES377" s="2">
        <v>23.88</v>
      </c>
      <c r="ET377" s="2">
        <v>165.99</v>
      </c>
      <c r="EU377" s="2">
        <v>12.87</v>
      </c>
      <c r="EV377" s="2">
        <v>490.06</v>
      </c>
      <c r="EW377" s="2">
        <v>45.8</v>
      </c>
      <c r="EX377" s="2">
        <v>0</v>
      </c>
      <c r="EY377" s="2">
        <v>0</v>
      </c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134</v>
      </c>
      <c r="FY377" s="2">
        <v>83</v>
      </c>
      <c r="FZ377" s="2"/>
      <c r="GA377" s="2" t="s">
        <v>3</v>
      </c>
      <c r="GB377" s="2"/>
      <c r="GC377" s="2"/>
      <c r="GD377" s="2">
        <v>0</v>
      </c>
      <c r="GE377" s="2"/>
      <c r="GF377" s="2">
        <v>1649813325</v>
      </c>
      <c r="GG377" s="2">
        <v>2</v>
      </c>
      <c r="GH377" s="2">
        <v>1</v>
      </c>
      <c r="GI377" s="2">
        <v>-2</v>
      </c>
      <c r="GJ377" s="2">
        <v>0</v>
      </c>
      <c r="GK377" s="2">
        <f>ROUND(R377*(R12)/100,2)</f>
        <v>0</v>
      </c>
      <c r="GL377" s="2">
        <f t="shared" si="292"/>
        <v>0</v>
      </c>
      <c r="GM377" s="2">
        <f t="shared" si="293"/>
        <v>0</v>
      </c>
      <c r="GN377" s="2">
        <f t="shared" si="294"/>
        <v>0</v>
      </c>
      <c r="GO377" s="2">
        <f t="shared" si="295"/>
        <v>0</v>
      </c>
      <c r="GP377" s="2">
        <f t="shared" si="296"/>
        <v>0</v>
      </c>
      <c r="GQ377" s="2"/>
      <c r="GR377" s="2">
        <v>0</v>
      </c>
      <c r="GS377" s="2">
        <v>0</v>
      </c>
      <c r="GT377" s="2">
        <v>0</v>
      </c>
      <c r="GU377" s="2" t="s">
        <v>3</v>
      </c>
      <c r="GV377" s="2">
        <f t="shared" si="297"/>
        <v>0</v>
      </c>
      <c r="GW377" s="2">
        <v>1</v>
      </c>
      <c r="GX377" s="2">
        <f t="shared" si="298"/>
        <v>0</v>
      </c>
      <c r="GY377" s="2"/>
      <c r="GZ377" s="2"/>
      <c r="HA377" s="2">
        <v>0</v>
      </c>
      <c r="HB377" s="2">
        <v>0</v>
      </c>
      <c r="HC377" s="2">
        <f t="shared" si="299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3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">
      <c r="A378">
        <v>17</v>
      </c>
      <c r="B378">
        <v>1</v>
      </c>
      <c r="D378">
        <f>ROW(EtalonRes!A608)</f>
        <v>608</v>
      </c>
      <c r="E378" t="s">
        <v>423</v>
      </c>
      <c r="F378" t="s">
        <v>424</v>
      </c>
      <c r="G378" t="s">
        <v>425</v>
      </c>
      <c r="H378" t="s">
        <v>426</v>
      </c>
      <c r="I378">
        <v>0</v>
      </c>
      <c r="J378">
        <v>0</v>
      </c>
      <c r="K378">
        <v>0</v>
      </c>
      <c r="O378">
        <f t="shared" si="270"/>
        <v>0</v>
      </c>
      <c r="P378">
        <f t="shared" si="271"/>
        <v>0</v>
      </c>
      <c r="Q378">
        <f>(ROUND((ROUND((((ET378*1.1))*AV378*I378),2)*BB378),2)+ROUND((ROUND(((AE378-((EU378*1.1)))*AV378*I378),2)*BS378),2))</f>
        <v>0</v>
      </c>
      <c r="R378">
        <f t="shared" si="272"/>
        <v>0</v>
      </c>
      <c r="S378">
        <f t="shared" si="273"/>
        <v>0</v>
      </c>
      <c r="T378">
        <f t="shared" si="274"/>
        <v>0</v>
      </c>
      <c r="U378">
        <f t="shared" si="275"/>
        <v>0</v>
      </c>
      <c r="V378">
        <f t="shared" si="276"/>
        <v>0</v>
      </c>
      <c r="W378">
        <f t="shared" si="277"/>
        <v>0</v>
      </c>
      <c r="X378">
        <f t="shared" si="278"/>
        <v>0</v>
      </c>
      <c r="Y378">
        <f t="shared" si="279"/>
        <v>0</v>
      </c>
      <c r="AA378">
        <v>56611490</v>
      </c>
      <c r="AB378">
        <f t="shared" si="280"/>
        <v>745.53499999999997</v>
      </c>
      <c r="AC378">
        <f t="shared" si="281"/>
        <v>23.88</v>
      </c>
      <c r="AD378">
        <f>ROUND(((((ET378*1.1))-((EU378*1.1)))+AE378),6)</f>
        <v>182.589</v>
      </c>
      <c r="AE378">
        <f>ROUND(((EU378*1.1)),6)</f>
        <v>14.157</v>
      </c>
      <c r="AF378">
        <f>ROUND(((EV378*1.1)),6)</f>
        <v>539.06600000000003</v>
      </c>
      <c r="AG378">
        <f t="shared" si="282"/>
        <v>0</v>
      </c>
      <c r="AH378">
        <f>((EW378*1.1))</f>
        <v>50.38</v>
      </c>
      <c r="AI378">
        <f>((EX378*1.1))</f>
        <v>0</v>
      </c>
      <c r="AJ378">
        <f t="shared" si="283"/>
        <v>0</v>
      </c>
      <c r="AK378">
        <v>679.93</v>
      </c>
      <c r="AL378">
        <v>23.88</v>
      </c>
      <c r="AM378">
        <v>165.99</v>
      </c>
      <c r="AN378">
        <v>12.87</v>
      </c>
      <c r="AO378">
        <v>490.06</v>
      </c>
      <c r="AP378">
        <v>0</v>
      </c>
      <c r="AQ378">
        <v>45.8</v>
      </c>
      <c r="AR378">
        <v>0</v>
      </c>
      <c r="AS378">
        <v>0</v>
      </c>
      <c r="AT378">
        <v>109</v>
      </c>
      <c r="AU378">
        <v>41</v>
      </c>
      <c r="AV378">
        <v>1.0469999999999999</v>
      </c>
      <c r="AW378">
        <v>1.006</v>
      </c>
      <c r="AZ378">
        <v>1</v>
      </c>
      <c r="BA378">
        <v>34.51</v>
      </c>
      <c r="BB378">
        <v>10.83</v>
      </c>
      <c r="BC378">
        <v>9.42</v>
      </c>
      <c r="BD378" t="s">
        <v>3</v>
      </c>
      <c r="BE378" t="s">
        <v>3</v>
      </c>
      <c r="BF378" t="s">
        <v>3</v>
      </c>
      <c r="BG378" t="s">
        <v>3</v>
      </c>
      <c r="BH378">
        <v>0</v>
      </c>
      <c r="BI378">
        <v>1</v>
      </c>
      <c r="BJ378" t="s">
        <v>427</v>
      </c>
      <c r="BM378">
        <v>161</v>
      </c>
      <c r="BN378">
        <v>0</v>
      </c>
      <c r="BO378" t="s">
        <v>424</v>
      </c>
      <c r="BP378">
        <v>1</v>
      </c>
      <c r="BQ378">
        <v>30</v>
      </c>
      <c r="BR378">
        <v>0</v>
      </c>
      <c r="BS378">
        <v>34.51</v>
      </c>
      <c r="BT378">
        <v>1</v>
      </c>
      <c r="BU378">
        <v>1</v>
      </c>
      <c r="BV378">
        <v>1</v>
      </c>
      <c r="BW378">
        <v>1</v>
      </c>
      <c r="BX378">
        <v>1</v>
      </c>
      <c r="BY378" t="s">
        <v>3</v>
      </c>
      <c r="BZ378">
        <v>109</v>
      </c>
      <c r="CA378">
        <v>41</v>
      </c>
      <c r="CB378" t="s">
        <v>3</v>
      </c>
      <c r="CE378">
        <v>30</v>
      </c>
      <c r="CF378">
        <v>0</v>
      </c>
      <c r="CG378">
        <v>0</v>
      </c>
      <c r="CM378">
        <v>0</v>
      </c>
      <c r="CN378" t="s">
        <v>689</v>
      </c>
      <c r="CO378">
        <v>0</v>
      </c>
      <c r="CP378">
        <f t="shared" si="284"/>
        <v>0</v>
      </c>
      <c r="CQ378">
        <f t="shared" si="285"/>
        <v>226.27</v>
      </c>
      <c r="CR378">
        <f>(ROUND((ROUND((((ET378*1.1))*AV378*1),2)*BB378),2)+ROUND((ROUND(((AE378-((EU378*1.1)))*AV378*1),2)*BS378),2))</f>
        <v>2070.37</v>
      </c>
      <c r="CS378">
        <f t="shared" si="286"/>
        <v>511.44</v>
      </c>
      <c r="CT378">
        <f t="shared" si="287"/>
        <v>19477.439999999999</v>
      </c>
      <c r="CU378">
        <f t="shared" si="288"/>
        <v>0</v>
      </c>
      <c r="CV378">
        <f t="shared" si="289"/>
        <v>52.747859999999996</v>
      </c>
      <c r="CW378">
        <f t="shared" si="290"/>
        <v>0</v>
      </c>
      <c r="CX378">
        <f t="shared" si="291"/>
        <v>0</v>
      </c>
      <c r="CY378">
        <f>S378*(BZ378/100)</f>
        <v>0</v>
      </c>
      <c r="CZ378">
        <f>S378*(CA378/100)</f>
        <v>0</v>
      </c>
      <c r="DC378" t="s">
        <v>3</v>
      </c>
      <c r="DD378" t="s">
        <v>3</v>
      </c>
      <c r="DE378" t="s">
        <v>22</v>
      </c>
      <c r="DF378" t="s">
        <v>22</v>
      </c>
      <c r="DG378" t="s">
        <v>22</v>
      </c>
      <c r="DH378" t="s">
        <v>3</v>
      </c>
      <c r="DI378" t="s">
        <v>22</v>
      </c>
      <c r="DJ378" t="s">
        <v>22</v>
      </c>
      <c r="DK378" t="s">
        <v>3</v>
      </c>
      <c r="DL378" t="s">
        <v>3</v>
      </c>
      <c r="DM378" t="s">
        <v>3</v>
      </c>
      <c r="DN378">
        <v>134</v>
      </c>
      <c r="DO378">
        <v>83</v>
      </c>
      <c r="DP378">
        <v>1.0469999999999999</v>
      </c>
      <c r="DQ378">
        <v>1.006</v>
      </c>
      <c r="DU378">
        <v>1013</v>
      </c>
      <c r="DV378" t="s">
        <v>426</v>
      </c>
      <c r="DW378" t="s">
        <v>426</v>
      </c>
      <c r="DX378">
        <v>1</v>
      </c>
      <c r="DZ378" t="s">
        <v>3</v>
      </c>
      <c r="EA378" t="s">
        <v>3</v>
      </c>
      <c r="EB378" t="s">
        <v>3</v>
      </c>
      <c r="EC378" t="s">
        <v>3</v>
      </c>
      <c r="EE378">
        <v>51696200</v>
      </c>
      <c r="EF378">
        <v>30</v>
      </c>
      <c r="EG378" t="s">
        <v>23</v>
      </c>
      <c r="EH378">
        <v>0</v>
      </c>
      <c r="EI378" t="s">
        <v>3</v>
      </c>
      <c r="EJ378">
        <v>1</v>
      </c>
      <c r="EK378">
        <v>161</v>
      </c>
      <c r="EL378" t="s">
        <v>428</v>
      </c>
      <c r="EM378" t="s">
        <v>429</v>
      </c>
      <c r="EO378" t="s">
        <v>26</v>
      </c>
      <c r="EQ378">
        <v>131072</v>
      </c>
      <c r="ER378">
        <v>679.93</v>
      </c>
      <c r="ES378">
        <v>23.88</v>
      </c>
      <c r="ET378">
        <v>165.99</v>
      </c>
      <c r="EU378">
        <v>12.87</v>
      </c>
      <c r="EV378">
        <v>490.06</v>
      </c>
      <c r="EW378">
        <v>45.8</v>
      </c>
      <c r="EX378">
        <v>0</v>
      </c>
      <c r="EY378">
        <v>0</v>
      </c>
      <c r="FQ378">
        <v>0</v>
      </c>
      <c r="FR378">
        <v>0</v>
      </c>
      <c r="FS378">
        <v>0</v>
      </c>
      <c r="FX378">
        <v>134</v>
      </c>
      <c r="FY378">
        <v>83</v>
      </c>
      <c r="GA378" t="s">
        <v>3</v>
      </c>
      <c r="GD378">
        <v>0</v>
      </c>
      <c r="GF378">
        <v>1649813325</v>
      </c>
      <c r="GG378">
        <v>2</v>
      </c>
      <c r="GH378">
        <v>1</v>
      </c>
      <c r="GI378">
        <v>2</v>
      </c>
      <c r="GJ378">
        <v>0</v>
      </c>
      <c r="GK378">
        <f>ROUND(R378*(S12)/100,2)</f>
        <v>0</v>
      </c>
      <c r="GL378">
        <f t="shared" si="292"/>
        <v>0</v>
      </c>
      <c r="GM378">
        <f t="shared" si="293"/>
        <v>0</v>
      </c>
      <c r="GN378">
        <f t="shared" si="294"/>
        <v>0</v>
      </c>
      <c r="GO378">
        <f t="shared" si="295"/>
        <v>0</v>
      </c>
      <c r="GP378">
        <f t="shared" si="296"/>
        <v>0</v>
      </c>
      <c r="GR378">
        <v>0</v>
      </c>
      <c r="GS378">
        <v>3</v>
      </c>
      <c r="GT378">
        <v>0</v>
      </c>
      <c r="GU378" t="s">
        <v>3</v>
      </c>
      <c r="GV378">
        <f t="shared" si="297"/>
        <v>0</v>
      </c>
      <c r="GW378">
        <v>1</v>
      </c>
      <c r="GX378">
        <f t="shared" si="298"/>
        <v>0</v>
      </c>
      <c r="HA378">
        <v>0</v>
      </c>
      <c r="HB378">
        <v>0</v>
      </c>
      <c r="HC378">
        <f t="shared" si="299"/>
        <v>0</v>
      </c>
      <c r="HE378" t="s">
        <v>3</v>
      </c>
      <c r="HF378" t="s">
        <v>3</v>
      </c>
      <c r="HM378" t="s">
        <v>3</v>
      </c>
      <c r="HN378" t="s">
        <v>3</v>
      </c>
      <c r="HO378" t="s">
        <v>3</v>
      </c>
      <c r="HP378" t="s">
        <v>3</v>
      </c>
      <c r="HQ378" t="s">
        <v>3</v>
      </c>
      <c r="HS378">
        <v>0</v>
      </c>
      <c r="IK378">
        <v>0</v>
      </c>
    </row>
    <row r="380" spans="1:255" x14ac:dyDescent="0.2">
      <c r="A380" s="3">
        <v>51</v>
      </c>
      <c r="B380" s="3">
        <f>B349</f>
        <v>1</v>
      </c>
      <c r="C380" s="3">
        <f>A349</f>
        <v>5</v>
      </c>
      <c r="D380" s="3">
        <f>ROW(A349)</f>
        <v>349</v>
      </c>
      <c r="E380" s="3"/>
      <c r="F380" s="3" t="str">
        <f>IF(F349&lt;&gt;"",F349,"")</f>
        <v>Новый подраздел</v>
      </c>
      <c r="G380" s="3" t="str">
        <f>IF(G349&lt;&gt;"",G349,"")</f>
        <v>Тротуарная плитка</v>
      </c>
      <c r="H380" s="3">
        <v>0</v>
      </c>
      <c r="I380" s="3"/>
      <c r="J380" s="3"/>
      <c r="K380" s="3"/>
      <c r="L380" s="3"/>
      <c r="M380" s="3"/>
      <c r="N380" s="3"/>
      <c r="O380" s="3">
        <f t="shared" ref="O380:T380" si="305">ROUND(AB380,2)</f>
        <v>0</v>
      </c>
      <c r="P380" s="3">
        <f t="shared" si="305"/>
        <v>0</v>
      </c>
      <c r="Q380" s="3">
        <f t="shared" si="305"/>
        <v>0</v>
      </c>
      <c r="R380" s="3">
        <f t="shared" si="305"/>
        <v>0</v>
      </c>
      <c r="S380" s="3">
        <f t="shared" si="305"/>
        <v>0</v>
      </c>
      <c r="T380" s="3">
        <f t="shared" si="305"/>
        <v>0</v>
      </c>
      <c r="U380" s="3">
        <f>AH380</f>
        <v>0</v>
      </c>
      <c r="V380" s="3">
        <f>AI380</f>
        <v>0</v>
      </c>
      <c r="W380" s="3">
        <f>ROUND(AJ380,2)</f>
        <v>0</v>
      </c>
      <c r="X380" s="3">
        <f>ROUND(AK380,2)</f>
        <v>0</v>
      </c>
      <c r="Y380" s="3">
        <f>ROUND(AL380,2)</f>
        <v>0</v>
      </c>
      <c r="Z380" s="3"/>
      <c r="AA380" s="3"/>
      <c r="AB380" s="3">
        <f>ROUND(SUMIF(AA353:AA378,"=56622523",O353:O378),2)</f>
        <v>0</v>
      </c>
      <c r="AC380" s="3">
        <f>ROUND(SUMIF(AA353:AA378,"=56622523",P353:P378),2)</f>
        <v>0</v>
      </c>
      <c r="AD380" s="3">
        <f>ROUND(SUMIF(AA353:AA378,"=56622523",Q353:Q378),2)</f>
        <v>0</v>
      </c>
      <c r="AE380" s="3">
        <f>ROUND(SUMIF(AA353:AA378,"=56622523",R353:R378),2)</f>
        <v>0</v>
      </c>
      <c r="AF380" s="3">
        <f>ROUND(SUMIF(AA353:AA378,"=56622523",S353:S378),2)</f>
        <v>0</v>
      </c>
      <c r="AG380" s="3">
        <f>ROUND(SUMIF(AA353:AA378,"=56622523",T353:T378),2)</f>
        <v>0</v>
      </c>
      <c r="AH380" s="3">
        <f>SUMIF(AA353:AA378,"=56622523",U353:U378)</f>
        <v>0</v>
      </c>
      <c r="AI380" s="3">
        <f>SUMIF(AA353:AA378,"=56622523",V353:V378)</f>
        <v>0</v>
      </c>
      <c r="AJ380" s="3">
        <f>ROUND(SUMIF(AA353:AA378,"=56622523",W353:W378),2)</f>
        <v>0</v>
      </c>
      <c r="AK380" s="3">
        <f>ROUND(SUMIF(AA353:AA378,"=56622523",X353:X378),2)</f>
        <v>0</v>
      </c>
      <c r="AL380" s="3">
        <f>ROUND(SUMIF(AA353:AA378,"=56622523",Y353:Y378),2)</f>
        <v>0</v>
      </c>
      <c r="AM380" s="3"/>
      <c r="AN380" s="3"/>
      <c r="AO380" s="3">
        <f t="shared" ref="AO380:BD380" si="306">ROUND(BX380,2)</f>
        <v>0</v>
      </c>
      <c r="AP380" s="3">
        <f t="shared" si="306"/>
        <v>0</v>
      </c>
      <c r="AQ380" s="3">
        <f t="shared" si="306"/>
        <v>0</v>
      </c>
      <c r="AR380" s="3">
        <f t="shared" si="306"/>
        <v>0</v>
      </c>
      <c r="AS380" s="3">
        <f t="shared" si="306"/>
        <v>0</v>
      </c>
      <c r="AT380" s="3">
        <f t="shared" si="306"/>
        <v>0</v>
      </c>
      <c r="AU380" s="3">
        <f t="shared" si="306"/>
        <v>0</v>
      </c>
      <c r="AV380" s="3">
        <f t="shared" si="306"/>
        <v>0</v>
      </c>
      <c r="AW380" s="3">
        <f t="shared" si="306"/>
        <v>0</v>
      </c>
      <c r="AX380" s="3">
        <f t="shared" si="306"/>
        <v>0</v>
      </c>
      <c r="AY380" s="3">
        <f t="shared" si="306"/>
        <v>0</v>
      </c>
      <c r="AZ380" s="3">
        <f t="shared" si="306"/>
        <v>0</v>
      </c>
      <c r="BA380" s="3">
        <f t="shared" si="306"/>
        <v>0</v>
      </c>
      <c r="BB380" s="3">
        <f t="shared" si="306"/>
        <v>0</v>
      </c>
      <c r="BC380" s="3">
        <f t="shared" si="306"/>
        <v>0</v>
      </c>
      <c r="BD380" s="3">
        <f t="shared" si="306"/>
        <v>0</v>
      </c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>
        <f>ROUND(SUMIF(AA353:AA378,"=56622523",FQ353:FQ378),2)</f>
        <v>0</v>
      </c>
      <c r="BY380" s="3">
        <f>ROUND(SUMIF(AA353:AA378,"=56622523",FR353:FR378),2)</f>
        <v>0</v>
      </c>
      <c r="BZ380" s="3">
        <f>ROUND(SUMIF(AA353:AA378,"=56622523",GL353:GL378),2)</f>
        <v>0</v>
      </c>
      <c r="CA380" s="3">
        <f>ROUND(SUMIF(AA353:AA378,"=56622523",GM353:GM378),2)</f>
        <v>0</v>
      </c>
      <c r="CB380" s="3">
        <f>ROUND(SUMIF(AA353:AA378,"=56622523",GN353:GN378),2)</f>
        <v>0</v>
      </c>
      <c r="CC380" s="3">
        <f>ROUND(SUMIF(AA353:AA378,"=56622523",GO353:GO378),2)</f>
        <v>0</v>
      </c>
      <c r="CD380" s="3">
        <f>ROUND(SUMIF(AA353:AA378,"=56622523",GP353:GP378),2)</f>
        <v>0</v>
      </c>
      <c r="CE380" s="3">
        <f>AC380-BX380</f>
        <v>0</v>
      </c>
      <c r="CF380" s="3">
        <f>AC380-BY380</f>
        <v>0</v>
      </c>
      <c r="CG380" s="3">
        <f>BX380-BZ380</f>
        <v>0</v>
      </c>
      <c r="CH380" s="3">
        <f>AC380-BX380-BY380+BZ380</f>
        <v>0</v>
      </c>
      <c r="CI380" s="3">
        <f>BY380-BZ380</f>
        <v>0</v>
      </c>
      <c r="CJ380" s="3">
        <f>ROUND(SUMIF(AA353:AA378,"=56622523",GX353:GX378),2)</f>
        <v>0</v>
      </c>
      <c r="CK380" s="3">
        <f>ROUND(SUMIF(AA353:AA378,"=56622523",GY353:GY378),2)</f>
        <v>0</v>
      </c>
      <c r="CL380" s="3">
        <f>ROUND(SUMIF(AA353:AA378,"=56622523",GZ353:GZ378),2)</f>
        <v>0</v>
      </c>
      <c r="CM380" s="3">
        <f>ROUND(SUMIF(AA353:AA378,"=56622523",HD353:HD378),2)</f>
        <v>0</v>
      </c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4">
        <f t="shared" ref="DG380:DL380" si="307">ROUND(DT380,2)</f>
        <v>0</v>
      </c>
      <c r="DH380" s="4">
        <f t="shared" si="307"/>
        <v>0</v>
      </c>
      <c r="DI380" s="4">
        <f t="shared" si="307"/>
        <v>0</v>
      </c>
      <c r="DJ380" s="4">
        <f t="shared" si="307"/>
        <v>0</v>
      </c>
      <c r="DK380" s="4">
        <f t="shared" si="307"/>
        <v>0</v>
      </c>
      <c r="DL380" s="4">
        <f t="shared" si="307"/>
        <v>0</v>
      </c>
      <c r="DM380" s="4">
        <f>DZ380</f>
        <v>0</v>
      </c>
      <c r="DN380" s="4">
        <f>EA380</f>
        <v>0</v>
      </c>
      <c r="DO380" s="4">
        <f>ROUND(EB380,2)</f>
        <v>0</v>
      </c>
      <c r="DP380" s="4">
        <f>ROUND(EC380,2)</f>
        <v>0</v>
      </c>
      <c r="DQ380" s="4">
        <f>ROUND(ED380,2)</f>
        <v>0</v>
      </c>
      <c r="DR380" s="4"/>
      <c r="DS380" s="4"/>
      <c r="DT380" s="4">
        <f>ROUND(SUMIF(AA353:AA378,"=56611490",O353:O378),2)</f>
        <v>0</v>
      </c>
      <c r="DU380" s="4">
        <f>ROUND(SUMIF(AA353:AA378,"=56611490",P353:P378),2)</f>
        <v>0</v>
      </c>
      <c r="DV380" s="4">
        <f>ROUND(SUMIF(AA353:AA378,"=56611490",Q353:Q378),2)</f>
        <v>0</v>
      </c>
      <c r="DW380" s="4">
        <f>ROUND(SUMIF(AA353:AA378,"=56611490",R353:R378),2)</f>
        <v>0</v>
      </c>
      <c r="DX380" s="4">
        <f>ROUND(SUMIF(AA353:AA378,"=56611490",S353:S378),2)</f>
        <v>0</v>
      </c>
      <c r="DY380" s="4">
        <f>ROUND(SUMIF(AA353:AA378,"=56611490",T353:T378),2)</f>
        <v>0</v>
      </c>
      <c r="DZ380" s="4">
        <f>SUMIF(AA353:AA378,"=56611490",U353:U378)</f>
        <v>0</v>
      </c>
      <c r="EA380" s="4">
        <f>SUMIF(AA353:AA378,"=56611490",V353:V378)</f>
        <v>0</v>
      </c>
      <c r="EB380" s="4">
        <f>ROUND(SUMIF(AA353:AA378,"=56611490",W353:W378),2)</f>
        <v>0</v>
      </c>
      <c r="EC380" s="4">
        <f>ROUND(SUMIF(AA353:AA378,"=56611490",X353:X378),2)</f>
        <v>0</v>
      </c>
      <c r="ED380" s="4">
        <f>ROUND(SUMIF(AA353:AA378,"=56611490",Y353:Y378),2)</f>
        <v>0</v>
      </c>
      <c r="EE380" s="4"/>
      <c r="EF380" s="4"/>
      <c r="EG380" s="4">
        <f t="shared" ref="EG380:EV380" si="308">ROUND(FP380,2)</f>
        <v>0</v>
      </c>
      <c r="EH380" s="4">
        <f t="shared" si="308"/>
        <v>0</v>
      </c>
      <c r="EI380" s="4">
        <f t="shared" si="308"/>
        <v>0</v>
      </c>
      <c r="EJ380" s="4">
        <f t="shared" si="308"/>
        <v>0</v>
      </c>
      <c r="EK380" s="4">
        <f t="shared" si="308"/>
        <v>0</v>
      </c>
      <c r="EL380" s="4">
        <f t="shared" si="308"/>
        <v>0</v>
      </c>
      <c r="EM380" s="4">
        <f t="shared" si="308"/>
        <v>0</v>
      </c>
      <c r="EN380" s="4">
        <f t="shared" si="308"/>
        <v>0</v>
      </c>
      <c r="EO380" s="4">
        <f t="shared" si="308"/>
        <v>0</v>
      </c>
      <c r="EP380" s="4">
        <f t="shared" si="308"/>
        <v>0</v>
      </c>
      <c r="EQ380" s="4">
        <f t="shared" si="308"/>
        <v>0</v>
      </c>
      <c r="ER380" s="4">
        <f t="shared" si="308"/>
        <v>0</v>
      </c>
      <c r="ES380" s="4">
        <f t="shared" si="308"/>
        <v>0</v>
      </c>
      <c r="ET380" s="4">
        <f t="shared" si="308"/>
        <v>0</v>
      </c>
      <c r="EU380" s="4">
        <f t="shared" si="308"/>
        <v>0</v>
      </c>
      <c r="EV380" s="4">
        <f t="shared" si="308"/>
        <v>0</v>
      </c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>
        <f>ROUND(SUMIF(AA353:AA378,"=56611490",FQ353:FQ378),2)</f>
        <v>0</v>
      </c>
      <c r="FQ380" s="4">
        <f>ROUND(SUMIF(AA353:AA378,"=56611490",FR353:FR378),2)</f>
        <v>0</v>
      </c>
      <c r="FR380" s="4">
        <f>ROUND(SUMIF(AA353:AA378,"=56611490",GL353:GL378),2)</f>
        <v>0</v>
      </c>
      <c r="FS380" s="4">
        <f>ROUND(SUMIF(AA353:AA378,"=56611490",GM353:GM378),2)</f>
        <v>0</v>
      </c>
      <c r="FT380" s="4">
        <f>ROUND(SUMIF(AA353:AA378,"=56611490",GN353:GN378),2)</f>
        <v>0</v>
      </c>
      <c r="FU380" s="4">
        <f>ROUND(SUMIF(AA353:AA378,"=56611490",GO353:GO378),2)</f>
        <v>0</v>
      </c>
      <c r="FV380" s="4">
        <f>ROUND(SUMIF(AA353:AA378,"=56611490",GP353:GP378),2)</f>
        <v>0</v>
      </c>
      <c r="FW380" s="4">
        <f>DU380-FP380</f>
        <v>0</v>
      </c>
      <c r="FX380" s="4">
        <f>DU380-FQ380</f>
        <v>0</v>
      </c>
      <c r="FY380" s="4">
        <f>FP380-FR380</f>
        <v>0</v>
      </c>
      <c r="FZ380" s="4">
        <f>DU380-FP380-FQ380+FR380</f>
        <v>0</v>
      </c>
      <c r="GA380" s="4">
        <f>FQ380-FR380</f>
        <v>0</v>
      </c>
      <c r="GB380" s="4">
        <f>ROUND(SUMIF(AA353:AA378,"=56611490",GX353:GX378),2)</f>
        <v>0</v>
      </c>
      <c r="GC380" s="4">
        <f>ROUND(SUMIF(AA353:AA378,"=56611490",GY353:GY378),2)</f>
        <v>0</v>
      </c>
      <c r="GD380" s="4">
        <f>ROUND(SUMIF(AA353:AA378,"=56611490",GZ353:GZ378),2)</f>
        <v>0</v>
      </c>
      <c r="GE380" s="4">
        <f>ROUND(SUMIF(AA353:AA378,"=56611490",HD353:HD378),2)</f>
        <v>0</v>
      </c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>
        <v>0</v>
      </c>
    </row>
    <row r="382" spans="1:255" x14ac:dyDescent="0.2">
      <c r="A382" s="5">
        <v>50</v>
      </c>
      <c r="B382" s="5">
        <v>0</v>
      </c>
      <c r="C382" s="5">
        <v>0</v>
      </c>
      <c r="D382" s="5">
        <v>1</v>
      </c>
      <c r="E382" s="5">
        <v>201</v>
      </c>
      <c r="F382" s="5">
        <f>ROUND(Source!O380,O382)</f>
        <v>0</v>
      </c>
      <c r="G382" s="5" t="s">
        <v>106</v>
      </c>
      <c r="H382" s="5" t="s">
        <v>107</v>
      </c>
      <c r="I382" s="5"/>
      <c r="J382" s="5"/>
      <c r="K382" s="5">
        <v>201</v>
      </c>
      <c r="L382" s="5">
        <v>1</v>
      </c>
      <c r="M382" s="5">
        <v>3</v>
      </c>
      <c r="N382" s="5" t="s">
        <v>3</v>
      </c>
      <c r="O382" s="5">
        <v>2</v>
      </c>
      <c r="P382" s="5">
        <f>ROUND(Source!DG380,O382)</f>
        <v>0</v>
      </c>
      <c r="Q382" s="5"/>
      <c r="R382" s="5"/>
      <c r="S382" s="5"/>
      <c r="T382" s="5"/>
      <c r="U382" s="5"/>
      <c r="V382" s="5"/>
      <c r="W382" s="5">
        <v>0</v>
      </c>
      <c r="X382" s="5">
        <v>1</v>
      </c>
      <c r="Y382" s="5">
        <v>0</v>
      </c>
      <c r="Z382" s="5">
        <v>0</v>
      </c>
      <c r="AA382" s="5">
        <v>1</v>
      </c>
      <c r="AB382" s="5">
        <v>0</v>
      </c>
    </row>
    <row r="383" spans="1:255" x14ac:dyDescent="0.2">
      <c r="A383" s="5">
        <v>50</v>
      </c>
      <c r="B383" s="5">
        <v>0</v>
      </c>
      <c r="C383" s="5">
        <v>0</v>
      </c>
      <c r="D383" s="5">
        <v>1</v>
      </c>
      <c r="E383" s="5">
        <v>202</v>
      </c>
      <c r="F383" s="5">
        <f>ROUND(Source!P380,O383)</f>
        <v>0</v>
      </c>
      <c r="G383" s="5" t="s">
        <v>108</v>
      </c>
      <c r="H383" s="5" t="s">
        <v>109</v>
      </c>
      <c r="I383" s="5"/>
      <c r="J383" s="5"/>
      <c r="K383" s="5">
        <v>202</v>
      </c>
      <c r="L383" s="5">
        <v>2</v>
      </c>
      <c r="M383" s="5">
        <v>3</v>
      </c>
      <c r="N383" s="5" t="s">
        <v>3</v>
      </c>
      <c r="O383" s="5">
        <v>2</v>
      </c>
      <c r="P383" s="5">
        <f>ROUND(Source!DH380,O383)</f>
        <v>0</v>
      </c>
      <c r="Q383" s="5"/>
      <c r="R383" s="5"/>
      <c r="S383" s="5"/>
      <c r="T383" s="5"/>
      <c r="U383" s="5"/>
      <c r="V383" s="5"/>
      <c r="W383" s="5">
        <v>0</v>
      </c>
      <c r="X383" s="5">
        <v>1</v>
      </c>
      <c r="Y383" s="5">
        <v>0</v>
      </c>
      <c r="Z383" s="5">
        <v>0</v>
      </c>
      <c r="AA383" s="5">
        <v>1</v>
      </c>
      <c r="AB383" s="5">
        <v>0</v>
      </c>
    </row>
    <row r="384" spans="1:255" x14ac:dyDescent="0.2">
      <c r="A384" s="5">
        <v>50</v>
      </c>
      <c r="B384" s="5">
        <v>0</v>
      </c>
      <c r="C384" s="5">
        <v>0</v>
      </c>
      <c r="D384" s="5">
        <v>1</v>
      </c>
      <c r="E384" s="5">
        <v>222</v>
      </c>
      <c r="F384" s="5">
        <f>ROUND(Source!AO380,O384)</f>
        <v>0</v>
      </c>
      <c r="G384" s="5" t="s">
        <v>110</v>
      </c>
      <c r="H384" s="5" t="s">
        <v>111</v>
      </c>
      <c r="I384" s="5"/>
      <c r="J384" s="5"/>
      <c r="K384" s="5">
        <v>222</v>
      </c>
      <c r="L384" s="5">
        <v>3</v>
      </c>
      <c r="M384" s="5">
        <v>3</v>
      </c>
      <c r="N384" s="5" t="s">
        <v>3</v>
      </c>
      <c r="O384" s="5">
        <v>2</v>
      </c>
      <c r="P384" s="5">
        <f>ROUND(Source!EG380,O384)</f>
        <v>0</v>
      </c>
      <c r="Q384" s="5"/>
      <c r="R384" s="5"/>
      <c r="S384" s="5"/>
      <c r="T384" s="5"/>
      <c r="U384" s="5"/>
      <c r="V384" s="5"/>
      <c r="W384" s="5">
        <v>0</v>
      </c>
      <c r="X384" s="5">
        <v>1</v>
      </c>
      <c r="Y384" s="5">
        <v>0</v>
      </c>
      <c r="Z384" s="5">
        <v>0</v>
      </c>
      <c r="AA384" s="5">
        <v>1</v>
      </c>
      <c r="AB384" s="5">
        <v>0</v>
      </c>
    </row>
    <row r="385" spans="1:28" x14ac:dyDescent="0.2">
      <c r="A385" s="5">
        <v>50</v>
      </c>
      <c r="B385" s="5">
        <v>0</v>
      </c>
      <c r="C385" s="5">
        <v>0</v>
      </c>
      <c r="D385" s="5">
        <v>1</v>
      </c>
      <c r="E385" s="5">
        <v>225</v>
      </c>
      <c r="F385" s="5">
        <f>ROUND(Source!AV380,O385)</f>
        <v>0</v>
      </c>
      <c r="G385" s="5" t="s">
        <v>112</v>
      </c>
      <c r="H385" s="5" t="s">
        <v>113</v>
      </c>
      <c r="I385" s="5"/>
      <c r="J385" s="5"/>
      <c r="K385" s="5">
        <v>225</v>
      </c>
      <c r="L385" s="5">
        <v>4</v>
      </c>
      <c r="M385" s="5">
        <v>3</v>
      </c>
      <c r="N385" s="5" t="s">
        <v>3</v>
      </c>
      <c r="O385" s="5">
        <v>2</v>
      </c>
      <c r="P385" s="5">
        <f>ROUND(Source!EN380,O385)</f>
        <v>0</v>
      </c>
      <c r="Q385" s="5"/>
      <c r="R385" s="5"/>
      <c r="S385" s="5"/>
      <c r="T385" s="5"/>
      <c r="U385" s="5"/>
      <c r="V385" s="5"/>
      <c r="W385" s="5">
        <v>0</v>
      </c>
      <c r="X385" s="5">
        <v>1</v>
      </c>
      <c r="Y385" s="5">
        <v>0</v>
      </c>
      <c r="Z385" s="5">
        <v>0</v>
      </c>
      <c r="AA385" s="5">
        <v>1</v>
      </c>
      <c r="AB385" s="5">
        <v>0</v>
      </c>
    </row>
    <row r="386" spans="1:28" x14ac:dyDescent="0.2">
      <c r="A386" s="5">
        <v>50</v>
      </c>
      <c r="B386" s="5">
        <v>0</v>
      </c>
      <c r="C386" s="5">
        <v>0</v>
      </c>
      <c r="D386" s="5">
        <v>1</v>
      </c>
      <c r="E386" s="5">
        <v>226</v>
      </c>
      <c r="F386" s="5">
        <f>ROUND(Source!AW380,O386)</f>
        <v>0</v>
      </c>
      <c r="G386" s="5" t="s">
        <v>114</v>
      </c>
      <c r="H386" s="5" t="s">
        <v>115</v>
      </c>
      <c r="I386" s="5"/>
      <c r="J386" s="5"/>
      <c r="K386" s="5">
        <v>226</v>
      </c>
      <c r="L386" s="5">
        <v>5</v>
      </c>
      <c r="M386" s="5">
        <v>3</v>
      </c>
      <c r="N386" s="5" t="s">
        <v>3</v>
      </c>
      <c r="O386" s="5">
        <v>2</v>
      </c>
      <c r="P386" s="5">
        <f>ROUND(Source!EO380,O386)</f>
        <v>0</v>
      </c>
      <c r="Q386" s="5"/>
      <c r="R386" s="5"/>
      <c r="S386" s="5"/>
      <c r="T386" s="5"/>
      <c r="U386" s="5"/>
      <c r="V386" s="5"/>
      <c r="W386" s="5">
        <v>0</v>
      </c>
      <c r="X386" s="5">
        <v>1</v>
      </c>
      <c r="Y386" s="5">
        <v>0</v>
      </c>
      <c r="Z386" s="5">
        <v>0</v>
      </c>
      <c r="AA386" s="5">
        <v>1</v>
      </c>
      <c r="AB386" s="5">
        <v>0</v>
      </c>
    </row>
    <row r="387" spans="1:28" x14ac:dyDescent="0.2">
      <c r="A387" s="5">
        <v>50</v>
      </c>
      <c r="B387" s="5">
        <v>0</v>
      </c>
      <c r="C387" s="5">
        <v>0</v>
      </c>
      <c r="D387" s="5">
        <v>1</v>
      </c>
      <c r="E387" s="5">
        <v>227</v>
      </c>
      <c r="F387" s="5">
        <f>ROUND(Source!AX380,O387)</f>
        <v>0</v>
      </c>
      <c r="G387" s="5" t="s">
        <v>116</v>
      </c>
      <c r="H387" s="5" t="s">
        <v>117</v>
      </c>
      <c r="I387" s="5"/>
      <c r="J387" s="5"/>
      <c r="K387" s="5">
        <v>227</v>
      </c>
      <c r="L387" s="5">
        <v>6</v>
      </c>
      <c r="M387" s="5">
        <v>3</v>
      </c>
      <c r="N387" s="5" t="s">
        <v>3</v>
      </c>
      <c r="O387" s="5">
        <v>2</v>
      </c>
      <c r="P387" s="5">
        <f>ROUND(Source!EP380,O387)</f>
        <v>0</v>
      </c>
      <c r="Q387" s="5"/>
      <c r="R387" s="5"/>
      <c r="S387" s="5"/>
      <c r="T387" s="5"/>
      <c r="U387" s="5"/>
      <c r="V387" s="5"/>
      <c r="W387" s="5">
        <v>0</v>
      </c>
      <c r="X387" s="5">
        <v>1</v>
      </c>
      <c r="Y387" s="5">
        <v>0</v>
      </c>
      <c r="Z387" s="5">
        <v>0</v>
      </c>
      <c r="AA387" s="5">
        <v>1</v>
      </c>
      <c r="AB387" s="5">
        <v>0</v>
      </c>
    </row>
    <row r="388" spans="1:28" x14ac:dyDescent="0.2">
      <c r="A388" s="5">
        <v>50</v>
      </c>
      <c r="B388" s="5">
        <v>0</v>
      </c>
      <c r="C388" s="5">
        <v>0</v>
      </c>
      <c r="D388" s="5">
        <v>1</v>
      </c>
      <c r="E388" s="5">
        <v>228</v>
      </c>
      <c r="F388" s="5">
        <f>ROUND(Source!AY380,O388)</f>
        <v>0</v>
      </c>
      <c r="G388" s="5" t="s">
        <v>118</v>
      </c>
      <c r="H388" s="5" t="s">
        <v>119</v>
      </c>
      <c r="I388" s="5"/>
      <c r="J388" s="5"/>
      <c r="K388" s="5">
        <v>228</v>
      </c>
      <c r="L388" s="5">
        <v>7</v>
      </c>
      <c r="M388" s="5">
        <v>3</v>
      </c>
      <c r="N388" s="5" t="s">
        <v>3</v>
      </c>
      <c r="O388" s="5">
        <v>2</v>
      </c>
      <c r="P388" s="5">
        <f>ROUND(Source!EQ380,O388)</f>
        <v>0</v>
      </c>
      <c r="Q388" s="5"/>
      <c r="R388" s="5"/>
      <c r="S388" s="5"/>
      <c r="T388" s="5"/>
      <c r="U388" s="5"/>
      <c r="V388" s="5"/>
      <c r="W388" s="5">
        <v>0</v>
      </c>
      <c r="X388" s="5">
        <v>1</v>
      </c>
      <c r="Y388" s="5">
        <v>0</v>
      </c>
      <c r="Z388" s="5">
        <v>0</v>
      </c>
      <c r="AA388" s="5">
        <v>1</v>
      </c>
      <c r="AB388" s="5">
        <v>0</v>
      </c>
    </row>
    <row r="389" spans="1:28" x14ac:dyDescent="0.2">
      <c r="A389" s="5">
        <v>50</v>
      </c>
      <c r="B389" s="5">
        <v>0</v>
      </c>
      <c r="C389" s="5">
        <v>0</v>
      </c>
      <c r="D389" s="5">
        <v>1</v>
      </c>
      <c r="E389" s="5">
        <v>216</v>
      </c>
      <c r="F389" s="5">
        <f>ROUND(Source!AP380,O389)</f>
        <v>0</v>
      </c>
      <c r="G389" s="5" t="s">
        <v>120</v>
      </c>
      <c r="H389" s="5" t="s">
        <v>121</v>
      </c>
      <c r="I389" s="5"/>
      <c r="J389" s="5"/>
      <c r="K389" s="5">
        <v>216</v>
      </c>
      <c r="L389" s="5">
        <v>8</v>
      </c>
      <c r="M389" s="5">
        <v>3</v>
      </c>
      <c r="N389" s="5" t="s">
        <v>3</v>
      </c>
      <c r="O389" s="5">
        <v>2</v>
      </c>
      <c r="P389" s="5">
        <f>ROUND(Source!EH380,O389)</f>
        <v>0</v>
      </c>
      <c r="Q389" s="5"/>
      <c r="R389" s="5"/>
      <c r="S389" s="5"/>
      <c r="T389" s="5"/>
      <c r="U389" s="5"/>
      <c r="V389" s="5"/>
      <c r="W389" s="5">
        <v>0</v>
      </c>
      <c r="X389" s="5">
        <v>1</v>
      </c>
      <c r="Y389" s="5">
        <v>0</v>
      </c>
      <c r="Z389" s="5">
        <v>0</v>
      </c>
      <c r="AA389" s="5">
        <v>1</v>
      </c>
      <c r="AB389" s="5">
        <v>0</v>
      </c>
    </row>
    <row r="390" spans="1:28" x14ac:dyDescent="0.2">
      <c r="A390" s="5">
        <v>50</v>
      </c>
      <c r="B390" s="5">
        <v>0</v>
      </c>
      <c r="C390" s="5">
        <v>0</v>
      </c>
      <c r="D390" s="5">
        <v>1</v>
      </c>
      <c r="E390" s="5">
        <v>223</v>
      </c>
      <c r="F390" s="5">
        <f>ROUND(Source!AQ380,O390)</f>
        <v>0</v>
      </c>
      <c r="G390" s="5" t="s">
        <v>122</v>
      </c>
      <c r="H390" s="5" t="s">
        <v>123</v>
      </c>
      <c r="I390" s="5"/>
      <c r="J390" s="5"/>
      <c r="K390" s="5">
        <v>223</v>
      </c>
      <c r="L390" s="5">
        <v>9</v>
      </c>
      <c r="M390" s="5">
        <v>3</v>
      </c>
      <c r="N390" s="5" t="s">
        <v>3</v>
      </c>
      <c r="O390" s="5">
        <v>2</v>
      </c>
      <c r="P390" s="5">
        <f>ROUND(Source!EI380,O390)</f>
        <v>0</v>
      </c>
      <c r="Q390" s="5"/>
      <c r="R390" s="5"/>
      <c r="S390" s="5"/>
      <c r="T390" s="5"/>
      <c r="U390" s="5"/>
      <c r="V390" s="5"/>
      <c r="W390" s="5">
        <v>0</v>
      </c>
      <c r="X390" s="5">
        <v>1</v>
      </c>
      <c r="Y390" s="5">
        <v>0</v>
      </c>
      <c r="Z390" s="5">
        <v>0</v>
      </c>
      <c r="AA390" s="5">
        <v>1</v>
      </c>
      <c r="AB390" s="5">
        <v>0</v>
      </c>
    </row>
    <row r="391" spans="1:28" x14ac:dyDescent="0.2">
      <c r="A391" s="5">
        <v>50</v>
      </c>
      <c r="B391" s="5">
        <v>0</v>
      </c>
      <c r="C391" s="5">
        <v>0</v>
      </c>
      <c r="D391" s="5">
        <v>1</v>
      </c>
      <c r="E391" s="5">
        <v>229</v>
      </c>
      <c r="F391" s="5">
        <f>ROUND(Source!AZ380,O391)</f>
        <v>0</v>
      </c>
      <c r="G391" s="5" t="s">
        <v>124</v>
      </c>
      <c r="H391" s="5" t="s">
        <v>125</v>
      </c>
      <c r="I391" s="5"/>
      <c r="J391" s="5"/>
      <c r="K391" s="5">
        <v>229</v>
      </c>
      <c r="L391" s="5">
        <v>10</v>
      </c>
      <c r="M391" s="5">
        <v>3</v>
      </c>
      <c r="N391" s="5" t="s">
        <v>3</v>
      </c>
      <c r="O391" s="5">
        <v>2</v>
      </c>
      <c r="P391" s="5">
        <f>ROUND(Source!ER380,O391)</f>
        <v>0</v>
      </c>
      <c r="Q391" s="5"/>
      <c r="R391" s="5"/>
      <c r="S391" s="5"/>
      <c r="T391" s="5"/>
      <c r="U391" s="5"/>
      <c r="V391" s="5"/>
      <c r="W391" s="5">
        <v>0</v>
      </c>
      <c r="X391" s="5">
        <v>1</v>
      </c>
      <c r="Y391" s="5">
        <v>0</v>
      </c>
      <c r="Z391" s="5">
        <v>0</v>
      </c>
      <c r="AA391" s="5">
        <v>1</v>
      </c>
      <c r="AB391" s="5">
        <v>0</v>
      </c>
    </row>
    <row r="392" spans="1:28" x14ac:dyDescent="0.2">
      <c r="A392" s="5">
        <v>50</v>
      </c>
      <c r="B392" s="5">
        <v>0</v>
      </c>
      <c r="C392" s="5">
        <v>0</v>
      </c>
      <c r="D392" s="5">
        <v>1</v>
      </c>
      <c r="E392" s="5">
        <v>203</v>
      </c>
      <c r="F392" s="5">
        <f>ROUND(Source!Q380,O392)</f>
        <v>0</v>
      </c>
      <c r="G392" s="5" t="s">
        <v>126</v>
      </c>
      <c r="H392" s="5" t="s">
        <v>127</v>
      </c>
      <c r="I392" s="5"/>
      <c r="J392" s="5"/>
      <c r="K392" s="5">
        <v>203</v>
      </c>
      <c r="L392" s="5">
        <v>11</v>
      </c>
      <c r="M392" s="5">
        <v>3</v>
      </c>
      <c r="N392" s="5" t="s">
        <v>3</v>
      </c>
      <c r="O392" s="5">
        <v>2</v>
      </c>
      <c r="P392" s="5">
        <f>ROUND(Source!DI380,O392)</f>
        <v>0</v>
      </c>
      <c r="Q392" s="5"/>
      <c r="R392" s="5"/>
      <c r="S392" s="5"/>
      <c r="T392" s="5"/>
      <c r="U392" s="5"/>
      <c r="V392" s="5"/>
      <c r="W392" s="5">
        <v>0</v>
      </c>
      <c r="X392" s="5">
        <v>1</v>
      </c>
      <c r="Y392" s="5">
        <v>0</v>
      </c>
      <c r="Z392" s="5">
        <v>0</v>
      </c>
      <c r="AA392" s="5">
        <v>1</v>
      </c>
      <c r="AB392" s="5">
        <v>0</v>
      </c>
    </row>
    <row r="393" spans="1:28" x14ac:dyDescent="0.2">
      <c r="A393" s="5">
        <v>50</v>
      </c>
      <c r="B393" s="5">
        <v>0</v>
      </c>
      <c r="C393" s="5">
        <v>0</v>
      </c>
      <c r="D393" s="5">
        <v>1</v>
      </c>
      <c r="E393" s="5">
        <v>231</v>
      </c>
      <c r="F393" s="5">
        <f>ROUND(Source!BB380,O393)</f>
        <v>0</v>
      </c>
      <c r="G393" s="5" t="s">
        <v>128</v>
      </c>
      <c r="H393" s="5" t="s">
        <v>129</v>
      </c>
      <c r="I393" s="5"/>
      <c r="J393" s="5"/>
      <c r="K393" s="5">
        <v>231</v>
      </c>
      <c r="L393" s="5">
        <v>12</v>
      </c>
      <c r="M393" s="5">
        <v>3</v>
      </c>
      <c r="N393" s="5" t="s">
        <v>3</v>
      </c>
      <c r="O393" s="5">
        <v>2</v>
      </c>
      <c r="P393" s="5">
        <f>ROUND(Source!ET380,O393)</f>
        <v>0</v>
      </c>
      <c r="Q393" s="5"/>
      <c r="R393" s="5"/>
      <c r="S393" s="5"/>
      <c r="T393" s="5"/>
      <c r="U393" s="5"/>
      <c r="V393" s="5"/>
      <c r="W393" s="5">
        <v>0</v>
      </c>
      <c r="X393" s="5">
        <v>1</v>
      </c>
      <c r="Y393" s="5">
        <v>0</v>
      </c>
      <c r="Z393" s="5">
        <v>0</v>
      </c>
      <c r="AA393" s="5">
        <v>1</v>
      </c>
      <c r="AB393" s="5">
        <v>0</v>
      </c>
    </row>
    <row r="394" spans="1:28" x14ac:dyDescent="0.2">
      <c r="A394" s="5">
        <v>50</v>
      </c>
      <c r="B394" s="5">
        <v>0</v>
      </c>
      <c r="C394" s="5">
        <v>0</v>
      </c>
      <c r="D394" s="5">
        <v>1</v>
      </c>
      <c r="E394" s="5">
        <v>204</v>
      </c>
      <c r="F394" s="5">
        <f>ROUND(Source!R380,O394)</f>
        <v>0</v>
      </c>
      <c r="G394" s="5" t="s">
        <v>130</v>
      </c>
      <c r="H394" s="5" t="s">
        <v>131</v>
      </c>
      <c r="I394" s="5"/>
      <c r="J394" s="5"/>
      <c r="K394" s="5">
        <v>204</v>
      </c>
      <c r="L394" s="5">
        <v>13</v>
      </c>
      <c r="M394" s="5">
        <v>3</v>
      </c>
      <c r="N394" s="5" t="s">
        <v>3</v>
      </c>
      <c r="O394" s="5">
        <v>2</v>
      </c>
      <c r="P394" s="5">
        <f>ROUND(Source!DJ380,O394)</f>
        <v>0</v>
      </c>
      <c r="Q394" s="5"/>
      <c r="R394" s="5"/>
      <c r="S394" s="5"/>
      <c r="T394" s="5"/>
      <c r="U394" s="5"/>
      <c r="V394" s="5"/>
      <c r="W394" s="5">
        <v>0</v>
      </c>
      <c r="X394" s="5">
        <v>1</v>
      </c>
      <c r="Y394" s="5">
        <v>0</v>
      </c>
      <c r="Z394" s="5">
        <v>0</v>
      </c>
      <c r="AA394" s="5">
        <v>1</v>
      </c>
      <c r="AB394" s="5">
        <v>0</v>
      </c>
    </row>
    <row r="395" spans="1:28" x14ac:dyDescent="0.2">
      <c r="A395" s="5">
        <v>50</v>
      </c>
      <c r="B395" s="5">
        <v>0</v>
      </c>
      <c r="C395" s="5">
        <v>0</v>
      </c>
      <c r="D395" s="5">
        <v>1</v>
      </c>
      <c r="E395" s="5">
        <v>205</v>
      </c>
      <c r="F395" s="5">
        <f>ROUND(Source!S380,O395)</f>
        <v>0</v>
      </c>
      <c r="G395" s="5" t="s">
        <v>132</v>
      </c>
      <c r="H395" s="5" t="s">
        <v>133</v>
      </c>
      <c r="I395" s="5"/>
      <c r="J395" s="5"/>
      <c r="K395" s="5">
        <v>205</v>
      </c>
      <c r="L395" s="5">
        <v>14</v>
      </c>
      <c r="M395" s="5">
        <v>3</v>
      </c>
      <c r="N395" s="5" t="s">
        <v>3</v>
      </c>
      <c r="O395" s="5">
        <v>2</v>
      </c>
      <c r="P395" s="5">
        <f>ROUND(Source!DK380,O395)</f>
        <v>0</v>
      </c>
      <c r="Q395" s="5"/>
      <c r="R395" s="5"/>
      <c r="S395" s="5"/>
      <c r="T395" s="5"/>
      <c r="U395" s="5"/>
      <c r="V395" s="5"/>
      <c r="W395" s="5">
        <v>0</v>
      </c>
      <c r="X395" s="5">
        <v>1</v>
      </c>
      <c r="Y395" s="5">
        <v>0</v>
      </c>
      <c r="Z395" s="5">
        <v>0</v>
      </c>
      <c r="AA395" s="5">
        <v>1</v>
      </c>
      <c r="AB395" s="5">
        <v>0</v>
      </c>
    </row>
    <row r="396" spans="1:28" x14ac:dyDescent="0.2">
      <c r="A396" s="5">
        <v>50</v>
      </c>
      <c r="B396" s="5">
        <v>0</v>
      </c>
      <c r="C396" s="5">
        <v>0</v>
      </c>
      <c r="D396" s="5">
        <v>1</v>
      </c>
      <c r="E396" s="5">
        <v>232</v>
      </c>
      <c r="F396" s="5">
        <f>ROUND(Source!BC380,O396)</f>
        <v>0</v>
      </c>
      <c r="G396" s="5" t="s">
        <v>134</v>
      </c>
      <c r="H396" s="5" t="s">
        <v>135</v>
      </c>
      <c r="I396" s="5"/>
      <c r="J396" s="5"/>
      <c r="K396" s="5">
        <v>232</v>
      </c>
      <c r="L396" s="5">
        <v>15</v>
      </c>
      <c r="M396" s="5">
        <v>3</v>
      </c>
      <c r="N396" s="5" t="s">
        <v>3</v>
      </c>
      <c r="O396" s="5">
        <v>2</v>
      </c>
      <c r="P396" s="5">
        <f>ROUND(Source!EU380,O396)</f>
        <v>0</v>
      </c>
      <c r="Q396" s="5"/>
      <c r="R396" s="5"/>
      <c r="S396" s="5"/>
      <c r="T396" s="5"/>
      <c r="U396" s="5"/>
      <c r="V396" s="5"/>
      <c r="W396" s="5">
        <v>0</v>
      </c>
      <c r="X396" s="5">
        <v>1</v>
      </c>
      <c r="Y396" s="5">
        <v>0</v>
      </c>
      <c r="Z396" s="5">
        <v>0</v>
      </c>
      <c r="AA396" s="5">
        <v>1</v>
      </c>
      <c r="AB396" s="5">
        <v>0</v>
      </c>
    </row>
    <row r="397" spans="1:28" x14ac:dyDescent="0.2">
      <c r="A397" s="5">
        <v>50</v>
      </c>
      <c r="B397" s="5">
        <v>0</v>
      </c>
      <c r="C397" s="5">
        <v>0</v>
      </c>
      <c r="D397" s="5">
        <v>1</v>
      </c>
      <c r="E397" s="5">
        <v>214</v>
      </c>
      <c r="F397" s="5">
        <f>ROUND(Source!AS380,O397)</f>
        <v>0</v>
      </c>
      <c r="G397" s="5" t="s">
        <v>136</v>
      </c>
      <c r="H397" s="5" t="s">
        <v>137</v>
      </c>
      <c r="I397" s="5"/>
      <c r="J397" s="5"/>
      <c r="K397" s="5">
        <v>214</v>
      </c>
      <c r="L397" s="5">
        <v>16</v>
      </c>
      <c r="M397" s="5">
        <v>3</v>
      </c>
      <c r="N397" s="5" t="s">
        <v>3</v>
      </c>
      <c r="O397" s="5">
        <v>2</v>
      </c>
      <c r="P397" s="5">
        <f>ROUND(Source!EK380,O397)</f>
        <v>0</v>
      </c>
      <c r="Q397" s="5"/>
      <c r="R397" s="5"/>
      <c r="S397" s="5"/>
      <c r="T397" s="5"/>
      <c r="U397" s="5"/>
      <c r="V397" s="5"/>
      <c r="W397" s="5">
        <v>0</v>
      </c>
      <c r="X397" s="5">
        <v>1</v>
      </c>
      <c r="Y397" s="5">
        <v>0</v>
      </c>
      <c r="Z397" s="5">
        <v>0</v>
      </c>
      <c r="AA397" s="5">
        <v>1</v>
      </c>
      <c r="AB397" s="5">
        <v>0</v>
      </c>
    </row>
    <row r="398" spans="1:28" x14ac:dyDescent="0.2">
      <c r="A398" s="5">
        <v>50</v>
      </c>
      <c r="B398" s="5">
        <v>0</v>
      </c>
      <c r="C398" s="5">
        <v>0</v>
      </c>
      <c r="D398" s="5">
        <v>1</v>
      </c>
      <c r="E398" s="5">
        <v>215</v>
      </c>
      <c r="F398" s="5">
        <f>ROUND(Source!AT380,O398)</f>
        <v>0</v>
      </c>
      <c r="G398" s="5" t="s">
        <v>138</v>
      </c>
      <c r="H398" s="5" t="s">
        <v>139</v>
      </c>
      <c r="I398" s="5"/>
      <c r="J398" s="5"/>
      <c r="K398" s="5">
        <v>215</v>
      </c>
      <c r="L398" s="5">
        <v>17</v>
      </c>
      <c r="M398" s="5">
        <v>3</v>
      </c>
      <c r="N398" s="5" t="s">
        <v>3</v>
      </c>
      <c r="O398" s="5">
        <v>2</v>
      </c>
      <c r="P398" s="5">
        <f>ROUND(Source!EL380,O398)</f>
        <v>0</v>
      </c>
      <c r="Q398" s="5"/>
      <c r="R398" s="5"/>
      <c r="S398" s="5"/>
      <c r="T398" s="5"/>
      <c r="U398" s="5"/>
      <c r="V398" s="5"/>
      <c r="W398" s="5">
        <v>0</v>
      </c>
      <c r="X398" s="5">
        <v>1</v>
      </c>
      <c r="Y398" s="5">
        <v>0</v>
      </c>
      <c r="Z398" s="5">
        <v>0</v>
      </c>
      <c r="AA398" s="5">
        <v>1</v>
      </c>
      <c r="AB398" s="5">
        <v>0</v>
      </c>
    </row>
    <row r="399" spans="1:28" x14ac:dyDescent="0.2">
      <c r="A399" s="5">
        <v>50</v>
      </c>
      <c r="B399" s="5">
        <v>0</v>
      </c>
      <c r="C399" s="5">
        <v>0</v>
      </c>
      <c r="D399" s="5">
        <v>1</v>
      </c>
      <c r="E399" s="5">
        <v>217</v>
      </c>
      <c r="F399" s="5">
        <f>ROUND(Source!AU380,O399)</f>
        <v>0</v>
      </c>
      <c r="G399" s="5" t="s">
        <v>140</v>
      </c>
      <c r="H399" s="5" t="s">
        <v>141</v>
      </c>
      <c r="I399" s="5"/>
      <c r="J399" s="5"/>
      <c r="K399" s="5">
        <v>217</v>
      </c>
      <c r="L399" s="5">
        <v>18</v>
      </c>
      <c r="M399" s="5">
        <v>3</v>
      </c>
      <c r="N399" s="5" t="s">
        <v>3</v>
      </c>
      <c r="O399" s="5">
        <v>2</v>
      </c>
      <c r="P399" s="5">
        <f>ROUND(Source!EM380,O399)</f>
        <v>0</v>
      </c>
      <c r="Q399" s="5"/>
      <c r="R399" s="5"/>
      <c r="S399" s="5"/>
      <c r="T399" s="5"/>
      <c r="U399" s="5"/>
      <c r="V399" s="5"/>
      <c r="W399" s="5">
        <v>0</v>
      </c>
      <c r="X399" s="5">
        <v>1</v>
      </c>
      <c r="Y399" s="5">
        <v>0</v>
      </c>
      <c r="Z399" s="5">
        <v>0</v>
      </c>
      <c r="AA399" s="5">
        <v>1</v>
      </c>
      <c r="AB399" s="5">
        <v>0</v>
      </c>
    </row>
    <row r="400" spans="1:28" x14ac:dyDescent="0.2">
      <c r="A400" s="5">
        <v>50</v>
      </c>
      <c r="B400" s="5">
        <v>0</v>
      </c>
      <c r="C400" s="5">
        <v>0</v>
      </c>
      <c r="D400" s="5">
        <v>1</v>
      </c>
      <c r="E400" s="5">
        <v>230</v>
      </c>
      <c r="F400" s="5">
        <f>ROUND(Source!BA380,O400)</f>
        <v>0</v>
      </c>
      <c r="G400" s="5" t="s">
        <v>142</v>
      </c>
      <c r="H400" s="5" t="s">
        <v>143</v>
      </c>
      <c r="I400" s="5"/>
      <c r="J400" s="5"/>
      <c r="K400" s="5">
        <v>230</v>
      </c>
      <c r="L400" s="5">
        <v>19</v>
      </c>
      <c r="M400" s="5">
        <v>3</v>
      </c>
      <c r="N400" s="5" t="s">
        <v>3</v>
      </c>
      <c r="O400" s="5">
        <v>2</v>
      </c>
      <c r="P400" s="5">
        <f>ROUND(Source!ES380,O400)</f>
        <v>0</v>
      </c>
      <c r="Q400" s="5"/>
      <c r="R400" s="5"/>
      <c r="S400" s="5"/>
      <c r="T400" s="5"/>
      <c r="U400" s="5"/>
      <c r="V400" s="5"/>
      <c r="W400" s="5">
        <v>0</v>
      </c>
      <c r="X400" s="5">
        <v>1</v>
      </c>
      <c r="Y400" s="5">
        <v>0</v>
      </c>
      <c r="Z400" s="5">
        <v>0</v>
      </c>
      <c r="AA400" s="5">
        <v>1</v>
      </c>
      <c r="AB400" s="5">
        <v>0</v>
      </c>
    </row>
    <row r="401" spans="1:206" x14ac:dyDescent="0.2">
      <c r="A401" s="5">
        <v>50</v>
      </c>
      <c r="B401" s="5">
        <v>0</v>
      </c>
      <c r="C401" s="5">
        <v>0</v>
      </c>
      <c r="D401" s="5">
        <v>1</v>
      </c>
      <c r="E401" s="5">
        <v>206</v>
      </c>
      <c r="F401" s="5">
        <f>ROUND(Source!T380,O401)</f>
        <v>0</v>
      </c>
      <c r="G401" s="5" t="s">
        <v>144</v>
      </c>
      <c r="H401" s="5" t="s">
        <v>145</v>
      </c>
      <c r="I401" s="5"/>
      <c r="J401" s="5"/>
      <c r="K401" s="5">
        <v>206</v>
      </c>
      <c r="L401" s="5">
        <v>20</v>
      </c>
      <c r="M401" s="5">
        <v>3</v>
      </c>
      <c r="N401" s="5" t="s">
        <v>3</v>
      </c>
      <c r="O401" s="5">
        <v>2</v>
      </c>
      <c r="P401" s="5">
        <f>ROUND(Source!DL380,O401)</f>
        <v>0</v>
      </c>
      <c r="Q401" s="5"/>
      <c r="R401" s="5"/>
      <c r="S401" s="5"/>
      <c r="T401" s="5"/>
      <c r="U401" s="5"/>
      <c r="V401" s="5"/>
      <c r="W401" s="5">
        <v>0</v>
      </c>
      <c r="X401" s="5">
        <v>1</v>
      </c>
      <c r="Y401" s="5">
        <v>0</v>
      </c>
      <c r="Z401" s="5">
        <v>0</v>
      </c>
      <c r="AA401" s="5">
        <v>1</v>
      </c>
      <c r="AB401" s="5">
        <v>0</v>
      </c>
    </row>
    <row r="402" spans="1:206" x14ac:dyDescent="0.2">
      <c r="A402" s="5">
        <v>50</v>
      </c>
      <c r="B402" s="5">
        <v>0</v>
      </c>
      <c r="C402" s="5">
        <v>0</v>
      </c>
      <c r="D402" s="5">
        <v>1</v>
      </c>
      <c r="E402" s="5">
        <v>207</v>
      </c>
      <c r="F402" s="5">
        <f>Source!U380</f>
        <v>0</v>
      </c>
      <c r="G402" s="5" t="s">
        <v>146</v>
      </c>
      <c r="H402" s="5" t="s">
        <v>147</v>
      </c>
      <c r="I402" s="5"/>
      <c r="J402" s="5"/>
      <c r="K402" s="5">
        <v>207</v>
      </c>
      <c r="L402" s="5">
        <v>21</v>
      </c>
      <c r="M402" s="5">
        <v>3</v>
      </c>
      <c r="N402" s="5" t="s">
        <v>3</v>
      </c>
      <c r="O402" s="5">
        <v>-1</v>
      </c>
      <c r="P402" s="5">
        <f>Source!DM380</f>
        <v>0</v>
      </c>
      <c r="Q402" s="5"/>
      <c r="R402" s="5"/>
      <c r="S402" s="5"/>
      <c r="T402" s="5"/>
      <c r="U402" s="5"/>
      <c r="V402" s="5"/>
      <c r="W402" s="5">
        <v>0</v>
      </c>
      <c r="X402" s="5">
        <v>1</v>
      </c>
      <c r="Y402" s="5">
        <v>0</v>
      </c>
      <c r="Z402" s="5">
        <v>0</v>
      </c>
      <c r="AA402" s="5">
        <v>1</v>
      </c>
      <c r="AB402" s="5">
        <v>0</v>
      </c>
    </row>
    <row r="403" spans="1:206" x14ac:dyDescent="0.2">
      <c r="A403" s="5">
        <v>50</v>
      </c>
      <c r="B403" s="5">
        <v>0</v>
      </c>
      <c r="C403" s="5">
        <v>0</v>
      </c>
      <c r="D403" s="5">
        <v>1</v>
      </c>
      <c r="E403" s="5">
        <v>208</v>
      </c>
      <c r="F403" s="5">
        <f>Source!V380</f>
        <v>0</v>
      </c>
      <c r="G403" s="5" t="s">
        <v>148</v>
      </c>
      <c r="H403" s="5" t="s">
        <v>149</v>
      </c>
      <c r="I403" s="5"/>
      <c r="J403" s="5"/>
      <c r="K403" s="5">
        <v>208</v>
      </c>
      <c r="L403" s="5">
        <v>22</v>
      </c>
      <c r="M403" s="5">
        <v>3</v>
      </c>
      <c r="N403" s="5" t="s">
        <v>3</v>
      </c>
      <c r="O403" s="5">
        <v>-1</v>
      </c>
      <c r="P403" s="5">
        <f>Source!DN380</f>
        <v>0</v>
      </c>
      <c r="Q403" s="5"/>
      <c r="R403" s="5"/>
      <c r="S403" s="5"/>
      <c r="T403" s="5"/>
      <c r="U403" s="5"/>
      <c r="V403" s="5"/>
      <c r="W403" s="5">
        <v>0</v>
      </c>
      <c r="X403" s="5">
        <v>1</v>
      </c>
      <c r="Y403" s="5">
        <v>0</v>
      </c>
      <c r="Z403" s="5">
        <v>0</v>
      </c>
      <c r="AA403" s="5">
        <v>1</v>
      </c>
      <c r="AB403" s="5">
        <v>0</v>
      </c>
    </row>
    <row r="404" spans="1:206" x14ac:dyDescent="0.2">
      <c r="A404" s="5">
        <v>50</v>
      </c>
      <c r="B404" s="5">
        <v>0</v>
      </c>
      <c r="C404" s="5">
        <v>0</v>
      </c>
      <c r="D404" s="5">
        <v>1</v>
      </c>
      <c r="E404" s="5">
        <v>209</v>
      </c>
      <c r="F404" s="5">
        <f>ROUND(Source!W380,O404)</f>
        <v>0</v>
      </c>
      <c r="G404" s="5" t="s">
        <v>150</v>
      </c>
      <c r="H404" s="5" t="s">
        <v>151</v>
      </c>
      <c r="I404" s="5"/>
      <c r="J404" s="5"/>
      <c r="K404" s="5">
        <v>209</v>
      </c>
      <c r="L404" s="5">
        <v>23</v>
      </c>
      <c r="M404" s="5">
        <v>3</v>
      </c>
      <c r="N404" s="5" t="s">
        <v>3</v>
      </c>
      <c r="O404" s="5">
        <v>2</v>
      </c>
      <c r="P404" s="5">
        <f>ROUND(Source!DO380,O404)</f>
        <v>0</v>
      </c>
      <c r="Q404" s="5"/>
      <c r="R404" s="5"/>
      <c r="S404" s="5"/>
      <c r="T404" s="5"/>
      <c r="U404" s="5"/>
      <c r="V404" s="5"/>
      <c r="W404" s="5">
        <v>0</v>
      </c>
      <c r="X404" s="5">
        <v>1</v>
      </c>
      <c r="Y404" s="5">
        <v>0</v>
      </c>
      <c r="Z404" s="5">
        <v>0</v>
      </c>
      <c r="AA404" s="5">
        <v>1</v>
      </c>
      <c r="AB404" s="5">
        <v>0</v>
      </c>
    </row>
    <row r="405" spans="1:206" x14ac:dyDescent="0.2">
      <c r="A405" s="5">
        <v>50</v>
      </c>
      <c r="B405" s="5">
        <v>0</v>
      </c>
      <c r="C405" s="5">
        <v>0</v>
      </c>
      <c r="D405" s="5">
        <v>1</v>
      </c>
      <c r="E405" s="5">
        <v>233</v>
      </c>
      <c r="F405" s="5">
        <f>ROUND(Source!BD380,O405)</f>
        <v>0</v>
      </c>
      <c r="G405" s="5" t="s">
        <v>152</v>
      </c>
      <c r="H405" s="5" t="s">
        <v>153</v>
      </c>
      <c r="I405" s="5"/>
      <c r="J405" s="5"/>
      <c r="K405" s="5">
        <v>233</v>
      </c>
      <c r="L405" s="5">
        <v>24</v>
      </c>
      <c r="M405" s="5">
        <v>3</v>
      </c>
      <c r="N405" s="5" t="s">
        <v>3</v>
      </c>
      <c r="O405" s="5">
        <v>2</v>
      </c>
      <c r="P405" s="5">
        <f>ROUND(Source!EV380,O405)</f>
        <v>0</v>
      </c>
      <c r="Q405" s="5"/>
      <c r="R405" s="5"/>
      <c r="S405" s="5"/>
      <c r="T405" s="5"/>
      <c r="U405" s="5"/>
      <c r="V405" s="5"/>
      <c r="W405" s="5">
        <v>0</v>
      </c>
      <c r="X405" s="5">
        <v>1</v>
      </c>
      <c r="Y405" s="5">
        <v>0</v>
      </c>
      <c r="Z405" s="5">
        <v>0</v>
      </c>
      <c r="AA405" s="5">
        <v>1</v>
      </c>
      <c r="AB405" s="5">
        <v>0</v>
      </c>
    </row>
    <row r="406" spans="1:206" x14ac:dyDescent="0.2">
      <c r="A406" s="5">
        <v>50</v>
      </c>
      <c r="B406" s="5">
        <v>0</v>
      </c>
      <c r="C406" s="5">
        <v>0</v>
      </c>
      <c r="D406" s="5">
        <v>1</v>
      </c>
      <c r="E406" s="5">
        <v>210</v>
      </c>
      <c r="F406" s="5">
        <f>ROUND(Source!X380,O406)</f>
        <v>0</v>
      </c>
      <c r="G406" s="5" t="s">
        <v>154</v>
      </c>
      <c r="H406" s="5" t="s">
        <v>155</v>
      </c>
      <c r="I406" s="5"/>
      <c r="J406" s="5"/>
      <c r="K406" s="5">
        <v>210</v>
      </c>
      <c r="L406" s="5">
        <v>25</v>
      </c>
      <c r="M406" s="5">
        <v>3</v>
      </c>
      <c r="N406" s="5" t="s">
        <v>3</v>
      </c>
      <c r="O406" s="5">
        <v>2</v>
      </c>
      <c r="P406" s="5">
        <f>ROUND(Source!DP380,O406)</f>
        <v>0</v>
      </c>
      <c r="Q406" s="5"/>
      <c r="R406" s="5"/>
      <c r="S406" s="5"/>
      <c r="T406" s="5"/>
      <c r="U406" s="5"/>
      <c r="V406" s="5"/>
      <c r="W406" s="5">
        <v>0</v>
      </c>
      <c r="X406" s="5">
        <v>1</v>
      </c>
      <c r="Y406" s="5">
        <v>0</v>
      </c>
      <c r="Z406" s="5">
        <v>0</v>
      </c>
      <c r="AA406" s="5">
        <v>1</v>
      </c>
      <c r="AB406" s="5">
        <v>0</v>
      </c>
    </row>
    <row r="407" spans="1:206" x14ac:dyDescent="0.2">
      <c r="A407" s="5">
        <v>50</v>
      </c>
      <c r="B407" s="5">
        <v>0</v>
      </c>
      <c r="C407" s="5">
        <v>0</v>
      </c>
      <c r="D407" s="5">
        <v>1</v>
      </c>
      <c r="E407" s="5">
        <v>211</v>
      </c>
      <c r="F407" s="5">
        <f>ROUND(Source!Y380,O407)</f>
        <v>0</v>
      </c>
      <c r="G407" s="5" t="s">
        <v>156</v>
      </c>
      <c r="H407" s="5" t="s">
        <v>157</v>
      </c>
      <c r="I407" s="5"/>
      <c r="J407" s="5"/>
      <c r="K407" s="5">
        <v>211</v>
      </c>
      <c r="L407" s="5">
        <v>26</v>
      </c>
      <c r="M407" s="5">
        <v>3</v>
      </c>
      <c r="N407" s="5" t="s">
        <v>3</v>
      </c>
      <c r="O407" s="5">
        <v>2</v>
      </c>
      <c r="P407" s="5">
        <f>ROUND(Source!DQ380,O407)</f>
        <v>0</v>
      </c>
      <c r="Q407" s="5"/>
      <c r="R407" s="5"/>
      <c r="S407" s="5"/>
      <c r="T407" s="5"/>
      <c r="U407" s="5"/>
      <c r="V407" s="5"/>
      <c r="W407" s="5">
        <v>0</v>
      </c>
      <c r="X407" s="5">
        <v>1</v>
      </c>
      <c r="Y407" s="5">
        <v>0</v>
      </c>
      <c r="Z407" s="5">
        <v>0</v>
      </c>
      <c r="AA407" s="5">
        <v>1</v>
      </c>
      <c r="AB407" s="5">
        <v>0</v>
      </c>
    </row>
    <row r="408" spans="1:206" x14ac:dyDescent="0.2">
      <c r="A408" s="5">
        <v>50</v>
      </c>
      <c r="B408" s="5">
        <v>0</v>
      </c>
      <c r="C408" s="5">
        <v>0</v>
      </c>
      <c r="D408" s="5">
        <v>1</v>
      </c>
      <c r="E408" s="5">
        <v>224</v>
      </c>
      <c r="F408" s="5">
        <f>ROUND(Source!AR380,O408)</f>
        <v>0</v>
      </c>
      <c r="G408" s="5" t="s">
        <v>158</v>
      </c>
      <c r="H408" s="5" t="s">
        <v>159</v>
      </c>
      <c r="I408" s="5"/>
      <c r="J408" s="5"/>
      <c r="K408" s="5">
        <v>224</v>
      </c>
      <c r="L408" s="5">
        <v>27</v>
      </c>
      <c r="M408" s="5">
        <v>3</v>
      </c>
      <c r="N408" s="5" t="s">
        <v>3</v>
      </c>
      <c r="O408" s="5">
        <v>2</v>
      </c>
      <c r="P408" s="5">
        <f>ROUND(Source!EJ380,O408)</f>
        <v>0</v>
      </c>
      <c r="Q408" s="5"/>
      <c r="R408" s="5"/>
      <c r="S408" s="5"/>
      <c r="T408" s="5"/>
      <c r="U408" s="5"/>
      <c r="V408" s="5"/>
      <c r="W408" s="5">
        <v>0</v>
      </c>
      <c r="X408" s="5">
        <v>1</v>
      </c>
      <c r="Y408" s="5">
        <v>0</v>
      </c>
      <c r="Z408" s="5">
        <v>0</v>
      </c>
      <c r="AA408" s="5">
        <v>1</v>
      </c>
      <c r="AB408" s="5">
        <v>0</v>
      </c>
    </row>
    <row r="410" spans="1:206" x14ac:dyDescent="0.2">
      <c r="A410" s="3">
        <v>51</v>
      </c>
      <c r="B410" s="3">
        <f>B164</f>
        <v>1</v>
      </c>
      <c r="C410" s="3">
        <f>A164</f>
        <v>4</v>
      </c>
      <c r="D410" s="3">
        <f>ROW(A164)</f>
        <v>164</v>
      </c>
      <c r="E410" s="3"/>
      <c r="F410" s="3" t="str">
        <f>IF(F164&lt;&gt;"",F164,"")</f>
        <v>Новый раздел</v>
      </c>
      <c r="G410" s="3" t="str">
        <f>IF(G164&lt;&gt;"",G164,"")</f>
        <v>Благоустройство</v>
      </c>
      <c r="H410" s="3">
        <v>0</v>
      </c>
      <c r="I410" s="3"/>
      <c r="J410" s="3"/>
      <c r="K410" s="3"/>
      <c r="L410" s="3"/>
      <c r="M410" s="3"/>
      <c r="N410" s="3"/>
      <c r="O410" s="3">
        <f t="shared" ref="O410:T410" si="309">ROUND(O189+O258+O319+O380+AB410,2)</f>
        <v>656.25</v>
      </c>
      <c r="P410" s="3">
        <f t="shared" si="309"/>
        <v>538.19000000000005</v>
      </c>
      <c r="Q410" s="3">
        <f t="shared" si="309"/>
        <v>74.83</v>
      </c>
      <c r="R410" s="3">
        <f t="shared" si="309"/>
        <v>8.5500000000000007</v>
      </c>
      <c r="S410" s="3">
        <f t="shared" si="309"/>
        <v>43.23</v>
      </c>
      <c r="T410" s="3">
        <f t="shared" si="309"/>
        <v>0</v>
      </c>
      <c r="U410" s="3">
        <f>U189+U258+U319+U380+AH410</f>
        <v>3.9654789042000003</v>
      </c>
      <c r="V410" s="3">
        <f>V189+V258+V319+V380+AI410</f>
        <v>0</v>
      </c>
      <c r="W410" s="3">
        <f>ROUND(W189+W258+W319+W380+AJ410,2)</f>
        <v>0</v>
      </c>
      <c r="X410" s="3">
        <f>ROUND(X189+X258+X319+X380+AK410,2)</f>
        <v>70.2</v>
      </c>
      <c r="Y410" s="3">
        <f>ROUND(Y189+Y258+Y319+Y380+AL410,2)</f>
        <v>40.75</v>
      </c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>
        <f t="shared" ref="AO410:BD410" si="310">ROUND(AO189+AO258+AO319+AO380+BX410,2)</f>
        <v>0</v>
      </c>
      <c r="AP410" s="3">
        <f t="shared" si="310"/>
        <v>0</v>
      </c>
      <c r="AQ410" s="3">
        <f t="shared" si="310"/>
        <v>0</v>
      </c>
      <c r="AR410" s="3">
        <f t="shared" si="310"/>
        <v>782.18</v>
      </c>
      <c r="AS410" s="3">
        <f t="shared" si="310"/>
        <v>782.18</v>
      </c>
      <c r="AT410" s="3">
        <f t="shared" si="310"/>
        <v>0</v>
      </c>
      <c r="AU410" s="3">
        <f t="shared" si="310"/>
        <v>0</v>
      </c>
      <c r="AV410" s="3">
        <f t="shared" si="310"/>
        <v>538.19000000000005</v>
      </c>
      <c r="AW410" s="3">
        <f t="shared" si="310"/>
        <v>538.19000000000005</v>
      </c>
      <c r="AX410" s="3">
        <f t="shared" si="310"/>
        <v>0</v>
      </c>
      <c r="AY410" s="3">
        <f t="shared" si="310"/>
        <v>538.19000000000005</v>
      </c>
      <c r="AZ410" s="3">
        <f t="shared" si="310"/>
        <v>0</v>
      </c>
      <c r="BA410" s="3">
        <f t="shared" si="310"/>
        <v>0</v>
      </c>
      <c r="BB410" s="3">
        <f t="shared" si="310"/>
        <v>0</v>
      </c>
      <c r="BC410" s="3">
        <f t="shared" si="310"/>
        <v>0</v>
      </c>
      <c r="BD410" s="3">
        <f t="shared" si="310"/>
        <v>0</v>
      </c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4">
        <f t="shared" ref="DG410:DL410" si="311">ROUND(DG189+DG258+DG319+DG380+DT410,2)</f>
        <v>8558.9699999999993</v>
      </c>
      <c r="DH410" s="4">
        <f t="shared" si="311"/>
        <v>6128.9</v>
      </c>
      <c r="DI410" s="4">
        <f t="shared" si="311"/>
        <v>938.19</v>
      </c>
      <c r="DJ410" s="4">
        <f t="shared" si="311"/>
        <v>295.07</v>
      </c>
      <c r="DK410" s="4">
        <f t="shared" si="311"/>
        <v>1491.88</v>
      </c>
      <c r="DL410" s="4">
        <f t="shared" si="311"/>
        <v>0</v>
      </c>
      <c r="DM410" s="4">
        <f>DM189+DM258+DM319+DM380+DZ410</f>
        <v>3.9654789042000003</v>
      </c>
      <c r="DN410" s="4">
        <f>DN189+DN258+DN319+DN380+EA410</f>
        <v>0</v>
      </c>
      <c r="DO410" s="4">
        <f>ROUND(DO189+DO258+DO319+DO380+EB410,2)</f>
        <v>0</v>
      </c>
      <c r="DP410" s="4">
        <f>ROUND(DP189+DP258+DP319+DP380+EC410,2)</f>
        <v>1571.26</v>
      </c>
      <c r="DQ410" s="4">
        <f>ROUND(DQ189+DQ258+DQ319+DQ380+ED410,2)</f>
        <v>721.05</v>
      </c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>
        <f t="shared" ref="EG410:EV410" si="312">ROUND(EG189+EG258+EG319+EG380+FP410,2)</f>
        <v>0</v>
      </c>
      <c r="EH410" s="4">
        <f t="shared" si="312"/>
        <v>0</v>
      </c>
      <c r="EI410" s="4">
        <f t="shared" si="312"/>
        <v>0</v>
      </c>
      <c r="EJ410" s="4">
        <f t="shared" si="312"/>
        <v>11323.41</v>
      </c>
      <c r="EK410" s="4">
        <f t="shared" si="312"/>
        <v>11323.41</v>
      </c>
      <c r="EL410" s="4">
        <f t="shared" si="312"/>
        <v>0</v>
      </c>
      <c r="EM410" s="4">
        <f t="shared" si="312"/>
        <v>0</v>
      </c>
      <c r="EN410" s="4">
        <f t="shared" si="312"/>
        <v>6128.9</v>
      </c>
      <c r="EO410" s="4">
        <f t="shared" si="312"/>
        <v>6128.9</v>
      </c>
      <c r="EP410" s="4">
        <f t="shared" si="312"/>
        <v>0</v>
      </c>
      <c r="EQ410" s="4">
        <f t="shared" si="312"/>
        <v>6128.9</v>
      </c>
      <c r="ER410" s="4">
        <f t="shared" si="312"/>
        <v>0</v>
      </c>
      <c r="ES410" s="4">
        <f t="shared" si="312"/>
        <v>0</v>
      </c>
      <c r="ET410" s="4">
        <f t="shared" si="312"/>
        <v>0</v>
      </c>
      <c r="EU410" s="4">
        <f t="shared" si="312"/>
        <v>0</v>
      </c>
      <c r="EV410" s="4">
        <f t="shared" si="312"/>
        <v>0</v>
      </c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>
        <v>0</v>
      </c>
    </row>
    <row r="412" spans="1:206" x14ac:dyDescent="0.2">
      <c r="A412" s="5">
        <v>50</v>
      </c>
      <c r="B412" s="5">
        <v>0</v>
      </c>
      <c r="C412" s="5">
        <v>0</v>
      </c>
      <c r="D412" s="5">
        <v>1</v>
      </c>
      <c r="E412" s="5">
        <v>201</v>
      </c>
      <c r="F412" s="5">
        <f>ROUND(Source!O410,O412)</f>
        <v>656.25</v>
      </c>
      <c r="G412" s="5" t="s">
        <v>106</v>
      </c>
      <c r="H412" s="5" t="s">
        <v>107</v>
      </c>
      <c r="I412" s="5"/>
      <c r="J412" s="5"/>
      <c r="K412" s="5">
        <v>201</v>
      </c>
      <c r="L412" s="5">
        <v>1</v>
      </c>
      <c r="M412" s="5">
        <v>3</v>
      </c>
      <c r="N412" s="5" t="s">
        <v>3</v>
      </c>
      <c r="O412" s="5">
        <v>2</v>
      </c>
      <c r="P412" s="5">
        <f>ROUND(Source!DG410,O412)</f>
        <v>8558.9699999999993</v>
      </c>
      <c r="Q412" s="5"/>
      <c r="R412" s="5"/>
      <c r="S412" s="5"/>
      <c r="T412" s="5"/>
      <c r="U412" s="5"/>
      <c r="V412" s="5"/>
      <c r="W412" s="5">
        <v>656.25</v>
      </c>
      <c r="X412" s="5">
        <v>1</v>
      </c>
      <c r="Y412" s="5">
        <v>656.25</v>
      </c>
      <c r="Z412" s="5">
        <v>8558.9699999999993</v>
      </c>
      <c r="AA412" s="5">
        <v>1</v>
      </c>
      <c r="AB412" s="5">
        <v>8558.9699999999993</v>
      </c>
    </row>
    <row r="413" spans="1:206" x14ac:dyDescent="0.2">
      <c r="A413" s="5">
        <v>50</v>
      </c>
      <c r="B413" s="5">
        <v>0</v>
      </c>
      <c r="C413" s="5">
        <v>0</v>
      </c>
      <c r="D413" s="5">
        <v>1</v>
      </c>
      <c r="E413" s="5">
        <v>202</v>
      </c>
      <c r="F413" s="5">
        <f>ROUND(Source!P410,O413)</f>
        <v>538.19000000000005</v>
      </c>
      <c r="G413" s="5" t="s">
        <v>108</v>
      </c>
      <c r="H413" s="5" t="s">
        <v>109</v>
      </c>
      <c r="I413" s="5"/>
      <c r="J413" s="5"/>
      <c r="K413" s="5">
        <v>202</v>
      </c>
      <c r="L413" s="5">
        <v>2</v>
      </c>
      <c r="M413" s="5">
        <v>3</v>
      </c>
      <c r="N413" s="5" t="s">
        <v>3</v>
      </c>
      <c r="O413" s="5">
        <v>2</v>
      </c>
      <c r="P413" s="5">
        <f>ROUND(Source!DH410,O413)</f>
        <v>6128.9</v>
      </c>
      <c r="Q413" s="5"/>
      <c r="R413" s="5"/>
      <c r="S413" s="5"/>
      <c r="T413" s="5"/>
      <c r="U413" s="5"/>
      <c r="V413" s="5"/>
      <c r="W413" s="5">
        <v>538.19000000000005</v>
      </c>
      <c r="X413" s="5">
        <v>1</v>
      </c>
      <c r="Y413" s="5">
        <v>538.19000000000005</v>
      </c>
      <c r="Z413" s="5">
        <v>6128.9</v>
      </c>
      <c r="AA413" s="5">
        <v>1</v>
      </c>
      <c r="AB413" s="5">
        <v>6128.9</v>
      </c>
    </row>
    <row r="414" spans="1:206" x14ac:dyDescent="0.2">
      <c r="A414" s="5">
        <v>50</v>
      </c>
      <c r="B414" s="5">
        <v>0</v>
      </c>
      <c r="C414" s="5">
        <v>0</v>
      </c>
      <c r="D414" s="5">
        <v>1</v>
      </c>
      <c r="E414" s="5">
        <v>222</v>
      </c>
      <c r="F414" s="5">
        <f>ROUND(Source!AO410,O414)</f>
        <v>0</v>
      </c>
      <c r="G414" s="5" t="s">
        <v>110</v>
      </c>
      <c r="H414" s="5" t="s">
        <v>111</v>
      </c>
      <c r="I414" s="5"/>
      <c r="J414" s="5"/>
      <c r="K414" s="5">
        <v>222</v>
      </c>
      <c r="L414" s="5">
        <v>3</v>
      </c>
      <c r="M414" s="5">
        <v>3</v>
      </c>
      <c r="N414" s="5" t="s">
        <v>3</v>
      </c>
      <c r="O414" s="5">
        <v>2</v>
      </c>
      <c r="P414" s="5">
        <f>ROUND(Source!EG410,O414)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06" x14ac:dyDescent="0.2">
      <c r="A415" s="5">
        <v>50</v>
      </c>
      <c r="B415" s="5">
        <v>0</v>
      </c>
      <c r="C415" s="5">
        <v>0</v>
      </c>
      <c r="D415" s="5">
        <v>1</v>
      </c>
      <c r="E415" s="5">
        <v>225</v>
      </c>
      <c r="F415" s="5">
        <f>ROUND(Source!AV410,O415)</f>
        <v>538.19000000000005</v>
      </c>
      <c r="G415" s="5" t="s">
        <v>112</v>
      </c>
      <c r="H415" s="5" t="s">
        <v>113</v>
      </c>
      <c r="I415" s="5"/>
      <c r="J415" s="5"/>
      <c r="K415" s="5">
        <v>225</v>
      </c>
      <c r="L415" s="5">
        <v>4</v>
      </c>
      <c r="M415" s="5">
        <v>3</v>
      </c>
      <c r="N415" s="5" t="s">
        <v>3</v>
      </c>
      <c r="O415" s="5">
        <v>2</v>
      </c>
      <c r="P415" s="5">
        <f>ROUND(Source!EN410,O415)</f>
        <v>6128.9</v>
      </c>
      <c r="Q415" s="5"/>
      <c r="R415" s="5"/>
      <c r="S415" s="5"/>
      <c r="T415" s="5"/>
      <c r="U415" s="5"/>
      <c r="V415" s="5"/>
      <c r="W415" s="5">
        <v>538.19000000000005</v>
      </c>
      <c r="X415" s="5">
        <v>1</v>
      </c>
      <c r="Y415" s="5">
        <v>538.19000000000005</v>
      </c>
      <c r="Z415" s="5">
        <v>6128.9</v>
      </c>
      <c r="AA415" s="5">
        <v>1</v>
      </c>
      <c r="AB415" s="5">
        <v>6128.9</v>
      </c>
    </row>
    <row r="416" spans="1:206" x14ac:dyDescent="0.2">
      <c r="A416" s="5">
        <v>50</v>
      </c>
      <c r="B416" s="5">
        <v>0</v>
      </c>
      <c r="C416" s="5">
        <v>0</v>
      </c>
      <c r="D416" s="5">
        <v>1</v>
      </c>
      <c r="E416" s="5">
        <v>226</v>
      </c>
      <c r="F416" s="5">
        <f>ROUND(Source!AW410,O416)</f>
        <v>538.19000000000005</v>
      </c>
      <c r="G416" s="5" t="s">
        <v>114</v>
      </c>
      <c r="H416" s="5" t="s">
        <v>115</v>
      </c>
      <c r="I416" s="5"/>
      <c r="J416" s="5"/>
      <c r="K416" s="5">
        <v>226</v>
      </c>
      <c r="L416" s="5">
        <v>5</v>
      </c>
      <c r="M416" s="5">
        <v>3</v>
      </c>
      <c r="N416" s="5" t="s">
        <v>3</v>
      </c>
      <c r="O416" s="5">
        <v>2</v>
      </c>
      <c r="P416" s="5">
        <f>ROUND(Source!EO410,O416)</f>
        <v>6128.9</v>
      </c>
      <c r="Q416" s="5"/>
      <c r="R416" s="5"/>
      <c r="S416" s="5"/>
      <c r="T416" s="5"/>
      <c r="U416" s="5"/>
      <c r="V416" s="5"/>
      <c r="W416" s="5">
        <v>538.19000000000005</v>
      </c>
      <c r="X416" s="5">
        <v>1</v>
      </c>
      <c r="Y416" s="5">
        <v>538.19000000000005</v>
      </c>
      <c r="Z416" s="5">
        <v>6128.9</v>
      </c>
      <c r="AA416" s="5">
        <v>1</v>
      </c>
      <c r="AB416" s="5">
        <v>6128.9</v>
      </c>
    </row>
    <row r="417" spans="1:28" x14ac:dyDescent="0.2">
      <c r="A417" s="5">
        <v>50</v>
      </c>
      <c r="B417" s="5">
        <v>0</v>
      </c>
      <c r="C417" s="5">
        <v>0</v>
      </c>
      <c r="D417" s="5">
        <v>1</v>
      </c>
      <c r="E417" s="5">
        <v>227</v>
      </c>
      <c r="F417" s="5">
        <f>ROUND(Source!AX410,O417)</f>
        <v>0</v>
      </c>
      <c r="G417" s="5" t="s">
        <v>116</v>
      </c>
      <c r="H417" s="5" t="s">
        <v>117</v>
      </c>
      <c r="I417" s="5"/>
      <c r="J417" s="5"/>
      <c r="K417" s="5">
        <v>227</v>
      </c>
      <c r="L417" s="5">
        <v>6</v>
      </c>
      <c r="M417" s="5">
        <v>3</v>
      </c>
      <c r="N417" s="5" t="s">
        <v>3</v>
      </c>
      <c r="O417" s="5">
        <v>2</v>
      </c>
      <c r="P417" s="5">
        <f>ROUND(Source!EP410,O417)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8" spans="1:28" x14ac:dyDescent="0.2">
      <c r="A418" s="5">
        <v>50</v>
      </c>
      <c r="B418" s="5">
        <v>0</v>
      </c>
      <c r="C418" s="5">
        <v>0</v>
      </c>
      <c r="D418" s="5">
        <v>1</v>
      </c>
      <c r="E418" s="5">
        <v>228</v>
      </c>
      <c r="F418" s="5">
        <f>ROUND(Source!AY410,O418)</f>
        <v>538.19000000000005</v>
      </c>
      <c r="G418" s="5" t="s">
        <v>118</v>
      </c>
      <c r="H418" s="5" t="s">
        <v>119</v>
      </c>
      <c r="I418" s="5"/>
      <c r="J418" s="5"/>
      <c r="K418" s="5">
        <v>228</v>
      </c>
      <c r="L418" s="5">
        <v>7</v>
      </c>
      <c r="M418" s="5">
        <v>3</v>
      </c>
      <c r="N418" s="5" t="s">
        <v>3</v>
      </c>
      <c r="O418" s="5">
        <v>2</v>
      </c>
      <c r="P418" s="5">
        <f>ROUND(Source!EQ410,O418)</f>
        <v>6128.9</v>
      </c>
      <c r="Q418" s="5"/>
      <c r="R418" s="5"/>
      <c r="S418" s="5"/>
      <c r="T418" s="5"/>
      <c r="U418" s="5"/>
      <c r="V418" s="5"/>
      <c r="W418" s="5">
        <v>538.19000000000005</v>
      </c>
      <c r="X418" s="5">
        <v>1</v>
      </c>
      <c r="Y418" s="5">
        <v>538.19000000000005</v>
      </c>
      <c r="Z418" s="5">
        <v>6128.9</v>
      </c>
      <c r="AA418" s="5">
        <v>1</v>
      </c>
      <c r="AB418" s="5">
        <v>6128.9</v>
      </c>
    </row>
    <row r="419" spans="1:28" x14ac:dyDescent="0.2">
      <c r="A419" s="5">
        <v>50</v>
      </c>
      <c r="B419" s="5">
        <v>0</v>
      </c>
      <c r="C419" s="5">
        <v>0</v>
      </c>
      <c r="D419" s="5">
        <v>1</v>
      </c>
      <c r="E419" s="5">
        <v>216</v>
      </c>
      <c r="F419" s="5">
        <f>ROUND(Source!AP410,O419)</f>
        <v>0</v>
      </c>
      <c r="G419" s="5" t="s">
        <v>120</v>
      </c>
      <c r="H419" s="5" t="s">
        <v>121</v>
      </c>
      <c r="I419" s="5"/>
      <c r="J419" s="5"/>
      <c r="K419" s="5">
        <v>216</v>
      </c>
      <c r="L419" s="5">
        <v>8</v>
      </c>
      <c r="M419" s="5">
        <v>3</v>
      </c>
      <c r="N419" s="5" t="s">
        <v>3</v>
      </c>
      <c r="O419" s="5">
        <v>2</v>
      </c>
      <c r="P419" s="5">
        <f>ROUND(Source!EH410,O419)</f>
        <v>0</v>
      </c>
      <c r="Q419" s="5"/>
      <c r="R419" s="5"/>
      <c r="S419" s="5"/>
      <c r="T419" s="5"/>
      <c r="U419" s="5"/>
      <c r="V419" s="5"/>
      <c r="W419" s="5">
        <v>0</v>
      </c>
      <c r="X419" s="5">
        <v>1</v>
      </c>
      <c r="Y419" s="5">
        <v>0</v>
      </c>
      <c r="Z419" s="5">
        <v>0</v>
      </c>
      <c r="AA419" s="5">
        <v>1</v>
      </c>
      <c r="AB419" s="5">
        <v>0</v>
      </c>
    </row>
    <row r="420" spans="1:28" x14ac:dyDescent="0.2">
      <c r="A420" s="5">
        <v>50</v>
      </c>
      <c r="B420" s="5">
        <v>0</v>
      </c>
      <c r="C420" s="5">
        <v>0</v>
      </c>
      <c r="D420" s="5">
        <v>1</v>
      </c>
      <c r="E420" s="5">
        <v>223</v>
      </c>
      <c r="F420" s="5">
        <f>ROUND(Source!AQ410,O420)</f>
        <v>0</v>
      </c>
      <c r="G420" s="5" t="s">
        <v>122</v>
      </c>
      <c r="H420" s="5" t="s">
        <v>123</v>
      </c>
      <c r="I420" s="5"/>
      <c r="J420" s="5"/>
      <c r="K420" s="5">
        <v>223</v>
      </c>
      <c r="L420" s="5">
        <v>9</v>
      </c>
      <c r="M420" s="5">
        <v>3</v>
      </c>
      <c r="N420" s="5" t="s">
        <v>3</v>
      </c>
      <c r="O420" s="5">
        <v>2</v>
      </c>
      <c r="P420" s="5">
        <f>ROUND(Source!EI410,O420)</f>
        <v>0</v>
      </c>
      <c r="Q420" s="5"/>
      <c r="R420" s="5"/>
      <c r="S420" s="5"/>
      <c r="T420" s="5"/>
      <c r="U420" s="5"/>
      <c r="V420" s="5"/>
      <c r="W420" s="5">
        <v>0</v>
      </c>
      <c r="X420" s="5">
        <v>1</v>
      </c>
      <c r="Y420" s="5">
        <v>0</v>
      </c>
      <c r="Z420" s="5">
        <v>0</v>
      </c>
      <c r="AA420" s="5">
        <v>1</v>
      </c>
      <c r="AB420" s="5">
        <v>0</v>
      </c>
    </row>
    <row r="421" spans="1:28" x14ac:dyDescent="0.2">
      <c r="A421" s="5">
        <v>50</v>
      </c>
      <c r="B421" s="5">
        <v>0</v>
      </c>
      <c r="C421" s="5">
        <v>0</v>
      </c>
      <c r="D421" s="5">
        <v>1</v>
      </c>
      <c r="E421" s="5">
        <v>229</v>
      </c>
      <c r="F421" s="5">
        <f>ROUND(Source!AZ410,O421)</f>
        <v>0</v>
      </c>
      <c r="G421" s="5" t="s">
        <v>124</v>
      </c>
      <c r="H421" s="5" t="s">
        <v>125</v>
      </c>
      <c r="I421" s="5"/>
      <c r="J421" s="5"/>
      <c r="K421" s="5">
        <v>229</v>
      </c>
      <c r="L421" s="5">
        <v>10</v>
      </c>
      <c r="M421" s="5">
        <v>3</v>
      </c>
      <c r="N421" s="5" t="s">
        <v>3</v>
      </c>
      <c r="O421" s="5">
        <v>2</v>
      </c>
      <c r="P421" s="5">
        <f>ROUND(Source!ER410,O421)</f>
        <v>0</v>
      </c>
      <c r="Q421" s="5"/>
      <c r="R421" s="5"/>
      <c r="S421" s="5"/>
      <c r="T421" s="5"/>
      <c r="U421" s="5"/>
      <c r="V421" s="5"/>
      <c r="W421" s="5">
        <v>0</v>
      </c>
      <c r="X421" s="5">
        <v>1</v>
      </c>
      <c r="Y421" s="5">
        <v>0</v>
      </c>
      <c r="Z421" s="5">
        <v>0</v>
      </c>
      <c r="AA421" s="5">
        <v>1</v>
      </c>
      <c r="AB421" s="5">
        <v>0</v>
      </c>
    </row>
    <row r="422" spans="1:28" x14ac:dyDescent="0.2">
      <c r="A422" s="5">
        <v>50</v>
      </c>
      <c r="B422" s="5">
        <v>0</v>
      </c>
      <c r="C422" s="5">
        <v>0</v>
      </c>
      <c r="D422" s="5">
        <v>1</v>
      </c>
      <c r="E422" s="5">
        <v>203</v>
      </c>
      <c r="F422" s="5">
        <f>ROUND(Source!Q410,O422)</f>
        <v>74.83</v>
      </c>
      <c r="G422" s="5" t="s">
        <v>126</v>
      </c>
      <c r="H422" s="5" t="s">
        <v>127</v>
      </c>
      <c r="I422" s="5"/>
      <c r="J422" s="5"/>
      <c r="K422" s="5">
        <v>203</v>
      </c>
      <c r="L422" s="5">
        <v>11</v>
      </c>
      <c r="M422" s="5">
        <v>3</v>
      </c>
      <c r="N422" s="5" t="s">
        <v>3</v>
      </c>
      <c r="O422" s="5">
        <v>2</v>
      </c>
      <c r="P422" s="5">
        <f>ROUND(Source!DI410,O422)</f>
        <v>938.19</v>
      </c>
      <c r="Q422" s="5"/>
      <c r="R422" s="5"/>
      <c r="S422" s="5"/>
      <c r="T422" s="5"/>
      <c r="U422" s="5"/>
      <c r="V422" s="5"/>
      <c r="W422" s="5">
        <v>74.83</v>
      </c>
      <c r="X422" s="5">
        <v>1</v>
      </c>
      <c r="Y422" s="5">
        <v>74.83</v>
      </c>
      <c r="Z422" s="5">
        <v>938.19</v>
      </c>
      <c r="AA422" s="5">
        <v>1</v>
      </c>
      <c r="AB422" s="5">
        <v>938.19</v>
      </c>
    </row>
    <row r="423" spans="1:28" x14ac:dyDescent="0.2">
      <c r="A423" s="5">
        <v>50</v>
      </c>
      <c r="B423" s="5">
        <v>0</v>
      </c>
      <c r="C423" s="5">
        <v>0</v>
      </c>
      <c r="D423" s="5">
        <v>1</v>
      </c>
      <c r="E423" s="5">
        <v>231</v>
      </c>
      <c r="F423" s="5">
        <f>ROUND(Source!BB410,O423)</f>
        <v>0</v>
      </c>
      <c r="G423" s="5" t="s">
        <v>128</v>
      </c>
      <c r="H423" s="5" t="s">
        <v>129</v>
      </c>
      <c r="I423" s="5"/>
      <c r="J423" s="5"/>
      <c r="K423" s="5">
        <v>231</v>
      </c>
      <c r="L423" s="5">
        <v>12</v>
      </c>
      <c r="M423" s="5">
        <v>3</v>
      </c>
      <c r="N423" s="5" t="s">
        <v>3</v>
      </c>
      <c r="O423" s="5">
        <v>2</v>
      </c>
      <c r="P423" s="5">
        <f>ROUND(Source!ET410,O423)</f>
        <v>0</v>
      </c>
      <c r="Q423" s="5"/>
      <c r="R423" s="5"/>
      <c r="S423" s="5"/>
      <c r="T423" s="5"/>
      <c r="U423" s="5"/>
      <c r="V423" s="5"/>
      <c r="W423" s="5">
        <v>0</v>
      </c>
      <c r="X423" s="5">
        <v>1</v>
      </c>
      <c r="Y423" s="5">
        <v>0</v>
      </c>
      <c r="Z423" s="5">
        <v>0</v>
      </c>
      <c r="AA423" s="5">
        <v>1</v>
      </c>
      <c r="AB423" s="5">
        <v>0</v>
      </c>
    </row>
    <row r="424" spans="1:28" x14ac:dyDescent="0.2">
      <c r="A424" s="5">
        <v>50</v>
      </c>
      <c r="B424" s="5">
        <v>0</v>
      </c>
      <c r="C424" s="5">
        <v>0</v>
      </c>
      <c r="D424" s="5">
        <v>1</v>
      </c>
      <c r="E424" s="5">
        <v>204</v>
      </c>
      <c r="F424" s="5">
        <f>ROUND(Source!R410,O424)</f>
        <v>8.5500000000000007</v>
      </c>
      <c r="G424" s="5" t="s">
        <v>130</v>
      </c>
      <c r="H424" s="5" t="s">
        <v>131</v>
      </c>
      <c r="I424" s="5"/>
      <c r="J424" s="5"/>
      <c r="K424" s="5">
        <v>204</v>
      </c>
      <c r="L424" s="5">
        <v>13</v>
      </c>
      <c r="M424" s="5">
        <v>3</v>
      </c>
      <c r="N424" s="5" t="s">
        <v>3</v>
      </c>
      <c r="O424" s="5">
        <v>2</v>
      </c>
      <c r="P424" s="5">
        <f>ROUND(Source!DJ410,O424)</f>
        <v>295.07</v>
      </c>
      <c r="Q424" s="5"/>
      <c r="R424" s="5"/>
      <c r="S424" s="5"/>
      <c r="T424" s="5"/>
      <c r="U424" s="5"/>
      <c r="V424" s="5"/>
      <c r="W424" s="5">
        <v>8.5500000000000007</v>
      </c>
      <c r="X424" s="5">
        <v>1</v>
      </c>
      <c r="Y424" s="5">
        <v>8.5500000000000007</v>
      </c>
      <c r="Z424" s="5">
        <v>295.07</v>
      </c>
      <c r="AA424" s="5">
        <v>1</v>
      </c>
      <c r="AB424" s="5">
        <v>295.07</v>
      </c>
    </row>
    <row r="425" spans="1:28" x14ac:dyDescent="0.2">
      <c r="A425" s="5">
        <v>50</v>
      </c>
      <c r="B425" s="5">
        <v>0</v>
      </c>
      <c r="C425" s="5">
        <v>0</v>
      </c>
      <c r="D425" s="5">
        <v>1</v>
      </c>
      <c r="E425" s="5">
        <v>205</v>
      </c>
      <c r="F425" s="5">
        <f>ROUND(Source!S410,O425)</f>
        <v>43.23</v>
      </c>
      <c r="G425" s="5" t="s">
        <v>132</v>
      </c>
      <c r="H425" s="5" t="s">
        <v>133</v>
      </c>
      <c r="I425" s="5"/>
      <c r="J425" s="5"/>
      <c r="K425" s="5">
        <v>205</v>
      </c>
      <c r="L425" s="5">
        <v>14</v>
      </c>
      <c r="M425" s="5">
        <v>3</v>
      </c>
      <c r="N425" s="5" t="s">
        <v>3</v>
      </c>
      <c r="O425" s="5">
        <v>2</v>
      </c>
      <c r="P425" s="5">
        <f>ROUND(Source!DK410,O425)</f>
        <v>1491.88</v>
      </c>
      <c r="Q425" s="5"/>
      <c r="R425" s="5"/>
      <c r="S425" s="5"/>
      <c r="T425" s="5"/>
      <c r="U425" s="5"/>
      <c r="V425" s="5"/>
      <c r="W425" s="5">
        <v>43.23</v>
      </c>
      <c r="X425" s="5">
        <v>1</v>
      </c>
      <c r="Y425" s="5">
        <v>43.23</v>
      </c>
      <c r="Z425" s="5">
        <v>1491.88</v>
      </c>
      <c r="AA425" s="5">
        <v>1</v>
      </c>
      <c r="AB425" s="5">
        <v>1491.88</v>
      </c>
    </row>
    <row r="426" spans="1:28" x14ac:dyDescent="0.2">
      <c r="A426" s="5">
        <v>50</v>
      </c>
      <c r="B426" s="5">
        <v>0</v>
      </c>
      <c r="C426" s="5">
        <v>0</v>
      </c>
      <c r="D426" s="5">
        <v>1</v>
      </c>
      <c r="E426" s="5">
        <v>232</v>
      </c>
      <c r="F426" s="5">
        <f>ROUND(Source!BC410,O426)</f>
        <v>0</v>
      </c>
      <c r="G426" s="5" t="s">
        <v>134</v>
      </c>
      <c r="H426" s="5" t="s">
        <v>135</v>
      </c>
      <c r="I426" s="5"/>
      <c r="J426" s="5"/>
      <c r="K426" s="5">
        <v>232</v>
      </c>
      <c r="L426" s="5">
        <v>15</v>
      </c>
      <c r="M426" s="5">
        <v>3</v>
      </c>
      <c r="N426" s="5" t="s">
        <v>3</v>
      </c>
      <c r="O426" s="5">
        <v>2</v>
      </c>
      <c r="P426" s="5">
        <f>ROUND(Source!EU410,O426)</f>
        <v>0</v>
      </c>
      <c r="Q426" s="5"/>
      <c r="R426" s="5"/>
      <c r="S426" s="5"/>
      <c r="T426" s="5"/>
      <c r="U426" s="5"/>
      <c r="V426" s="5"/>
      <c r="W426" s="5">
        <v>0</v>
      </c>
      <c r="X426" s="5">
        <v>1</v>
      </c>
      <c r="Y426" s="5">
        <v>0</v>
      </c>
      <c r="Z426" s="5">
        <v>0</v>
      </c>
      <c r="AA426" s="5">
        <v>1</v>
      </c>
      <c r="AB426" s="5">
        <v>0</v>
      </c>
    </row>
    <row r="427" spans="1:28" x14ac:dyDescent="0.2">
      <c r="A427" s="5">
        <v>50</v>
      </c>
      <c r="B427" s="5">
        <v>0</v>
      </c>
      <c r="C427" s="5">
        <v>0</v>
      </c>
      <c r="D427" s="5">
        <v>1</v>
      </c>
      <c r="E427" s="5">
        <v>214</v>
      </c>
      <c r="F427" s="5">
        <f>ROUND(Source!AS410,O427)</f>
        <v>782.18</v>
      </c>
      <c r="G427" s="5" t="s">
        <v>136</v>
      </c>
      <c r="H427" s="5" t="s">
        <v>137</v>
      </c>
      <c r="I427" s="5"/>
      <c r="J427" s="5"/>
      <c r="K427" s="5">
        <v>214</v>
      </c>
      <c r="L427" s="5">
        <v>16</v>
      </c>
      <c r="M427" s="5">
        <v>3</v>
      </c>
      <c r="N427" s="5" t="s">
        <v>3</v>
      </c>
      <c r="O427" s="5">
        <v>2</v>
      </c>
      <c r="P427" s="5">
        <f>ROUND(Source!EK410,O427)</f>
        <v>11323.41</v>
      </c>
      <c r="Q427" s="5"/>
      <c r="R427" s="5"/>
      <c r="S427" s="5"/>
      <c r="T427" s="5"/>
      <c r="U427" s="5"/>
      <c r="V427" s="5"/>
      <c r="W427" s="5">
        <v>782.18</v>
      </c>
      <c r="X427" s="5">
        <v>1</v>
      </c>
      <c r="Y427" s="5">
        <v>782.18</v>
      </c>
      <c r="Z427" s="5">
        <v>11323.41</v>
      </c>
      <c r="AA427" s="5">
        <v>1</v>
      </c>
      <c r="AB427" s="5">
        <v>11323.41</v>
      </c>
    </row>
    <row r="428" spans="1:28" x14ac:dyDescent="0.2">
      <c r="A428" s="5">
        <v>50</v>
      </c>
      <c r="B428" s="5">
        <v>0</v>
      </c>
      <c r="C428" s="5">
        <v>0</v>
      </c>
      <c r="D428" s="5">
        <v>1</v>
      </c>
      <c r="E428" s="5">
        <v>215</v>
      </c>
      <c r="F428" s="5">
        <f>ROUND(Source!AT410,O428)</f>
        <v>0</v>
      </c>
      <c r="G428" s="5" t="s">
        <v>138</v>
      </c>
      <c r="H428" s="5" t="s">
        <v>139</v>
      </c>
      <c r="I428" s="5"/>
      <c r="J428" s="5"/>
      <c r="K428" s="5">
        <v>215</v>
      </c>
      <c r="L428" s="5">
        <v>17</v>
      </c>
      <c r="M428" s="5">
        <v>3</v>
      </c>
      <c r="N428" s="5" t="s">
        <v>3</v>
      </c>
      <c r="O428" s="5">
        <v>2</v>
      </c>
      <c r="P428" s="5">
        <f>ROUND(Source!EL410,O428)</f>
        <v>0</v>
      </c>
      <c r="Q428" s="5"/>
      <c r="R428" s="5"/>
      <c r="S428" s="5"/>
      <c r="T428" s="5"/>
      <c r="U428" s="5"/>
      <c r="V428" s="5"/>
      <c r="W428" s="5">
        <v>0</v>
      </c>
      <c r="X428" s="5">
        <v>1</v>
      </c>
      <c r="Y428" s="5">
        <v>0</v>
      </c>
      <c r="Z428" s="5">
        <v>0</v>
      </c>
      <c r="AA428" s="5">
        <v>1</v>
      </c>
      <c r="AB428" s="5">
        <v>0</v>
      </c>
    </row>
    <row r="429" spans="1:28" x14ac:dyDescent="0.2">
      <c r="A429" s="5">
        <v>50</v>
      </c>
      <c r="B429" s="5">
        <v>0</v>
      </c>
      <c r="C429" s="5">
        <v>0</v>
      </c>
      <c r="D429" s="5">
        <v>1</v>
      </c>
      <c r="E429" s="5">
        <v>217</v>
      </c>
      <c r="F429" s="5">
        <f>ROUND(Source!AU410,O429)</f>
        <v>0</v>
      </c>
      <c r="G429" s="5" t="s">
        <v>140</v>
      </c>
      <c r="H429" s="5" t="s">
        <v>141</v>
      </c>
      <c r="I429" s="5"/>
      <c r="J429" s="5"/>
      <c r="K429" s="5">
        <v>217</v>
      </c>
      <c r="L429" s="5">
        <v>18</v>
      </c>
      <c r="M429" s="5">
        <v>3</v>
      </c>
      <c r="N429" s="5" t="s">
        <v>3</v>
      </c>
      <c r="O429" s="5">
        <v>2</v>
      </c>
      <c r="P429" s="5">
        <f>ROUND(Source!EM410,O429)</f>
        <v>0</v>
      </c>
      <c r="Q429" s="5"/>
      <c r="R429" s="5"/>
      <c r="S429" s="5"/>
      <c r="T429" s="5"/>
      <c r="U429" s="5"/>
      <c r="V429" s="5"/>
      <c r="W429" s="5">
        <v>0</v>
      </c>
      <c r="X429" s="5">
        <v>1</v>
      </c>
      <c r="Y429" s="5">
        <v>0</v>
      </c>
      <c r="Z429" s="5">
        <v>0</v>
      </c>
      <c r="AA429" s="5">
        <v>1</v>
      </c>
      <c r="AB429" s="5">
        <v>0</v>
      </c>
    </row>
    <row r="430" spans="1:28" x14ac:dyDescent="0.2">
      <c r="A430" s="5">
        <v>50</v>
      </c>
      <c r="B430" s="5">
        <v>0</v>
      </c>
      <c r="C430" s="5">
        <v>0</v>
      </c>
      <c r="D430" s="5">
        <v>1</v>
      </c>
      <c r="E430" s="5">
        <v>230</v>
      </c>
      <c r="F430" s="5">
        <f>ROUND(Source!BA410,O430)</f>
        <v>0</v>
      </c>
      <c r="G430" s="5" t="s">
        <v>142</v>
      </c>
      <c r="H430" s="5" t="s">
        <v>143</v>
      </c>
      <c r="I430" s="5"/>
      <c r="J430" s="5"/>
      <c r="K430" s="5">
        <v>230</v>
      </c>
      <c r="L430" s="5">
        <v>19</v>
      </c>
      <c r="M430" s="5">
        <v>3</v>
      </c>
      <c r="N430" s="5" t="s">
        <v>3</v>
      </c>
      <c r="O430" s="5">
        <v>2</v>
      </c>
      <c r="P430" s="5">
        <f>ROUND(Source!ES410,O430)</f>
        <v>0</v>
      </c>
      <c r="Q430" s="5"/>
      <c r="R430" s="5"/>
      <c r="S430" s="5"/>
      <c r="T430" s="5"/>
      <c r="U430" s="5"/>
      <c r="V430" s="5"/>
      <c r="W430" s="5">
        <v>0</v>
      </c>
      <c r="X430" s="5">
        <v>1</v>
      </c>
      <c r="Y430" s="5">
        <v>0</v>
      </c>
      <c r="Z430" s="5">
        <v>0</v>
      </c>
      <c r="AA430" s="5">
        <v>1</v>
      </c>
      <c r="AB430" s="5">
        <v>0</v>
      </c>
    </row>
    <row r="431" spans="1:28" x14ac:dyDescent="0.2">
      <c r="A431" s="5">
        <v>50</v>
      </c>
      <c r="B431" s="5">
        <v>0</v>
      </c>
      <c r="C431" s="5">
        <v>0</v>
      </c>
      <c r="D431" s="5">
        <v>1</v>
      </c>
      <c r="E431" s="5">
        <v>206</v>
      </c>
      <c r="F431" s="5">
        <f>ROUND(Source!T410,O431)</f>
        <v>0</v>
      </c>
      <c r="G431" s="5" t="s">
        <v>144</v>
      </c>
      <c r="H431" s="5" t="s">
        <v>145</v>
      </c>
      <c r="I431" s="5"/>
      <c r="J431" s="5"/>
      <c r="K431" s="5">
        <v>206</v>
      </c>
      <c r="L431" s="5">
        <v>20</v>
      </c>
      <c r="M431" s="5">
        <v>3</v>
      </c>
      <c r="N431" s="5" t="s">
        <v>3</v>
      </c>
      <c r="O431" s="5">
        <v>2</v>
      </c>
      <c r="P431" s="5">
        <f>ROUND(Source!DL410,O431)</f>
        <v>0</v>
      </c>
      <c r="Q431" s="5"/>
      <c r="R431" s="5"/>
      <c r="S431" s="5"/>
      <c r="T431" s="5"/>
      <c r="U431" s="5"/>
      <c r="V431" s="5"/>
      <c r="W431" s="5">
        <v>0</v>
      </c>
      <c r="X431" s="5">
        <v>1</v>
      </c>
      <c r="Y431" s="5">
        <v>0</v>
      </c>
      <c r="Z431" s="5">
        <v>0</v>
      </c>
      <c r="AA431" s="5">
        <v>1</v>
      </c>
      <c r="AB431" s="5">
        <v>0</v>
      </c>
    </row>
    <row r="432" spans="1:28" x14ac:dyDescent="0.2">
      <c r="A432" s="5">
        <v>50</v>
      </c>
      <c r="B432" s="5">
        <v>0</v>
      </c>
      <c r="C432" s="5">
        <v>0</v>
      </c>
      <c r="D432" s="5">
        <v>1</v>
      </c>
      <c r="E432" s="5">
        <v>207</v>
      </c>
      <c r="F432" s="5">
        <f>Source!U410</f>
        <v>3.9654789042000003</v>
      </c>
      <c r="G432" s="5" t="s">
        <v>146</v>
      </c>
      <c r="H432" s="5" t="s">
        <v>147</v>
      </c>
      <c r="I432" s="5"/>
      <c r="J432" s="5"/>
      <c r="K432" s="5">
        <v>207</v>
      </c>
      <c r="L432" s="5">
        <v>21</v>
      </c>
      <c r="M432" s="5">
        <v>3</v>
      </c>
      <c r="N432" s="5" t="s">
        <v>3</v>
      </c>
      <c r="O432" s="5">
        <v>-1</v>
      </c>
      <c r="P432" s="5">
        <f>Source!DM410</f>
        <v>3.9654789042000003</v>
      </c>
      <c r="Q432" s="5"/>
      <c r="R432" s="5"/>
      <c r="S432" s="5"/>
      <c r="T432" s="5"/>
      <c r="U432" s="5"/>
      <c r="V432" s="5"/>
      <c r="W432" s="5">
        <v>3.9654789042000003</v>
      </c>
      <c r="X432" s="5">
        <v>1</v>
      </c>
      <c r="Y432" s="5">
        <v>3.9654789042000003</v>
      </c>
      <c r="Z432" s="5">
        <v>3.9654789042000003</v>
      </c>
      <c r="AA432" s="5">
        <v>1</v>
      </c>
      <c r="AB432" s="5">
        <v>3.9654789042000003</v>
      </c>
    </row>
    <row r="433" spans="1:206" x14ac:dyDescent="0.2">
      <c r="A433" s="5">
        <v>50</v>
      </c>
      <c r="B433" s="5">
        <v>0</v>
      </c>
      <c r="C433" s="5">
        <v>0</v>
      </c>
      <c r="D433" s="5">
        <v>1</v>
      </c>
      <c r="E433" s="5">
        <v>208</v>
      </c>
      <c r="F433" s="5">
        <f>Source!V410</f>
        <v>0</v>
      </c>
      <c r="G433" s="5" t="s">
        <v>148</v>
      </c>
      <c r="H433" s="5" t="s">
        <v>149</v>
      </c>
      <c r="I433" s="5"/>
      <c r="J433" s="5"/>
      <c r="K433" s="5">
        <v>208</v>
      </c>
      <c r="L433" s="5">
        <v>22</v>
      </c>
      <c r="M433" s="5">
        <v>3</v>
      </c>
      <c r="N433" s="5" t="s">
        <v>3</v>
      </c>
      <c r="O433" s="5">
        <v>-1</v>
      </c>
      <c r="P433" s="5">
        <f>Source!DN410</f>
        <v>0</v>
      </c>
      <c r="Q433" s="5"/>
      <c r="R433" s="5"/>
      <c r="S433" s="5"/>
      <c r="T433" s="5"/>
      <c r="U433" s="5"/>
      <c r="V433" s="5"/>
      <c r="W433" s="5">
        <v>0</v>
      </c>
      <c r="X433" s="5">
        <v>1</v>
      </c>
      <c r="Y433" s="5">
        <v>0</v>
      </c>
      <c r="Z433" s="5">
        <v>0</v>
      </c>
      <c r="AA433" s="5">
        <v>1</v>
      </c>
      <c r="AB433" s="5">
        <v>0</v>
      </c>
    </row>
    <row r="434" spans="1:206" x14ac:dyDescent="0.2">
      <c r="A434" s="5">
        <v>50</v>
      </c>
      <c r="B434" s="5">
        <v>0</v>
      </c>
      <c r="C434" s="5">
        <v>0</v>
      </c>
      <c r="D434" s="5">
        <v>1</v>
      </c>
      <c r="E434" s="5">
        <v>209</v>
      </c>
      <c r="F434" s="5">
        <f>ROUND(Source!W410,O434)</f>
        <v>0</v>
      </c>
      <c r="G434" s="5" t="s">
        <v>150</v>
      </c>
      <c r="H434" s="5" t="s">
        <v>151</v>
      </c>
      <c r="I434" s="5"/>
      <c r="J434" s="5"/>
      <c r="K434" s="5">
        <v>209</v>
      </c>
      <c r="L434" s="5">
        <v>23</v>
      </c>
      <c r="M434" s="5">
        <v>3</v>
      </c>
      <c r="N434" s="5" t="s">
        <v>3</v>
      </c>
      <c r="O434" s="5">
        <v>2</v>
      </c>
      <c r="P434" s="5">
        <f>ROUND(Source!DO410,O434)</f>
        <v>0</v>
      </c>
      <c r="Q434" s="5"/>
      <c r="R434" s="5"/>
      <c r="S434" s="5"/>
      <c r="T434" s="5"/>
      <c r="U434" s="5"/>
      <c r="V434" s="5"/>
      <c r="W434" s="5">
        <v>0</v>
      </c>
      <c r="X434" s="5">
        <v>1</v>
      </c>
      <c r="Y434" s="5">
        <v>0</v>
      </c>
      <c r="Z434" s="5">
        <v>0</v>
      </c>
      <c r="AA434" s="5">
        <v>1</v>
      </c>
      <c r="AB434" s="5">
        <v>0</v>
      </c>
    </row>
    <row r="435" spans="1:206" x14ac:dyDescent="0.2">
      <c r="A435" s="5">
        <v>50</v>
      </c>
      <c r="B435" s="5">
        <v>0</v>
      </c>
      <c r="C435" s="5">
        <v>0</v>
      </c>
      <c r="D435" s="5">
        <v>1</v>
      </c>
      <c r="E435" s="5">
        <v>233</v>
      </c>
      <c r="F435" s="5">
        <f>ROUND(Source!BD410,O435)</f>
        <v>0</v>
      </c>
      <c r="G435" s="5" t="s">
        <v>152</v>
      </c>
      <c r="H435" s="5" t="s">
        <v>153</v>
      </c>
      <c r="I435" s="5"/>
      <c r="J435" s="5"/>
      <c r="K435" s="5">
        <v>233</v>
      </c>
      <c r="L435" s="5">
        <v>24</v>
      </c>
      <c r="M435" s="5">
        <v>3</v>
      </c>
      <c r="N435" s="5" t="s">
        <v>3</v>
      </c>
      <c r="O435" s="5">
        <v>2</v>
      </c>
      <c r="P435" s="5">
        <f>ROUND(Source!EV410,O435)</f>
        <v>0</v>
      </c>
      <c r="Q435" s="5"/>
      <c r="R435" s="5"/>
      <c r="S435" s="5"/>
      <c r="T435" s="5"/>
      <c r="U435" s="5"/>
      <c r="V435" s="5"/>
      <c r="W435" s="5">
        <v>0</v>
      </c>
      <c r="X435" s="5">
        <v>1</v>
      </c>
      <c r="Y435" s="5">
        <v>0</v>
      </c>
      <c r="Z435" s="5">
        <v>0</v>
      </c>
      <c r="AA435" s="5">
        <v>1</v>
      </c>
      <c r="AB435" s="5">
        <v>0</v>
      </c>
    </row>
    <row r="436" spans="1:206" x14ac:dyDescent="0.2">
      <c r="A436" s="5">
        <v>50</v>
      </c>
      <c r="B436" s="5">
        <v>0</v>
      </c>
      <c r="C436" s="5">
        <v>0</v>
      </c>
      <c r="D436" s="5">
        <v>1</v>
      </c>
      <c r="E436" s="5">
        <v>210</v>
      </c>
      <c r="F436" s="5">
        <f>ROUND(Source!X410,O436)</f>
        <v>70.2</v>
      </c>
      <c r="G436" s="5" t="s">
        <v>154</v>
      </c>
      <c r="H436" s="5" t="s">
        <v>155</v>
      </c>
      <c r="I436" s="5"/>
      <c r="J436" s="5"/>
      <c r="K436" s="5">
        <v>210</v>
      </c>
      <c r="L436" s="5">
        <v>25</v>
      </c>
      <c r="M436" s="5">
        <v>3</v>
      </c>
      <c r="N436" s="5" t="s">
        <v>3</v>
      </c>
      <c r="O436" s="5">
        <v>2</v>
      </c>
      <c r="P436" s="5">
        <f>ROUND(Source!DP410,O436)</f>
        <v>1571.26</v>
      </c>
      <c r="Q436" s="5"/>
      <c r="R436" s="5"/>
      <c r="S436" s="5"/>
      <c r="T436" s="5"/>
      <c r="U436" s="5"/>
      <c r="V436" s="5"/>
      <c r="W436" s="5">
        <v>70.2</v>
      </c>
      <c r="X436" s="5">
        <v>1</v>
      </c>
      <c r="Y436" s="5">
        <v>70.2</v>
      </c>
      <c r="Z436" s="5">
        <v>1571.26</v>
      </c>
      <c r="AA436" s="5">
        <v>1</v>
      </c>
      <c r="AB436" s="5">
        <v>1571.26</v>
      </c>
    </row>
    <row r="437" spans="1:206" x14ac:dyDescent="0.2">
      <c r="A437" s="5">
        <v>50</v>
      </c>
      <c r="B437" s="5">
        <v>0</v>
      </c>
      <c r="C437" s="5">
        <v>0</v>
      </c>
      <c r="D437" s="5">
        <v>1</v>
      </c>
      <c r="E437" s="5">
        <v>211</v>
      </c>
      <c r="F437" s="5">
        <f>ROUND(Source!Y410,O437)</f>
        <v>40.75</v>
      </c>
      <c r="G437" s="5" t="s">
        <v>156</v>
      </c>
      <c r="H437" s="5" t="s">
        <v>157</v>
      </c>
      <c r="I437" s="5"/>
      <c r="J437" s="5"/>
      <c r="K437" s="5">
        <v>211</v>
      </c>
      <c r="L437" s="5">
        <v>26</v>
      </c>
      <c r="M437" s="5">
        <v>3</v>
      </c>
      <c r="N437" s="5" t="s">
        <v>3</v>
      </c>
      <c r="O437" s="5">
        <v>2</v>
      </c>
      <c r="P437" s="5">
        <f>ROUND(Source!DQ410,O437)</f>
        <v>721.05</v>
      </c>
      <c r="Q437" s="5"/>
      <c r="R437" s="5"/>
      <c r="S437" s="5"/>
      <c r="T437" s="5"/>
      <c r="U437" s="5"/>
      <c r="V437" s="5"/>
      <c r="W437" s="5">
        <v>40.75</v>
      </c>
      <c r="X437" s="5">
        <v>1</v>
      </c>
      <c r="Y437" s="5">
        <v>40.75</v>
      </c>
      <c r="Z437" s="5">
        <v>721.05</v>
      </c>
      <c r="AA437" s="5">
        <v>1</v>
      </c>
      <c r="AB437" s="5">
        <v>721.05</v>
      </c>
    </row>
    <row r="438" spans="1:206" x14ac:dyDescent="0.2">
      <c r="A438" s="5">
        <v>50</v>
      </c>
      <c r="B438" s="5">
        <v>0</v>
      </c>
      <c r="C438" s="5">
        <v>0</v>
      </c>
      <c r="D438" s="5">
        <v>1</v>
      </c>
      <c r="E438" s="5">
        <v>224</v>
      </c>
      <c r="F438" s="5">
        <f>ROUND(Source!AR410,O438)</f>
        <v>782.18</v>
      </c>
      <c r="G438" s="5" t="s">
        <v>158</v>
      </c>
      <c r="H438" s="5" t="s">
        <v>159</v>
      </c>
      <c r="I438" s="5"/>
      <c r="J438" s="5"/>
      <c r="K438" s="5">
        <v>224</v>
      </c>
      <c r="L438" s="5">
        <v>27</v>
      </c>
      <c r="M438" s="5">
        <v>3</v>
      </c>
      <c r="N438" s="5" t="s">
        <v>3</v>
      </c>
      <c r="O438" s="5">
        <v>2</v>
      </c>
      <c r="P438" s="5">
        <f>ROUND(Source!EJ410,O438)</f>
        <v>11323.41</v>
      </c>
      <c r="Q438" s="5"/>
      <c r="R438" s="5"/>
      <c r="S438" s="5"/>
      <c r="T438" s="5"/>
      <c r="U438" s="5"/>
      <c r="V438" s="5"/>
      <c r="W438" s="5">
        <v>782.18</v>
      </c>
      <c r="X438" s="5">
        <v>1</v>
      </c>
      <c r="Y438" s="5">
        <v>782.18</v>
      </c>
      <c r="Z438" s="5">
        <v>11323.41</v>
      </c>
      <c r="AA438" s="5">
        <v>1</v>
      </c>
      <c r="AB438" s="5">
        <v>11323.41</v>
      </c>
    </row>
    <row r="440" spans="1:206" x14ac:dyDescent="0.2">
      <c r="A440" s="3">
        <v>51</v>
      </c>
      <c r="B440" s="3">
        <f>B20</f>
        <v>1</v>
      </c>
      <c r="C440" s="3">
        <f>A20</f>
        <v>3</v>
      </c>
      <c r="D440" s="3">
        <f>ROW(A20)</f>
        <v>20</v>
      </c>
      <c r="E440" s="3"/>
      <c r="F440" s="3" t="str">
        <f>IF(F20&lt;&gt;"",F20,"")</f>
        <v>Новая локальная смета</v>
      </c>
      <c r="G440" s="3" t="str">
        <f>IF(G20&lt;&gt;"",G20,"")</f>
        <v>Строительство КЛ 10 кВ</v>
      </c>
      <c r="H440" s="3">
        <v>0</v>
      </c>
      <c r="I440" s="3"/>
      <c r="J440" s="3"/>
      <c r="K440" s="3"/>
      <c r="L440" s="3"/>
      <c r="M440" s="3"/>
      <c r="N440" s="3"/>
      <c r="O440" s="3">
        <f t="shared" ref="O440:T440" si="313">ROUND(O63+O134+O410+AB440,2)</f>
        <v>6716.69</v>
      </c>
      <c r="P440" s="3">
        <f t="shared" si="313"/>
        <v>6119.78</v>
      </c>
      <c r="Q440" s="3">
        <f t="shared" si="313"/>
        <v>208.78</v>
      </c>
      <c r="R440" s="3">
        <f t="shared" si="313"/>
        <v>21.52</v>
      </c>
      <c r="S440" s="3">
        <f t="shared" si="313"/>
        <v>388.13</v>
      </c>
      <c r="T440" s="3">
        <f t="shared" si="313"/>
        <v>0</v>
      </c>
      <c r="U440" s="3">
        <f>U63+U134+U410+AH440</f>
        <v>30.849684533800005</v>
      </c>
      <c r="V440" s="3">
        <f>V63+V134+V410+AI440</f>
        <v>0</v>
      </c>
      <c r="W440" s="3">
        <f>ROUND(W63+W134+W410+AJ440,2)</f>
        <v>0</v>
      </c>
      <c r="X440" s="3">
        <f>ROUND(X63+X134+X410+AK440,2)</f>
        <v>454.35</v>
      </c>
      <c r="Y440" s="3">
        <f>ROUND(Y63+Y134+Y410+AL440,2)</f>
        <v>284.26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>
        <f t="shared" ref="AO440:BD440" si="314">ROUND(AO63+AO134+AO410+BX440,2)</f>
        <v>0</v>
      </c>
      <c r="AP440" s="3">
        <f t="shared" si="314"/>
        <v>0</v>
      </c>
      <c r="AQ440" s="3">
        <f t="shared" si="314"/>
        <v>0</v>
      </c>
      <c r="AR440" s="3">
        <f t="shared" si="314"/>
        <v>7492.98</v>
      </c>
      <c r="AS440" s="3">
        <f t="shared" si="314"/>
        <v>2201.37</v>
      </c>
      <c r="AT440" s="3">
        <f t="shared" si="314"/>
        <v>5291.61</v>
      </c>
      <c r="AU440" s="3">
        <f t="shared" si="314"/>
        <v>0</v>
      </c>
      <c r="AV440" s="3">
        <f t="shared" si="314"/>
        <v>6119.78</v>
      </c>
      <c r="AW440" s="3">
        <f t="shared" si="314"/>
        <v>6119.78</v>
      </c>
      <c r="AX440" s="3">
        <f t="shared" si="314"/>
        <v>0</v>
      </c>
      <c r="AY440" s="3">
        <f t="shared" si="314"/>
        <v>6119.78</v>
      </c>
      <c r="AZ440" s="3">
        <f t="shared" si="314"/>
        <v>0</v>
      </c>
      <c r="BA440" s="3">
        <f t="shared" si="314"/>
        <v>0</v>
      </c>
      <c r="BB440" s="3">
        <f t="shared" si="314"/>
        <v>0</v>
      </c>
      <c r="BC440" s="3">
        <f t="shared" si="314"/>
        <v>0</v>
      </c>
      <c r="BD440" s="3">
        <f t="shared" si="314"/>
        <v>0</v>
      </c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4">
        <f t="shared" ref="DG440:DL440" si="315">ROUND(DG63+DG134+DG410+DT440,2)</f>
        <v>61182.12</v>
      </c>
      <c r="DH440" s="4">
        <f t="shared" si="315"/>
        <v>45580.11</v>
      </c>
      <c r="DI440" s="4">
        <f t="shared" si="315"/>
        <v>2207.63</v>
      </c>
      <c r="DJ440" s="4">
        <f t="shared" si="315"/>
        <v>742.67</v>
      </c>
      <c r="DK440" s="4">
        <f t="shared" si="315"/>
        <v>13394.38</v>
      </c>
      <c r="DL440" s="4">
        <f t="shared" si="315"/>
        <v>0</v>
      </c>
      <c r="DM440" s="4">
        <f>DM63+DM134+DM410+DZ440</f>
        <v>30.849684533800005</v>
      </c>
      <c r="DN440" s="4">
        <f>DN63+DN134+DN410+EA440</f>
        <v>0</v>
      </c>
      <c r="DO440" s="4">
        <f>ROUND(DO63+DO134+DO410+EB440,2)</f>
        <v>0</v>
      </c>
      <c r="DP440" s="4">
        <f>ROUND(DP63+DP134+DP410+EC440,2)</f>
        <v>12471.38</v>
      </c>
      <c r="DQ440" s="4">
        <f>ROUND(DQ63+DQ134+DQ410+ED440,2)</f>
        <v>5807.76</v>
      </c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>
        <f t="shared" ref="EG440:EV440" si="316">ROUND(EG63+EG134+EG410+FP440,2)</f>
        <v>0</v>
      </c>
      <c r="EH440" s="4">
        <f t="shared" si="316"/>
        <v>0</v>
      </c>
      <c r="EI440" s="4">
        <f t="shared" si="316"/>
        <v>0</v>
      </c>
      <c r="EJ440" s="4">
        <f t="shared" si="316"/>
        <v>80649.55</v>
      </c>
      <c r="EK440" s="4">
        <f t="shared" si="316"/>
        <v>27809.02</v>
      </c>
      <c r="EL440" s="4">
        <f t="shared" si="316"/>
        <v>52840.53</v>
      </c>
      <c r="EM440" s="4">
        <f t="shared" si="316"/>
        <v>0</v>
      </c>
      <c r="EN440" s="4">
        <f t="shared" si="316"/>
        <v>45580.11</v>
      </c>
      <c r="EO440" s="4">
        <f t="shared" si="316"/>
        <v>45580.11</v>
      </c>
      <c r="EP440" s="4">
        <f t="shared" si="316"/>
        <v>0</v>
      </c>
      <c r="EQ440" s="4">
        <f t="shared" si="316"/>
        <v>45580.11</v>
      </c>
      <c r="ER440" s="4">
        <f t="shared" si="316"/>
        <v>0</v>
      </c>
      <c r="ES440" s="4">
        <f t="shared" si="316"/>
        <v>0</v>
      </c>
      <c r="ET440" s="4">
        <f t="shared" si="316"/>
        <v>0</v>
      </c>
      <c r="EU440" s="4">
        <f t="shared" si="316"/>
        <v>0</v>
      </c>
      <c r="EV440" s="4">
        <f t="shared" si="316"/>
        <v>0</v>
      </c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>
        <v>0</v>
      </c>
    </row>
    <row r="442" spans="1:206" x14ac:dyDescent="0.2">
      <c r="A442" s="5">
        <v>50</v>
      </c>
      <c r="B442" s="5">
        <v>0</v>
      </c>
      <c r="C442" s="5">
        <v>0</v>
      </c>
      <c r="D442" s="5">
        <v>1</v>
      </c>
      <c r="E442" s="5">
        <v>201</v>
      </c>
      <c r="F442" s="5">
        <f>ROUND(Source!O440,O442)</f>
        <v>6716.69</v>
      </c>
      <c r="G442" s="5" t="s">
        <v>106</v>
      </c>
      <c r="H442" s="5" t="s">
        <v>107</v>
      </c>
      <c r="I442" s="5"/>
      <c r="J442" s="5"/>
      <c r="K442" s="5">
        <v>201</v>
      </c>
      <c r="L442" s="5">
        <v>1</v>
      </c>
      <c r="M442" s="5">
        <v>3</v>
      </c>
      <c r="N442" s="5" t="s">
        <v>3</v>
      </c>
      <c r="O442" s="5">
        <v>2</v>
      </c>
      <c r="P442" s="5">
        <f>ROUND(Source!DG440,O442)</f>
        <v>61182.12</v>
      </c>
      <c r="Q442" s="5"/>
      <c r="R442" s="5"/>
      <c r="S442" s="5"/>
      <c r="T442" s="5"/>
      <c r="U442" s="5"/>
      <c r="V442" s="5"/>
      <c r="W442" s="5">
        <v>6716.69</v>
      </c>
      <c r="X442" s="5">
        <v>1</v>
      </c>
      <c r="Y442" s="5">
        <v>6716.69</v>
      </c>
      <c r="Z442" s="5">
        <v>61182.12</v>
      </c>
      <c r="AA442" s="5">
        <v>1</v>
      </c>
      <c r="AB442" s="5">
        <v>61182.12</v>
      </c>
    </row>
    <row r="443" spans="1:206" x14ac:dyDescent="0.2">
      <c r="A443" s="5">
        <v>50</v>
      </c>
      <c r="B443" s="5">
        <v>0</v>
      </c>
      <c r="C443" s="5">
        <v>0</v>
      </c>
      <c r="D443" s="5">
        <v>1</v>
      </c>
      <c r="E443" s="5">
        <v>202</v>
      </c>
      <c r="F443" s="5">
        <f>ROUND(Source!P440,O443)</f>
        <v>6119.78</v>
      </c>
      <c r="G443" s="5" t="s">
        <v>108</v>
      </c>
      <c r="H443" s="5" t="s">
        <v>109</v>
      </c>
      <c r="I443" s="5"/>
      <c r="J443" s="5"/>
      <c r="K443" s="5">
        <v>202</v>
      </c>
      <c r="L443" s="5">
        <v>2</v>
      </c>
      <c r="M443" s="5">
        <v>3</v>
      </c>
      <c r="N443" s="5" t="s">
        <v>3</v>
      </c>
      <c r="O443" s="5">
        <v>2</v>
      </c>
      <c r="P443" s="5">
        <f>ROUND(Source!DH440,O443)</f>
        <v>45580.11</v>
      </c>
      <c r="Q443" s="5"/>
      <c r="R443" s="5"/>
      <c r="S443" s="5"/>
      <c r="T443" s="5"/>
      <c r="U443" s="5"/>
      <c r="V443" s="5"/>
      <c r="W443" s="5">
        <v>6119.78</v>
      </c>
      <c r="X443" s="5">
        <v>1</v>
      </c>
      <c r="Y443" s="5">
        <v>6119.78</v>
      </c>
      <c r="Z443" s="5">
        <v>45580.11</v>
      </c>
      <c r="AA443" s="5">
        <v>1</v>
      </c>
      <c r="AB443" s="5">
        <v>45580.11</v>
      </c>
    </row>
    <row r="444" spans="1:206" x14ac:dyDescent="0.2">
      <c r="A444" s="5">
        <v>50</v>
      </c>
      <c r="B444" s="5">
        <v>0</v>
      </c>
      <c r="C444" s="5">
        <v>0</v>
      </c>
      <c r="D444" s="5">
        <v>1</v>
      </c>
      <c r="E444" s="5">
        <v>222</v>
      </c>
      <c r="F444" s="5">
        <f>ROUND(Source!AO440,O444)</f>
        <v>0</v>
      </c>
      <c r="G444" s="5" t="s">
        <v>110</v>
      </c>
      <c r="H444" s="5" t="s">
        <v>111</v>
      </c>
      <c r="I444" s="5"/>
      <c r="J444" s="5"/>
      <c r="K444" s="5">
        <v>222</v>
      </c>
      <c r="L444" s="5">
        <v>3</v>
      </c>
      <c r="M444" s="5">
        <v>3</v>
      </c>
      <c r="N444" s="5" t="s">
        <v>3</v>
      </c>
      <c r="O444" s="5">
        <v>2</v>
      </c>
      <c r="P444" s="5">
        <f>ROUND(Source!EG440,O444)</f>
        <v>0</v>
      </c>
      <c r="Q444" s="5"/>
      <c r="R444" s="5"/>
      <c r="S444" s="5"/>
      <c r="T444" s="5"/>
      <c r="U444" s="5"/>
      <c r="V444" s="5"/>
      <c r="W444" s="5">
        <v>0</v>
      </c>
      <c r="X444" s="5">
        <v>1</v>
      </c>
      <c r="Y444" s="5">
        <v>0</v>
      </c>
      <c r="Z444" s="5">
        <v>0</v>
      </c>
      <c r="AA444" s="5">
        <v>1</v>
      </c>
      <c r="AB444" s="5">
        <v>0</v>
      </c>
    </row>
    <row r="445" spans="1:206" x14ac:dyDescent="0.2">
      <c r="A445" s="5">
        <v>50</v>
      </c>
      <c r="B445" s="5">
        <v>0</v>
      </c>
      <c r="C445" s="5">
        <v>0</v>
      </c>
      <c r="D445" s="5">
        <v>1</v>
      </c>
      <c r="E445" s="5">
        <v>225</v>
      </c>
      <c r="F445" s="5">
        <f>ROUND(Source!AV440,O445)</f>
        <v>6119.78</v>
      </c>
      <c r="G445" s="5" t="s">
        <v>112</v>
      </c>
      <c r="H445" s="5" t="s">
        <v>113</v>
      </c>
      <c r="I445" s="5"/>
      <c r="J445" s="5"/>
      <c r="K445" s="5">
        <v>225</v>
      </c>
      <c r="L445" s="5">
        <v>4</v>
      </c>
      <c r="M445" s="5">
        <v>3</v>
      </c>
      <c r="N445" s="5" t="s">
        <v>3</v>
      </c>
      <c r="O445" s="5">
        <v>2</v>
      </c>
      <c r="P445" s="5">
        <f>ROUND(Source!EN440,O445)</f>
        <v>45580.11</v>
      </c>
      <c r="Q445" s="5"/>
      <c r="R445" s="5"/>
      <c r="S445" s="5"/>
      <c r="T445" s="5"/>
      <c r="U445" s="5"/>
      <c r="V445" s="5"/>
      <c r="W445" s="5">
        <v>6119.78</v>
      </c>
      <c r="X445" s="5">
        <v>1</v>
      </c>
      <c r="Y445" s="5">
        <v>6119.78</v>
      </c>
      <c r="Z445" s="5">
        <v>45580.11</v>
      </c>
      <c r="AA445" s="5">
        <v>1</v>
      </c>
      <c r="AB445" s="5">
        <v>45580.11</v>
      </c>
    </row>
    <row r="446" spans="1:206" x14ac:dyDescent="0.2">
      <c r="A446" s="5">
        <v>50</v>
      </c>
      <c r="B446" s="5">
        <v>0</v>
      </c>
      <c r="C446" s="5">
        <v>0</v>
      </c>
      <c r="D446" s="5">
        <v>1</v>
      </c>
      <c r="E446" s="5">
        <v>226</v>
      </c>
      <c r="F446" s="5">
        <f>ROUND(Source!AW440,O446)</f>
        <v>6119.78</v>
      </c>
      <c r="G446" s="5" t="s">
        <v>114</v>
      </c>
      <c r="H446" s="5" t="s">
        <v>115</v>
      </c>
      <c r="I446" s="5"/>
      <c r="J446" s="5"/>
      <c r="K446" s="5">
        <v>226</v>
      </c>
      <c r="L446" s="5">
        <v>5</v>
      </c>
      <c r="M446" s="5">
        <v>3</v>
      </c>
      <c r="N446" s="5" t="s">
        <v>3</v>
      </c>
      <c r="O446" s="5">
        <v>2</v>
      </c>
      <c r="P446" s="5">
        <f>ROUND(Source!EO440,O446)</f>
        <v>45580.11</v>
      </c>
      <c r="Q446" s="5"/>
      <c r="R446" s="5"/>
      <c r="S446" s="5"/>
      <c r="T446" s="5"/>
      <c r="U446" s="5"/>
      <c r="V446" s="5"/>
      <c r="W446" s="5">
        <v>6119.78</v>
      </c>
      <c r="X446" s="5">
        <v>1</v>
      </c>
      <c r="Y446" s="5">
        <v>6119.78</v>
      </c>
      <c r="Z446" s="5">
        <v>45580.11</v>
      </c>
      <c r="AA446" s="5">
        <v>1</v>
      </c>
      <c r="AB446" s="5">
        <v>45580.11</v>
      </c>
    </row>
    <row r="447" spans="1:206" x14ac:dyDescent="0.2">
      <c r="A447" s="5">
        <v>50</v>
      </c>
      <c r="B447" s="5">
        <v>0</v>
      </c>
      <c r="C447" s="5">
        <v>0</v>
      </c>
      <c r="D447" s="5">
        <v>1</v>
      </c>
      <c r="E447" s="5">
        <v>227</v>
      </c>
      <c r="F447" s="5">
        <f>ROUND(Source!AX440,O447)</f>
        <v>0</v>
      </c>
      <c r="G447" s="5" t="s">
        <v>116</v>
      </c>
      <c r="H447" s="5" t="s">
        <v>117</v>
      </c>
      <c r="I447" s="5"/>
      <c r="J447" s="5"/>
      <c r="K447" s="5">
        <v>227</v>
      </c>
      <c r="L447" s="5">
        <v>6</v>
      </c>
      <c r="M447" s="5">
        <v>3</v>
      </c>
      <c r="N447" s="5" t="s">
        <v>3</v>
      </c>
      <c r="O447" s="5">
        <v>2</v>
      </c>
      <c r="P447" s="5">
        <f>ROUND(Source!EP440,O447)</f>
        <v>0</v>
      </c>
      <c r="Q447" s="5"/>
      <c r="R447" s="5"/>
      <c r="S447" s="5"/>
      <c r="T447" s="5"/>
      <c r="U447" s="5"/>
      <c r="V447" s="5"/>
      <c r="W447" s="5">
        <v>0</v>
      </c>
      <c r="X447" s="5">
        <v>1</v>
      </c>
      <c r="Y447" s="5">
        <v>0</v>
      </c>
      <c r="Z447" s="5">
        <v>0</v>
      </c>
      <c r="AA447" s="5">
        <v>1</v>
      </c>
      <c r="AB447" s="5">
        <v>0</v>
      </c>
    </row>
    <row r="448" spans="1:206" x14ac:dyDescent="0.2">
      <c r="A448" s="5">
        <v>50</v>
      </c>
      <c r="B448" s="5">
        <v>0</v>
      </c>
      <c r="C448" s="5">
        <v>0</v>
      </c>
      <c r="D448" s="5">
        <v>1</v>
      </c>
      <c r="E448" s="5">
        <v>228</v>
      </c>
      <c r="F448" s="5">
        <f>ROUND(Source!AY440,O448)</f>
        <v>6119.78</v>
      </c>
      <c r="G448" s="5" t="s">
        <v>118</v>
      </c>
      <c r="H448" s="5" t="s">
        <v>119</v>
      </c>
      <c r="I448" s="5"/>
      <c r="J448" s="5"/>
      <c r="K448" s="5">
        <v>228</v>
      </c>
      <c r="L448" s="5">
        <v>7</v>
      </c>
      <c r="M448" s="5">
        <v>3</v>
      </c>
      <c r="N448" s="5" t="s">
        <v>3</v>
      </c>
      <c r="O448" s="5">
        <v>2</v>
      </c>
      <c r="P448" s="5">
        <f>ROUND(Source!EQ440,O448)</f>
        <v>45580.11</v>
      </c>
      <c r="Q448" s="5"/>
      <c r="R448" s="5"/>
      <c r="S448" s="5"/>
      <c r="T448" s="5"/>
      <c r="U448" s="5"/>
      <c r="V448" s="5"/>
      <c r="W448" s="5">
        <v>6119.78</v>
      </c>
      <c r="X448" s="5">
        <v>1</v>
      </c>
      <c r="Y448" s="5">
        <v>6119.78</v>
      </c>
      <c r="Z448" s="5">
        <v>45580.11</v>
      </c>
      <c r="AA448" s="5">
        <v>1</v>
      </c>
      <c r="AB448" s="5">
        <v>45580.11</v>
      </c>
    </row>
    <row r="449" spans="1:28" x14ac:dyDescent="0.2">
      <c r="A449" s="5">
        <v>50</v>
      </c>
      <c r="B449" s="5">
        <v>0</v>
      </c>
      <c r="C449" s="5">
        <v>0</v>
      </c>
      <c r="D449" s="5">
        <v>1</v>
      </c>
      <c r="E449" s="5">
        <v>216</v>
      </c>
      <c r="F449" s="5">
        <f>ROUND(Source!AP440,O449)</f>
        <v>0</v>
      </c>
      <c r="G449" s="5" t="s">
        <v>120</v>
      </c>
      <c r="H449" s="5" t="s">
        <v>121</v>
      </c>
      <c r="I449" s="5"/>
      <c r="J449" s="5"/>
      <c r="K449" s="5">
        <v>216</v>
      </c>
      <c r="L449" s="5">
        <v>8</v>
      </c>
      <c r="M449" s="5">
        <v>3</v>
      </c>
      <c r="N449" s="5" t="s">
        <v>3</v>
      </c>
      <c r="O449" s="5">
        <v>2</v>
      </c>
      <c r="P449" s="5">
        <f>ROUND(Source!EH440,O449)</f>
        <v>0</v>
      </c>
      <c r="Q449" s="5"/>
      <c r="R449" s="5"/>
      <c r="S449" s="5"/>
      <c r="T449" s="5"/>
      <c r="U449" s="5"/>
      <c r="V449" s="5"/>
      <c r="W449" s="5">
        <v>0</v>
      </c>
      <c r="X449" s="5">
        <v>1</v>
      </c>
      <c r="Y449" s="5">
        <v>0</v>
      </c>
      <c r="Z449" s="5">
        <v>0</v>
      </c>
      <c r="AA449" s="5">
        <v>1</v>
      </c>
      <c r="AB449" s="5">
        <v>0</v>
      </c>
    </row>
    <row r="450" spans="1:28" x14ac:dyDescent="0.2">
      <c r="A450" s="5">
        <v>50</v>
      </c>
      <c r="B450" s="5">
        <v>0</v>
      </c>
      <c r="C450" s="5">
        <v>0</v>
      </c>
      <c r="D450" s="5">
        <v>1</v>
      </c>
      <c r="E450" s="5">
        <v>223</v>
      </c>
      <c r="F450" s="5">
        <f>ROUND(Source!AQ440,O450)</f>
        <v>0</v>
      </c>
      <c r="G450" s="5" t="s">
        <v>122</v>
      </c>
      <c r="H450" s="5" t="s">
        <v>123</v>
      </c>
      <c r="I450" s="5"/>
      <c r="J450" s="5"/>
      <c r="K450" s="5">
        <v>223</v>
      </c>
      <c r="L450" s="5">
        <v>9</v>
      </c>
      <c r="M450" s="5">
        <v>3</v>
      </c>
      <c r="N450" s="5" t="s">
        <v>3</v>
      </c>
      <c r="O450" s="5">
        <v>2</v>
      </c>
      <c r="P450" s="5">
        <f>ROUND(Source!EI440,O450)</f>
        <v>0</v>
      </c>
      <c r="Q450" s="5"/>
      <c r="R450" s="5"/>
      <c r="S450" s="5"/>
      <c r="T450" s="5"/>
      <c r="U450" s="5"/>
      <c r="V450" s="5"/>
      <c r="W450" s="5">
        <v>0</v>
      </c>
      <c r="X450" s="5">
        <v>1</v>
      </c>
      <c r="Y450" s="5">
        <v>0</v>
      </c>
      <c r="Z450" s="5">
        <v>0</v>
      </c>
      <c r="AA450" s="5">
        <v>1</v>
      </c>
      <c r="AB450" s="5">
        <v>0</v>
      </c>
    </row>
    <row r="451" spans="1:28" x14ac:dyDescent="0.2">
      <c r="A451" s="5">
        <v>50</v>
      </c>
      <c r="B451" s="5">
        <v>0</v>
      </c>
      <c r="C451" s="5">
        <v>0</v>
      </c>
      <c r="D451" s="5">
        <v>1</v>
      </c>
      <c r="E451" s="5">
        <v>229</v>
      </c>
      <c r="F451" s="5">
        <f>ROUND(Source!AZ440,O451)</f>
        <v>0</v>
      </c>
      <c r="G451" s="5" t="s">
        <v>124</v>
      </c>
      <c r="H451" s="5" t="s">
        <v>125</v>
      </c>
      <c r="I451" s="5"/>
      <c r="J451" s="5"/>
      <c r="K451" s="5">
        <v>229</v>
      </c>
      <c r="L451" s="5">
        <v>10</v>
      </c>
      <c r="M451" s="5">
        <v>3</v>
      </c>
      <c r="N451" s="5" t="s">
        <v>3</v>
      </c>
      <c r="O451" s="5">
        <v>2</v>
      </c>
      <c r="P451" s="5">
        <f>ROUND(Source!ER440,O451)</f>
        <v>0</v>
      </c>
      <c r="Q451" s="5"/>
      <c r="R451" s="5"/>
      <c r="S451" s="5"/>
      <c r="T451" s="5"/>
      <c r="U451" s="5"/>
      <c r="V451" s="5"/>
      <c r="W451" s="5">
        <v>0</v>
      </c>
      <c r="X451" s="5">
        <v>1</v>
      </c>
      <c r="Y451" s="5">
        <v>0</v>
      </c>
      <c r="Z451" s="5">
        <v>0</v>
      </c>
      <c r="AA451" s="5">
        <v>1</v>
      </c>
      <c r="AB451" s="5">
        <v>0</v>
      </c>
    </row>
    <row r="452" spans="1:28" x14ac:dyDescent="0.2">
      <c r="A452" s="5">
        <v>50</v>
      </c>
      <c r="B452" s="5">
        <v>0</v>
      </c>
      <c r="C452" s="5">
        <v>0</v>
      </c>
      <c r="D452" s="5">
        <v>1</v>
      </c>
      <c r="E452" s="5">
        <v>203</v>
      </c>
      <c r="F452" s="5">
        <f>ROUND(Source!Q440,O452)</f>
        <v>208.78</v>
      </c>
      <c r="G452" s="5" t="s">
        <v>126</v>
      </c>
      <c r="H452" s="5" t="s">
        <v>127</v>
      </c>
      <c r="I452" s="5"/>
      <c r="J452" s="5"/>
      <c r="K452" s="5">
        <v>203</v>
      </c>
      <c r="L452" s="5">
        <v>11</v>
      </c>
      <c r="M452" s="5">
        <v>3</v>
      </c>
      <c r="N452" s="5" t="s">
        <v>3</v>
      </c>
      <c r="O452" s="5">
        <v>2</v>
      </c>
      <c r="P452" s="5">
        <f>ROUND(Source!DI440,O452)</f>
        <v>2207.63</v>
      </c>
      <c r="Q452" s="5"/>
      <c r="R452" s="5"/>
      <c r="S452" s="5"/>
      <c r="T452" s="5"/>
      <c r="U452" s="5"/>
      <c r="V452" s="5"/>
      <c r="W452" s="5">
        <v>208.78</v>
      </c>
      <c r="X452" s="5">
        <v>1</v>
      </c>
      <c r="Y452" s="5">
        <v>208.78</v>
      </c>
      <c r="Z452" s="5">
        <v>2207.63</v>
      </c>
      <c r="AA452" s="5">
        <v>1</v>
      </c>
      <c r="AB452" s="5">
        <v>2207.63</v>
      </c>
    </row>
    <row r="453" spans="1:28" x14ac:dyDescent="0.2">
      <c r="A453" s="5">
        <v>50</v>
      </c>
      <c r="B453" s="5">
        <v>0</v>
      </c>
      <c r="C453" s="5">
        <v>0</v>
      </c>
      <c r="D453" s="5">
        <v>1</v>
      </c>
      <c r="E453" s="5">
        <v>231</v>
      </c>
      <c r="F453" s="5">
        <f>ROUND(Source!BB440,O453)</f>
        <v>0</v>
      </c>
      <c r="G453" s="5" t="s">
        <v>128</v>
      </c>
      <c r="H453" s="5" t="s">
        <v>129</v>
      </c>
      <c r="I453" s="5"/>
      <c r="J453" s="5"/>
      <c r="K453" s="5">
        <v>231</v>
      </c>
      <c r="L453" s="5">
        <v>12</v>
      </c>
      <c r="M453" s="5">
        <v>3</v>
      </c>
      <c r="N453" s="5" t="s">
        <v>3</v>
      </c>
      <c r="O453" s="5">
        <v>2</v>
      </c>
      <c r="P453" s="5">
        <f>ROUND(Source!ET440,O453)</f>
        <v>0</v>
      </c>
      <c r="Q453" s="5"/>
      <c r="R453" s="5"/>
      <c r="S453" s="5"/>
      <c r="T453" s="5"/>
      <c r="U453" s="5"/>
      <c r="V453" s="5"/>
      <c r="W453" s="5">
        <v>0</v>
      </c>
      <c r="X453" s="5">
        <v>1</v>
      </c>
      <c r="Y453" s="5">
        <v>0</v>
      </c>
      <c r="Z453" s="5">
        <v>0</v>
      </c>
      <c r="AA453" s="5">
        <v>1</v>
      </c>
      <c r="AB453" s="5">
        <v>0</v>
      </c>
    </row>
    <row r="454" spans="1:28" x14ac:dyDescent="0.2">
      <c r="A454" s="5">
        <v>50</v>
      </c>
      <c r="B454" s="5">
        <v>0</v>
      </c>
      <c r="C454" s="5">
        <v>0</v>
      </c>
      <c r="D454" s="5">
        <v>1</v>
      </c>
      <c r="E454" s="5">
        <v>204</v>
      </c>
      <c r="F454" s="5">
        <f>ROUND(Source!R440,O454)</f>
        <v>21.52</v>
      </c>
      <c r="G454" s="5" t="s">
        <v>130</v>
      </c>
      <c r="H454" s="5" t="s">
        <v>131</v>
      </c>
      <c r="I454" s="5"/>
      <c r="J454" s="5"/>
      <c r="K454" s="5">
        <v>204</v>
      </c>
      <c r="L454" s="5">
        <v>13</v>
      </c>
      <c r="M454" s="5">
        <v>3</v>
      </c>
      <c r="N454" s="5" t="s">
        <v>3</v>
      </c>
      <c r="O454" s="5">
        <v>2</v>
      </c>
      <c r="P454" s="5">
        <f>ROUND(Source!DJ440,O454)</f>
        <v>742.67</v>
      </c>
      <c r="Q454" s="5"/>
      <c r="R454" s="5"/>
      <c r="S454" s="5"/>
      <c r="T454" s="5"/>
      <c r="U454" s="5"/>
      <c r="V454" s="5"/>
      <c r="W454" s="5">
        <v>21.52</v>
      </c>
      <c r="X454" s="5">
        <v>1</v>
      </c>
      <c r="Y454" s="5">
        <v>21.52</v>
      </c>
      <c r="Z454" s="5">
        <v>742.67</v>
      </c>
      <c r="AA454" s="5">
        <v>1</v>
      </c>
      <c r="AB454" s="5">
        <v>742.67</v>
      </c>
    </row>
    <row r="455" spans="1:28" x14ac:dyDescent="0.2">
      <c r="A455" s="5">
        <v>50</v>
      </c>
      <c r="B455" s="5">
        <v>0</v>
      </c>
      <c r="C455" s="5">
        <v>0</v>
      </c>
      <c r="D455" s="5">
        <v>1</v>
      </c>
      <c r="E455" s="5">
        <v>205</v>
      </c>
      <c r="F455" s="5">
        <f>ROUND(Source!S440,O455)</f>
        <v>388.13</v>
      </c>
      <c r="G455" s="5" t="s">
        <v>132</v>
      </c>
      <c r="H455" s="5" t="s">
        <v>133</v>
      </c>
      <c r="I455" s="5"/>
      <c r="J455" s="5"/>
      <c r="K455" s="5">
        <v>205</v>
      </c>
      <c r="L455" s="5">
        <v>14</v>
      </c>
      <c r="M455" s="5">
        <v>3</v>
      </c>
      <c r="N455" s="5" t="s">
        <v>3</v>
      </c>
      <c r="O455" s="5">
        <v>2</v>
      </c>
      <c r="P455" s="5">
        <f>ROUND(Source!DK440,O455)</f>
        <v>13394.38</v>
      </c>
      <c r="Q455" s="5"/>
      <c r="R455" s="5"/>
      <c r="S455" s="5"/>
      <c r="T455" s="5"/>
      <c r="U455" s="5"/>
      <c r="V455" s="5"/>
      <c r="W455" s="5">
        <v>388.13</v>
      </c>
      <c r="X455" s="5">
        <v>1</v>
      </c>
      <c r="Y455" s="5">
        <v>388.13</v>
      </c>
      <c r="Z455" s="5">
        <v>13394.38</v>
      </c>
      <c r="AA455" s="5">
        <v>1</v>
      </c>
      <c r="AB455" s="5">
        <v>13394.38</v>
      </c>
    </row>
    <row r="456" spans="1:28" x14ac:dyDescent="0.2">
      <c r="A456" s="5">
        <v>50</v>
      </c>
      <c r="B456" s="5">
        <v>0</v>
      </c>
      <c r="C456" s="5">
        <v>0</v>
      </c>
      <c r="D456" s="5">
        <v>1</v>
      </c>
      <c r="E456" s="5">
        <v>232</v>
      </c>
      <c r="F456" s="5">
        <f>ROUND(Source!BC440,O456)</f>
        <v>0</v>
      </c>
      <c r="G456" s="5" t="s">
        <v>134</v>
      </c>
      <c r="H456" s="5" t="s">
        <v>135</v>
      </c>
      <c r="I456" s="5"/>
      <c r="J456" s="5"/>
      <c r="K456" s="5">
        <v>232</v>
      </c>
      <c r="L456" s="5">
        <v>15</v>
      </c>
      <c r="M456" s="5">
        <v>3</v>
      </c>
      <c r="N456" s="5" t="s">
        <v>3</v>
      </c>
      <c r="O456" s="5">
        <v>2</v>
      </c>
      <c r="P456" s="5">
        <f>ROUND(Source!EU440,O456)</f>
        <v>0</v>
      </c>
      <c r="Q456" s="5"/>
      <c r="R456" s="5"/>
      <c r="S456" s="5"/>
      <c r="T456" s="5"/>
      <c r="U456" s="5"/>
      <c r="V456" s="5"/>
      <c r="W456" s="5">
        <v>0</v>
      </c>
      <c r="X456" s="5">
        <v>1</v>
      </c>
      <c r="Y456" s="5">
        <v>0</v>
      </c>
      <c r="Z456" s="5">
        <v>0</v>
      </c>
      <c r="AA456" s="5">
        <v>1</v>
      </c>
      <c r="AB456" s="5">
        <v>0</v>
      </c>
    </row>
    <row r="457" spans="1:28" x14ac:dyDescent="0.2">
      <c r="A457" s="5">
        <v>50</v>
      </c>
      <c r="B457" s="5">
        <v>0</v>
      </c>
      <c r="C457" s="5">
        <v>0</v>
      </c>
      <c r="D457" s="5">
        <v>1</v>
      </c>
      <c r="E457" s="5">
        <v>214</v>
      </c>
      <c r="F457" s="5">
        <f>ROUND(Source!AS440,O457)</f>
        <v>2201.37</v>
      </c>
      <c r="G457" s="5" t="s">
        <v>136</v>
      </c>
      <c r="H457" s="5" t="s">
        <v>137</v>
      </c>
      <c r="I457" s="5"/>
      <c r="J457" s="5"/>
      <c r="K457" s="5">
        <v>214</v>
      </c>
      <c r="L457" s="5">
        <v>16</v>
      </c>
      <c r="M457" s="5">
        <v>3</v>
      </c>
      <c r="N457" s="5" t="s">
        <v>3</v>
      </c>
      <c r="O457" s="5">
        <v>2</v>
      </c>
      <c r="P457" s="5">
        <f>ROUND(Source!EK440,O457)</f>
        <v>27809.02</v>
      </c>
      <c r="Q457" s="5"/>
      <c r="R457" s="5"/>
      <c r="S457" s="5"/>
      <c r="T457" s="5"/>
      <c r="U457" s="5"/>
      <c r="V457" s="5"/>
      <c r="W457" s="5">
        <v>2201.37</v>
      </c>
      <c r="X457" s="5">
        <v>1</v>
      </c>
      <c r="Y457" s="5">
        <v>2201.37</v>
      </c>
      <c r="Z457" s="5">
        <v>27809.02</v>
      </c>
      <c r="AA457" s="5">
        <v>1</v>
      </c>
      <c r="AB457" s="5">
        <v>27809.02</v>
      </c>
    </row>
    <row r="458" spans="1:28" x14ac:dyDescent="0.2">
      <c r="A458" s="5">
        <v>50</v>
      </c>
      <c r="B458" s="5">
        <v>0</v>
      </c>
      <c r="C458" s="5">
        <v>0</v>
      </c>
      <c r="D458" s="5">
        <v>1</v>
      </c>
      <c r="E458" s="5">
        <v>215</v>
      </c>
      <c r="F458" s="5">
        <f>ROUND(Source!AT440,O458)</f>
        <v>5291.61</v>
      </c>
      <c r="G458" s="5" t="s">
        <v>138</v>
      </c>
      <c r="H458" s="5" t="s">
        <v>139</v>
      </c>
      <c r="I458" s="5"/>
      <c r="J458" s="5"/>
      <c r="K458" s="5">
        <v>215</v>
      </c>
      <c r="L458" s="5">
        <v>17</v>
      </c>
      <c r="M458" s="5">
        <v>3</v>
      </c>
      <c r="N458" s="5" t="s">
        <v>3</v>
      </c>
      <c r="O458" s="5">
        <v>2</v>
      </c>
      <c r="P458" s="5">
        <f>ROUND(Source!EL440,O458)</f>
        <v>52840.53</v>
      </c>
      <c r="Q458" s="5"/>
      <c r="R458" s="5"/>
      <c r="S458" s="5"/>
      <c r="T458" s="5"/>
      <c r="U458" s="5"/>
      <c r="V458" s="5"/>
      <c r="W458" s="5">
        <v>5291.61</v>
      </c>
      <c r="X458" s="5">
        <v>1</v>
      </c>
      <c r="Y458" s="5">
        <v>5291.61</v>
      </c>
      <c r="Z458" s="5">
        <v>52840.53</v>
      </c>
      <c r="AA458" s="5">
        <v>1</v>
      </c>
      <c r="AB458" s="5">
        <v>52840.53</v>
      </c>
    </row>
    <row r="459" spans="1:28" x14ac:dyDescent="0.2">
      <c r="A459" s="5">
        <v>50</v>
      </c>
      <c r="B459" s="5">
        <v>0</v>
      </c>
      <c r="C459" s="5">
        <v>0</v>
      </c>
      <c r="D459" s="5">
        <v>1</v>
      </c>
      <c r="E459" s="5">
        <v>217</v>
      </c>
      <c r="F459" s="5">
        <f>ROUND(Source!AU440,O459)</f>
        <v>0</v>
      </c>
      <c r="G459" s="5" t="s">
        <v>140</v>
      </c>
      <c r="H459" s="5" t="s">
        <v>141</v>
      </c>
      <c r="I459" s="5"/>
      <c r="J459" s="5"/>
      <c r="K459" s="5">
        <v>217</v>
      </c>
      <c r="L459" s="5">
        <v>18</v>
      </c>
      <c r="M459" s="5">
        <v>3</v>
      </c>
      <c r="N459" s="5" t="s">
        <v>3</v>
      </c>
      <c r="O459" s="5">
        <v>2</v>
      </c>
      <c r="P459" s="5">
        <f>ROUND(Source!EM440,O459)</f>
        <v>0</v>
      </c>
      <c r="Q459" s="5"/>
      <c r="R459" s="5"/>
      <c r="S459" s="5"/>
      <c r="T459" s="5"/>
      <c r="U459" s="5"/>
      <c r="V459" s="5"/>
      <c r="W459" s="5">
        <v>0</v>
      </c>
      <c r="X459" s="5">
        <v>1</v>
      </c>
      <c r="Y459" s="5">
        <v>0</v>
      </c>
      <c r="Z459" s="5">
        <v>0</v>
      </c>
      <c r="AA459" s="5">
        <v>1</v>
      </c>
      <c r="AB459" s="5">
        <v>0</v>
      </c>
    </row>
    <row r="460" spans="1:28" x14ac:dyDescent="0.2">
      <c r="A460" s="5">
        <v>50</v>
      </c>
      <c r="B460" s="5">
        <v>0</v>
      </c>
      <c r="C460" s="5">
        <v>0</v>
      </c>
      <c r="D460" s="5">
        <v>1</v>
      </c>
      <c r="E460" s="5">
        <v>230</v>
      </c>
      <c r="F460" s="5">
        <f>ROUND(Source!BA440,O460)</f>
        <v>0</v>
      </c>
      <c r="G460" s="5" t="s">
        <v>142</v>
      </c>
      <c r="H460" s="5" t="s">
        <v>143</v>
      </c>
      <c r="I460" s="5"/>
      <c r="J460" s="5"/>
      <c r="K460" s="5">
        <v>230</v>
      </c>
      <c r="L460" s="5">
        <v>19</v>
      </c>
      <c r="M460" s="5">
        <v>3</v>
      </c>
      <c r="N460" s="5" t="s">
        <v>3</v>
      </c>
      <c r="O460" s="5">
        <v>2</v>
      </c>
      <c r="P460" s="5">
        <f>ROUND(Source!ES440,O460)</f>
        <v>0</v>
      </c>
      <c r="Q460" s="5"/>
      <c r="R460" s="5"/>
      <c r="S460" s="5"/>
      <c r="T460" s="5"/>
      <c r="U460" s="5"/>
      <c r="V460" s="5"/>
      <c r="W460" s="5">
        <v>0</v>
      </c>
      <c r="X460" s="5">
        <v>1</v>
      </c>
      <c r="Y460" s="5">
        <v>0</v>
      </c>
      <c r="Z460" s="5">
        <v>0</v>
      </c>
      <c r="AA460" s="5">
        <v>1</v>
      </c>
      <c r="AB460" s="5">
        <v>0</v>
      </c>
    </row>
    <row r="461" spans="1:28" x14ac:dyDescent="0.2">
      <c r="A461" s="5">
        <v>50</v>
      </c>
      <c r="B461" s="5">
        <v>0</v>
      </c>
      <c r="C461" s="5">
        <v>0</v>
      </c>
      <c r="D461" s="5">
        <v>1</v>
      </c>
      <c r="E461" s="5">
        <v>206</v>
      </c>
      <c r="F461" s="5">
        <f>ROUND(Source!T440,O461)</f>
        <v>0</v>
      </c>
      <c r="G461" s="5" t="s">
        <v>144</v>
      </c>
      <c r="H461" s="5" t="s">
        <v>145</v>
      </c>
      <c r="I461" s="5"/>
      <c r="J461" s="5"/>
      <c r="K461" s="5">
        <v>206</v>
      </c>
      <c r="L461" s="5">
        <v>20</v>
      </c>
      <c r="M461" s="5">
        <v>3</v>
      </c>
      <c r="N461" s="5" t="s">
        <v>3</v>
      </c>
      <c r="O461" s="5">
        <v>2</v>
      </c>
      <c r="P461" s="5">
        <f>ROUND(Source!DL440,O461)</f>
        <v>0</v>
      </c>
      <c r="Q461" s="5"/>
      <c r="R461" s="5"/>
      <c r="S461" s="5"/>
      <c r="T461" s="5"/>
      <c r="U461" s="5"/>
      <c r="V461" s="5"/>
      <c r="W461" s="5">
        <v>0</v>
      </c>
      <c r="X461" s="5">
        <v>1</v>
      </c>
      <c r="Y461" s="5">
        <v>0</v>
      </c>
      <c r="Z461" s="5">
        <v>0</v>
      </c>
      <c r="AA461" s="5">
        <v>1</v>
      </c>
      <c r="AB461" s="5">
        <v>0</v>
      </c>
    </row>
    <row r="462" spans="1:28" x14ac:dyDescent="0.2">
      <c r="A462" s="5">
        <v>50</v>
      </c>
      <c r="B462" s="5">
        <v>0</v>
      </c>
      <c r="C462" s="5">
        <v>0</v>
      </c>
      <c r="D462" s="5">
        <v>1</v>
      </c>
      <c r="E462" s="5">
        <v>207</v>
      </c>
      <c r="F462" s="5">
        <f>Source!U440</f>
        <v>30.849684533800005</v>
      </c>
      <c r="G462" s="5" t="s">
        <v>146</v>
      </c>
      <c r="H462" s="5" t="s">
        <v>147</v>
      </c>
      <c r="I462" s="5"/>
      <c r="J462" s="5"/>
      <c r="K462" s="5">
        <v>207</v>
      </c>
      <c r="L462" s="5">
        <v>21</v>
      </c>
      <c r="M462" s="5">
        <v>3</v>
      </c>
      <c r="N462" s="5" t="s">
        <v>3</v>
      </c>
      <c r="O462" s="5">
        <v>-1</v>
      </c>
      <c r="P462" s="5">
        <f>Source!DM440</f>
        <v>30.849684533800005</v>
      </c>
      <c r="Q462" s="5"/>
      <c r="R462" s="5"/>
      <c r="S462" s="5"/>
      <c r="T462" s="5"/>
      <c r="U462" s="5"/>
      <c r="V462" s="5"/>
      <c r="W462" s="5">
        <v>30.849684533799998</v>
      </c>
      <c r="X462" s="5">
        <v>1</v>
      </c>
      <c r="Y462" s="5">
        <v>30.849684533799998</v>
      </c>
      <c r="Z462" s="5">
        <v>30.849684533799998</v>
      </c>
      <c r="AA462" s="5">
        <v>1</v>
      </c>
      <c r="AB462" s="5">
        <v>30.849684533799998</v>
      </c>
    </row>
    <row r="463" spans="1:28" x14ac:dyDescent="0.2">
      <c r="A463" s="5">
        <v>50</v>
      </c>
      <c r="B463" s="5">
        <v>0</v>
      </c>
      <c r="C463" s="5">
        <v>0</v>
      </c>
      <c r="D463" s="5">
        <v>1</v>
      </c>
      <c r="E463" s="5">
        <v>208</v>
      </c>
      <c r="F463" s="5">
        <f>Source!V440</f>
        <v>0</v>
      </c>
      <c r="G463" s="5" t="s">
        <v>148</v>
      </c>
      <c r="H463" s="5" t="s">
        <v>149</v>
      </c>
      <c r="I463" s="5"/>
      <c r="J463" s="5"/>
      <c r="K463" s="5">
        <v>208</v>
      </c>
      <c r="L463" s="5">
        <v>22</v>
      </c>
      <c r="M463" s="5">
        <v>3</v>
      </c>
      <c r="N463" s="5" t="s">
        <v>3</v>
      </c>
      <c r="O463" s="5">
        <v>-1</v>
      </c>
      <c r="P463" s="5">
        <f>Source!DN440</f>
        <v>0</v>
      </c>
      <c r="Q463" s="5"/>
      <c r="R463" s="5"/>
      <c r="S463" s="5"/>
      <c r="T463" s="5"/>
      <c r="U463" s="5"/>
      <c r="V463" s="5"/>
      <c r="W463" s="5">
        <v>0</v>
      </c>
      <c r="X463" s="5">
        <v>1</v>
      </c>
      <c r="Y463" s="5">
        <v>0</v>
      </c>
      <c r="Z463" s="5">
        <v>0</v>
      </c>
      <c r="AA463" s="5">
        <v>1</v>
      </c>
      <c r="AB463" s="5">
        <v>0</v>
      </c>
    </row>
    <row r="464" spans="1:28" x14ac:dyDescent="0.2">
      <c r="A464" s="5">
        <v>50</v>
      </c>
      <c r="B464" s="5">
        <v>0</v>
      </c>
      <c r="C464" s="5">
        <v>0</v>
      </c>
      <c r="D464" s="5">
        <v>1</v>
      </c>
      <c r="E464" s="5">
        <v>209</v>
      </c>
      <c r="F464" s="5">
        <f>ROUND(Source!W440,O464)</f>
        <v>0</v>
      </c>
      <c r="G464" s="5" t="s">
        <v>150</v>
      </c>
      <c r="H464" s="5" t="s">
        <v>151</v>
      </c>
      <c r="I464" s="5"/>
      <c r="J464" s="5"/>
      <c r="K464" s="5">
        <v>209</v>
      </c>
      <c r="L464" s="5">
        <v>23</v>
      </c>
      <c r="M464" s="5">
        <v>3</v>
      </c>
      <c r="N464" s="5" t="s">
        <v>3</v>
      </c>
      <c r="O464" s="5">
        <v>2</v>
      </c>
      <c r="P464" s="5">
        <f>ROUND(Source!DO440,O464)</f>
        <v>0</v>
      </c>
      <c r="Q464" s="5"/>
      <c r="R464" s="5"/>
      <c r="S464" s="5"/>
      <c r="T464" s="5"/>
      <c r="U464" s="5"/>
      <c r="V464" s="5"/>
      <c r="W464" s="5">
        <v>0</v>
      </c>
      <c r="X464" s="5">
        <v>1</v>
      </c>
      <c r="Y464" s="5">
        <v>0</v>
      </c>
      <c r="Z464" s="5">
        <v>0</v>
      </c>
      <c r="AA464" s="5">
        <v>1</v>
      </c>
      <c r="AB464" s="5">
        <v>0</v>
      </c>
    </row>
    <row r="465" spans="1:206" x14ac:dyDescent="0.2">
      <c r="A465" s="5">
        <v>50</v>
      </c>
      <c r="B465" s="5">
        <v>0</v>
      </c>
      <c r="C465" s="5">
        <v>0</v>
      </c>
      <c r="D465" s="5">
        <v>1</v>
      </c>
      <c r="E465" s="5">
        <v>233</v>
      </c>
      <c r="F465" s="5">
        <f>ROUND(Source!BD440,O465)</f>
        <v>0</v>
      </c>
      <c r="G465" s="5" t="s">
        <v>152</v>
      </c>
      <c r="H465" s="5" t="s">
        <v>153</v>
      </c>
      <c r="I465" s="5"/>
      <c r="J465" s="5"/>
      <c r="K465" s="5">
        <v>233</v>
      </c>
      <c r="L465" s="5">
        <v>24</v>
      </c>
      <c r="M465" s="5">
        <v>3</v>
      </c>
      <c r="N465" s="5" t="s">
        <v>3</v>
      </c>
      <c r="O465" s="5">
        <v>2</v>
      </c>
      <c r="P465" s="5">
        <f>ROUND(Source!EV440,O465)</f>
        <v>0</v>
      </c>
      <c r="Q465" s="5"/>
      <c r="R465" s="5"/>
      <c r="S465" s="5"/>
      <c r="T465" s="5"/>
      <c r="U465" s="5"/>
      <c r="V465" s="5"/>
      <c r="W465" s="5">
        <v>0</v>
      </c>
      <c r="X465" s="5">
        <v>1</v>
      </c>
      <c r="Y465" s="5">
        <v>0</v>
      </c>
      <c r="Z465" s="5">
        <v>0</v>
      </c>
      <c r="AA465" s="5">
        <v>1</v>
      </c>
      <c r="AB465" s="5">
        <v>0</v>
      </c>
    </row>
    <row r="466" spans="1:206" x14ac:dyDescent="0.2">
      <c r="A466" s="5">
        <v>50</v>
      </c>
      <c r="B466" s="5">
        <v>0</v>
      </c>
      <c r="C466" s="5">
        <v>0</v>
      </c>
      <c r="D466" s="5">
        <v>1</v>
      </c>
      <c r="E466" s="5">
        <v>210</v>
      </c>
      <c r="F466" s="5">
        <f>ROUND(Source!X440,O466)</f>
        <v>454.35</v>
      </c>
      <c r="G466" s="5" t="s">
        <v>154</v>
      </c>
      <c r="H466" s="5" t="s">
        <v>155</v>
      </c>
      <c r="I466" s="5"/>
      <c r="J466" s="5"/>
      <c r="K466" s="5">
        <v>210</v>
      </c>
      <c r="L466" s="5">
        <v>25</v>
      </c>
      <c r="M466" s="5">
        <v>3</v>
      </c>
      <c r="N466" s="5" t="s">
        <v>3</v>
      </c>
      <c r="O466" s="5">
        <v>2</v>
      </c>
      <c r="P466" s="5">
        <f>ROUND(Source!DP440,O466)</f>
        <v>12471.38</v>
      </c>
      <c r="Q466" s="5"/>
      <c r="R466" s="5"/>
      <c r="S466" s="5"/>
      <c r="T466" s="5"/>
      <c r="U466" s="5"/>
      <c r="V466" s="5"/>
      <c r="W466" s="5">
        <v>454.35</v>
      </c>
      <c r="X466" s="5">
        <v>1</v>
      </c>
      <c r="Y466" s="5">
        <v>454.35</v>
      </c>
      <c r="Z466" s="5">
        <v>12471.38</v>
      </c>
      <c r="AA466" s="5">
        <v>1</v>
      </c>
      <c r="AB466" s="5">
        <v>12471.38</v>
      </c>
    </row>
    <row r="467" spans="1:206" x14ac:dyDescent="0.2">
      <c r="A467" s="5">
        <v>50</v>
      </c>
      <c r="B467" s="5">
        <v>0</v>
      </c>
      <c r="C467" s="5">
        <v>0</v>
      </c>
      <c r="D467" s="5">
        <v>1</v>
      </c>
      <c r="E467" s="5">
        <v>211</v>
      </c>
      <c r="F467" s="5">
        <f>ROUND(Source!Y440,O467)</f>
        <v>284.26</v>
      </c>
      <c r="G467" s="5" t="s">
        <v>156</v>
      </c>
      <c r="H467" s="5" t="s">
        <v>157</v>
      </c>
      <c r="I467" s="5"/>
      <c r="J467" s="5"/>
      <c r="K467" s="5">
        <v>211</v>
      </c>
      <c r="L467" s="5">
        <v>26</v>
      </c>
      <c r="M467" s="5">
        <v>3</v>
      </c>
      <c r="N467" s="5" t="s">
        <v>3</v>
      </c>
      <c r="O467" s="5">
        <v>2</v>
      </c>
      <c r="P467" s="5">
        <f>ROUND(Source!DQ440,O467)</f>
        <v>5807.76</v>
      </c>
      <c r="Q467" s="5"/>
      <c r="R467" s="5"/>
      <c r="S467" s="5"/>
      <c r="T467" s="5"/>
      <c r="U467" s="5"/>
      <c r="V467" s="5"/>
      <c r="W467" s="5">
        <v>284.26</v>
      </c>
      <c r="X467" s="5">
        <v>1</v>
      </c>
      <c r="Y467" s="5">
        <v>284.26</v>
      </c>
      <c r="Z467" s="5">
        <v>5807.76</v>
      </c>
      <c r="AA467" s="5">
        <v>1</v>
      </c>
      <c r="AB467" s="5">
        <v>5807.76</v>
      </c>
    </row>
    <row r="468" spans="1:206" x14ac:dyDescent="0.2">
      <c r="A468" s="5">
        <v>50</v>
      </c>
      <c r="B468" s="5">
        <v>0</v>
      </c>
      <c r="C468" s="5">
        <v>0</v>
      </c>
      <c r="D468" s="5">
        <v>1</v>
      </c>
      <c r="E468" s="5">
        <v>224</v>
      </c>
      <c r="F468" s="5">
        <f>ROUND(Source!AR440,O468)</f>
        <v>7492.98</v>
      </c>
      <c r="G468" s="5" t="s">
        <v>158</v>
      </c>
      <c r="H468" s="5" t="s">
        <v>159</v>
      </c>
      <c r="I468" s="5"/>
      <c r="J468" s="5"/>
      <c r="K468" s="5">
        <v>224</v>
      </c>
      <c r="L468" s="5">
        <v>27</v>
      </c>
      <c r="M468" s="5">
        <v>3</v>
      </c>
      <c r="N468" s="5" t="s">
        <v>3</v>
      </c>
      <c r="O468" s="5">
        <v>2</v>
      </c>
      <c r="P468" s="5">
        <f>ROUND(Source!EJ440,O468)</f>
        <v>80649.55</v>
      </c>
      <c r="Q468" s="5"/>
      <c r="R468" s="5"/>
      <c r="S468" s="5"/>
      <c r="T468" s="5"/>
      <c r="U468" s="5"/>
      <c r="V468" s="5"/>
      <c r="W468" s="5">
        <v>7492.98</v>
      </c>
      <c r="X468" s="5">
        <v>1</v>
      </c>
      <c r="Y468" s="5">
        <v>7492.98</v>
      </c>
      <c r="Z468" s="5">
        <v>80649.55</v>
      </c>
      <c r="AA468" s="5">
        <v>1</v>
      </c>
      <c r="AB468" s="5">
        <v>80649.55</v>
      </c>
    </row>
    <row r="470" spans="1:206" x14ac:dyDescent="0.2">
      <c r="A470" s="3">
        <v>51</v>
      </c>
      <c r="B470" s="3">
        <f>B12</f>
        <v>505</v>
      </c>
      <c r="C470" s="3">
        <f>A12</f>
        <v>1</v>
      </c>
      <c r="D470" s="3">
        <f>ROW(A12)</f>
        <v>12</v>
      </c>
      <c r="E470" s="3"/>
      <c r="F470" s="3" t="str">
        <f>IF(F12&lt;&gt;"",F12,"")</f>
        <v>02-01-02 КЛ - 10 кВ труба</v>
      </c>
      <c r="G470" s="3" t="str">
        <f>IF(G12&lt;&gt;"",G12,"")</f>
        <v>02-01-02 Строительство КЛ - 10 кВ труба</v>
      </c>
      <c r="H470" s="3">
        <v>0</v>
      </c>
      <c r="I470" s="3"/>
      <c r="J470" s="3"/>
      <c r="K470" s="3"/>
      <c r="L470" s="3"/>
      <c r="M470" s="3"/>
      <c r="N470" s="3"/>
      <c r="O470" s="3">
        <f t="shared" ref="O470:T470" si="317">ROUND(O440,2)</f>
        <v>6716.69</v>
      </c>
      <c r="P470" s="3">
        <f t="shared" si="317"/>
        <v>6119.78</v>
      </c>
      <c r="Q470" s="3">
        <f t="shared" si="317"/>
        <v>208.78</v>
      </c>
      <c r="R470" s="3">
        <f t="shared" si="317"/>
        <v>21.52</v>
      </c>
      <c r="S470" s="3">
        <f t="shared" si="317"/>
        <v>388.13</v>
      </c>
      <c r="T470" s="3">
        <f t="shared" si="317"/>
        <v>0</v>
      </c>
      <c r="U470" s="3">
        <f>U440</f>
        <v>30.849684533800005</v>
      </c>
      <c r="V470" s="3">
        <f>V440</f>
        <v>0</v>
      </c>
      <c r="W470" s="3">
        <f>ROUND(W440,2)</f>
        <v>0</v>
      </c>
      <c r="X470" s="3">
        <f>ROUND(X440,2)</f>
        <v>454.35</v>
      </c>
      <c r="Y470" s="3">
        <f>ROUND(Y440,2)</f>
        <v>284.26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>
        <f t="shared" ref="AO470:BD470" si="318">ROUND(AO440,2)</f>
        <v>0</v>
      </c>
      <c r="AP470" s="3">
        <f t="shared" si="318"/>
        <v>0</v>
      </c>
      <c r="AQ470" s="3">
        <f t="shared" si="318"/>
        <v>0</v>
      </c>
      <c r="AR470" s="3">
        <f t="shared" si="318"/>
        <v>7492.98</v>
      </c>
      <c r="AS470" s="3">
        <f t="shared" si="318"/>
        <v>2201.37</v>
      </c>
      <c r="AT470" s="3">
        <f t="shared" si="318"/>
        <v>5291.61</v>
      </c>
      <c r="AU470" s="3">
        <f t="shared" si="318"/>
        <v>0</v>
      </c>
      <c r="AV470" s="3">
        <f t="shared" si="318"/>
        <v>6119.78</v>
      </c>
      <c r="AW470" s="3">
        <f t="shared" si="318"/>
        <v>6119.78</v>
      </c>
      <c r="AX470" s="3">
        <f t="shared" si="318"/>
        <v>0</v>
      </c>
      <c r="AY470" s="3">
        <f t="shared" si="318"/>
        <v>6119.78</v>
      </c>
      <c r="AZ470" s="3">
        <f t="shared" si="318"/>
        <v>0</v>
      </c>
      <c r="BA470" s="3">
        <f t="shared" si="318"/>
        <v>0</v>
      </c>
      <c r="BB470" s="3">
        <f t="shared" si="318"/>
        <v>0</v>
      </c>
      <c r="BC470" s="3">
        <f t="shared" si="318"/>
        <v>0</v>
      </c>
      <c r="BD470" s="3">
        <f t="shared" si="318"/>
        <v>0</v>
      </c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4">
        <f t="shared" ref="DG470:DL470" si="319">ROUND(DG440,2)</f>
        <v>61182.12</v>
      </c>
      <c r="DH470" s="4">
        <f t="shared" si="319"/>
        <v>45580.11</v>
      </c>
      <c r="DI470" s="4">
        <f t="shared" si="319"/>
        <v>2207.63</v>
      </c>
      <c r="DJ470" s="4">
        <f t="shared" si="319"/>
        <v>742.67</v>
      </c>
      <c r="DK470" s="4">
        <f t="shared" si="319"/>
        <v>13394.38</v>
      </c>
      <c r="DL470" s="4">
        <f t="shared" si="319"/>
        <v>0</v>
      </c>
      <c r="DM470" s="4">
        <f>DM440</f>
        <v>30.849684533800005</v>
      </c>
      <c r="DN470" s="4">
        <f>DN440</f>
        <v>0</v>
      </c>
      <c r="DO470" s="4">
        <f>ROUND(DO440,2)</f>
        <v>0</v>
      </c>
      <c r="DP470" s="4">
        <f>ROUND(DP440,2)</f>
        <v>12471.38</v>
      </c>
      <c r="DQ470" s="4">
        <f>ROUND(DQ440,2)</f>
        <v>5807.76</v>
      </c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>
        <f t="shared" ref="EG470:EV470" si="320">ROUND(EG440,2)</f>
        <v>0</v>
      </c>
      <c r="EH470" s="4">
        <f t="shared" si="320"/>
        <v>0</v>
      </c>
      <c r="EI470" s="4">
        <f t="shared" si="320"/>
        <v>0</v>
      </c>
      <c r="EJ470" s="4">
        <f t="shared" si="320"/>
        <v>80649.55</v>
      </c>
      <c r="EK470" s="4">
        <f t="shared" si="320"/>
        <v>27809.02</v>
      </c>
      <c r="EL470" s="4">
        <f t="shared" si="320"/>
        <v>52840.53</v>
      </c>
      <c r="EM470" s="4">
        <f t="shared" si="320"/>
        <v>0</v>
      </c>
      <c r="EN470" s="4">
        <f t="shared" si="320"/>
        <v>45580.11</v>
      </c>
      <c r="EO470" s="4">
        <f t="shared" si="320"/>
        <v>45580.11</v>
      </c>
      <c r="EP470" s="4">
        <f t="shared" si="320"/>
        <v>0</v>
      </c>
      <c r="EQ470" s="4">
        <f t="shared" si="320"/>
        <v>45580.11</v>
      </c>
      <c r="ER470" s="4">
        <f t="shared" si="320"/>
        <v>0</v>
      </c>
      <c r="ES470" s="4">
        <f t="shared" si="320"/>
        <v>0</v>
      </c>
      <c r="ET470" s="4">
        <f t="shared" si="320"/>
        <v>0</v>
      </c>
      <c r="EU470" s="4">
        <f t="shared" si="320"/>
        <v>0</v>
      </c>
      <c r="EV470" s="4">
        <f t="shared" si="320"/>
        <v>0</v>
      </c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>
        <v>0</v>
      </c>
    </row>
    <row r="472" spans="1:206" x14ac:dyDescent="0.2">
      <c r="A472" s="5">
        <v>50</v>
      </c>
      <c r="B472" s="5">
        <v>0</v>
      </c>
      <c r="C472" s="5">
        <v>0</v>
      </c>
      <c r="D472" s="5">
        <v>1</v>
      </c>
      <c r="E472" s="5">
        <v>201</v>
      </c>
      <c r="F472" s="5">
        <f>ROUND(Source!O470,O472)</f>
        <v>6716.69</v>
      </c>
      <c r="G472" s="5" t="s">
        <v>106</v>
      </c>
      <c r="H472" s="5" t="s">
        <v>107</v>
      </c>
      <c r="I472" s="5"/>
      <c r="J472" s="5"/>
      <c r="K472" s="5">
        <v>201</v>
      </c>
      <c r="L472" s="5">
        <v>1</v>
      </c>
      <c r="M472" s="5">
        <v>3</v>
      </c>
      <c r="N472" s="5" t="s">
        <v>3</v>
      </c>
      <c r="O472" s="5">
        <v>2</v>
      </c>
      <c r="P472" s="5">
        <f>ROUND(Source!DG470,O472)</f>
        <v>61182.12</v>
      </c>
      <c r="Q472" s="5"/>
      <c r="R472" s="5"/>
      <c r="S472" s="5"/>
      <c r="T472" s="5"/>
      <c r="U472" s="5"/>
      <c r="V472" s="5"/>
      <c r="W472" s="5">
        <v>6716.69</v>
      </c>
      <c r="X472" s="5">
        <v>1</v>
      </c>
      <c r="Y472" s="5">
        <v>6716.69</v>
      </c>
      <c r="Z472" s="5">
        <v>61182.12</v>
      </c>
      <c r="AA472" s="5">
        <v>1</v>
      </c>
      <c r="AB472" s="5">
        <v>61182.12</v>
      </c>
    </row>
    <row r="473" spans="1:206" x14ac:dyDescent="0.2">
      <c r="A473" s="5">
        <v>50</v>
      </c>
      <c r="B473" s="5">
        <v>0</v>
      </c>
      <c r="C473" s="5">
        <v>0</v>
      </c>
      <c r="D473" s="5">
        <v>1</v>
      </c>
      <c r="E473" s="5">
        <v>202</v>
      </c>
      <c r="F473" s="5">
        <f>ROUND(Source!P470,O473)</f>
        <v>6119.78</v>
      </c>
      <c r="G473" s="5" t="s">
        <v>108</v>
      </c>
      <c r="H473" s="5" t="s">
        <v>109</v>
      </c>
      <c r="I473" s="5"/>
      <c r="J473" s="5"/>
      <c r="K473" s="5">
        <v>202</v>
      </c>
      <c r="L473" s="5">
        <v>2</v>
      </c>
      <c r="M473" s="5">
        <v>3</v>
      </c>
      <c r="N473" s="5" t="s">
        <v>3</v>
      </c>
      <c r="O473" s="5">
        <v>2</v>
      </c>
      <c r="P473" s="5">
        <f>ROUND(Source!DH470,O473)</f>
        <v>45580.11</v>
      </c>
      <c r="Q473" s="5"/>
      <c r="R473" s="5"/>
      <c r="S473" s="5"/>
      <c r="T473" s="5"/>
      <c r="U473" s="5"/>
      <c r="V473" s="5"/>
      <c r="W473" s="5">
        <v>6119.78</v>
      </c>
      <c r="X473" s="5">
        <v>1</v>
      </c>
      <c r="Y473" s="5">
        <v>6119.78</v>
      </c>
      <c r="Z473" s="5">
        <v>45580.11</v>
      </c>
      <c r="AA473" s="5">
        <v>1</v>
      </c>
      <c r="AB473" s="5">
        <v>45580.11</v>
      </c>
    </row>
    <row r="474" spans="1:206" x14ac:dyDescent="0.2">
      <c r="A474" s="5">
        <v>50</v>
      </c>
      <c r="B474" s="5">
        <v>0</v>
      </c>
      <c r="C474" s="5">
        <v>0</v>
      </c>
      <c r="D474" s="5">
        <v>1</v>
      </c>
      <c r="E474" s="5">
        <v>222</v>
      </c>
      <c r="F474" s="5">
        <f>ROUND(Source!AO470,O474)</f>
        <v>0</v>
      </c>
      <c r="G474" s="5" t="s">
        <v>110</v>
      </c>
      <c r="H474" s="5" t="s">
        <v>111</v>
      </c>
      <c r="I474" s="5"/>
      <c r="J474" s="5"/>
      <c r="K474" s="5">
        <v>222</v>
      </c>
      <c r="L474" s="5">
        <v>3</v>
      </c>
      <c r="M474" s="5">
        <v>3</v>
      </c>
      <c r="N474" s="5" t="s">
        <v>3</v>
      </c>
      <c r="O474" s="5">
        <v>2</v>
      </c>
      <c r="P474" s="5">
        <f>ROUND(Source!EG470,O474)</f>
        <v>0</v>
      </c>
      <c r="Q474" s="5"/>
      <c r="R474" s="5"/>
      <c r="S474" s="5"/>
      <c r="T474" s="5"/>
      <c r="U474" s="5"/>
      <c r="V474" s="5"/>
      <c r="W474" s="5">
        <v>0</v>
      </c>
      <c r="X474" s="5">
        <v>1</v>
      </c>
      <c r="Y474" s="5">
        <v>0</v>
      </c>
      <c r="Z474" s="5">
        <v>0</v>
      </c>
      <c r="AA474" s="5">
        <v>1</v>
      </c>
      <c r="AB474" s="5">
        <v>0</v>
      </c>
    </row>
    <row r="475" spans="1:206" x14ac:dyDescent="0.2">
      <c r="A475" s="5">
        <v>50</v>
      </c>
      <c r="B475" s="5">
        <v>0</v>
      </c>
      <c r="C475" s="5">
        <v>0</v>
      </c>
      <c r="D475" s="5">
        <v>1</v>
      </c>
      <c r="E475" s="5">
        <v>225</v>
      </c>
      <c r="F475" s="5">
        <f>ROUND(Source!AV470,O475)</f>
        <v>6119.78</v>
      </c>
      <c r="G475" s="5" t="s">
        <v>112</v>
      </c>
      <c r="H475" s="5" t="s">
        <v>113</v>
      </c>
      <c r="I475" s="5"/>
      <c r="J475" s="5"/>
      <c r="K475" s="5">
        <v>225</v>
      </c>
      <c r="L475" s="5">
        <v>4</v>
      </c>
      <c r="M475" s="5">
        <v>3</v>
      </c>
      <c r="N475" s="5" t="s">
        <v>3</v>
      </c>
      <c r="O475" s="5">
        <v>2</v>
      </c>
      <c r="P475" s="5">
        <f>ROUND(Source!EN470,O475)</f>
        <v>45580.11</v>
      </c>
      <c r="Q475" s="5"/>
      <c r="R475" s="5"/>
      <c r="S475" s="5"/>
      <c r="T475" s="5"/>
      <c r="U475" s="5"/>
      <c r="V475" s="5"/>
      <c r="W475" s="5">
        <v>6119.78</v>
      </c>
      <c r="X475" s="5">
        <v>1</v>
      </c>
      <c r="Y475" s="5">
        <v>6119.78</v>
      </c>
      <c r="Z475" s="5">
        <v>45580.11</v>
      </c>
      <c r="AA475" s="5">
        <v>1</v>
      </c>
      <c r="AB475" s="5">
        <v>45580.11</v>
      </c>
    </row>
    <row r="476" spans="1:206" x14ac:dyDescent="0.2">
      <c r="A476" s="5">
        <v>50</v>
      </c>
      <c r="B476" s="5">
        <v>0</v>
      </c>
      <c r="C476" s="5">
        <v>0</v>
      </c>
      <c r="D476" s="5">
        <v>1</v>
      </c>
      <c r="E476" s="5">
        <v>226</v>
      </c>
      <c r="F476" s="5">
        <f>ROUND(Source!AW470,O476)</f>
        <v>6119.78</v>
      </c>
      <c r="G476" s="5" t="s">
        <v>114</v>
      </c>
      <c r="H476" s="5" t="s">
        <v>115</v>
      </c>
      <c r="I476" s="5"/>
      <c r="J476" s="5"/>
      <c r="K476" s="5">
        <v>226</v>
      </c>
      <c r="L476" s="5">
        <v>5</v>
      </c>
      <c r="M476" s="5">
        <v>3</v>
      </c>
      <c r="N476" s="5" t="s">
        <v>3</v>
      </c>
      <c r="O476" s="5">
        <v>2</v>
      </c>
      <c r="P476" s="5">
        <f>ROUND(Source!EO470,O476)</f>
        <v>45580.11</v>
      </c>
      <c r="Q476" s="5"/>
      <c r="R476" s="5"/>
      <c r="S476" s="5"/>
      <c r="T476" s="5"/>
      <c r="U476" s="5"/>
      <c r="V476" s="5"/>
      <c r="W476" s="5">
        <v>6119.78</v>
      </c>
      <c r="X476" s="5">
        <v>1</v>
      </c>
      <c r="Y476" s="5">
        <v>6119.78</v>
      </c>
      <c r="Z476" s="5">
        <v>45580.11</v>
      </c>
      <c r="AA476" s="5">
        <v>1</v>
      </c>
      <c r="AB476" s="5">
        <v>45580.11</v>
      </c>
    </row>
    <row r="477" spans="1:206" x14ac:dyDescent="0.2">
      <c r="A477" s="5">
        <v>50</v>
      </c>
      <c r="B477" s="5">
        <v>0</v>
      </c>
      <c r="C477" s="5">
        <v>0</v>
      </c>
      <c r="D477" s="5">
        <v>1</v>
      </c>
      <c r="E477" s="5">
        <v>227</v>
      </c>
      <c r="F477" s="5">
        <f>ROUND(Source!AX470,O477)</f>
        <v>0</v>
      </c>
      <c r="G477" s="5" t="s">
        <v>116</v>
      </c>
      <c r="H477" s="5" t="s">
        <v>117</v>
      </c>
      <c r="I477" s="5"/>
      <c r="J477" s="5"/>
      <c r="K477" s="5">
        <v>227</v>
      </c>
      <c r="L477" s="5">
        <v>6</v>
      </c>
      <c r="M477" s="5">
        <v>3</v>
      </c>
      <c r="N477" s="5" t="s">
        <v>3</v>
      </c>
      <c r="O477" s="5">
        <v>2</v>
      </c>
      <c r="P477" s="5">
        <f>ROUND(Source!EP470,O477)</f>
        <v>0</v>
      </c>
      <c r="Q477" s="5"/>
      <c r="R477" s="5"/>
      <c r="S477" s="5"/>
      <c r="T477" s="5"/>
      <c r="U477" s="5"/>
      <c r="V477" s="5"/>
      <c r="W477" s="5">
        <v>0</v>
      </c>
      <c r="X477" s="5">
        <v>1</v>
      </c>
      <c r="Y477" s="5">
        <v>0</v>
      </c>
      <c r="Z477" s="5">
        <v>0</v>
      </c>
      <c r="AA477" s="5">
        <v>1</v>
      </c>
      <c r="AB477" s="5">
        <v>0</v>
      </c>
    </row>
    <row r="478" spans="1:206" x14ac:dyDescent="0.2">
      <c r="A478" s="5">
        <v>50</v>
      </c>
      <c r="B478" s="5">
        <v>0</v>
      </c>
      <c r="C478" s="5">
        <v>0</v>
      </c>
      <c r="D478" s="5">
        <v>1</v>
      </c>
      <c r="E478" s="5">
        <v>228</v>
      </c>
      <c r="F478" s="5">
        <f>ROUND(Source!AY470,O478)</f>
        <v>6119.78</v>
      </c>
      <c r="G478" s="5" t="s">
        <v>118</v>
      </c>
      <c r="H478" s="5" t="s">
        <v>119</v>
      </c>
      <c r="I478" s="5"/>
      <c r="J478" s="5"/>
      <c r="K478" s="5">
        <v>228</v>
      </c>
      <c r="L478" s="5">
        <v>7</v>
      </c>
      <c r="M478" s="5">
        <v>3</v>
      </c>
      <c r="N478" s="5" t="s">
        <v>3</v>
      </c>
      <c r="O478" s="5">
        <v>2</v>
      </c>
      <c r="P478" s="5">
        <f>ROUND(Source!EQ470,O478)</f>
        <v>45580.11</v>
      </c>
      <c r="Q478" s="5"/>
      <c r="R478" s="5"/>
      <c r="S478" s="5"/>
      <c r="T478" s="5"/>
      <c r="U478" s="5"/>
      <c r="V478" s="5"/>
      <c r="W478" s="5">
        <v>6119.78</v>
      </c>
      <c r="X478" s="5">
        <v>1</v>
      </c>
      <c r="Y478" s="5">
        <v>6119.78</v>
      </c>
      <c r="Z478" s="5">
        <v>45580.11</v>
      </c>
      <c r="AA478" s="5">
        <v>1</v>
      </c>
      <c r="AB478" s="5">
        <v>45580.11</v>
      </c>
    </row>
    <row r="479" spans="1:206" x14ac:dyDescent="0.2">
      <c r="A479" s="5">
        <v>50</v>
      </c>
      <c r="B479" s="5">
        <v>0</v>
      </c>
      <c r="C479" s="5">
        <v>0</v>
      </c>
      <c r="D479" s="5">
        <v>1</v>
      </c>
      <c r="E479" s="5">
        <v>216</v>
      </c>
      <c r="F479" s="5">
        <f>ROUND(Source!AP470,O479)</f>
        <v>0</v>
      </c>
      <c r="G479" s="5" t="s">
        <v>120</v>
      </c>
      <c r="H479" s="5" t="s">
        <v>121</v>
      </c>
      <c r="I479" s="5"/>
      <c r="J479" s="5"/>
      <c r="K479" s="5">
        <v>216</v>
      </c>
      <c r="L479" s="5">
        <v>8</v>
      </c>
      <c r="M479" s="5">
        <v>3</v>
      </c>
      <c r="N479" s="5" t="s">
        <v>3</v>
      </c>
      <c r="O479" s="5">
        <v>2</v>
      </c>
      <c r="P479" s="5">
        <f>ROUND(Source!EH470,O479)</f>
        <v>0</v>
      </c>
      <c r="Q479" s="5"/>
      <c r="R479" s="5"/>
      <c r="S479" s="5"/>
      <c r="T479" s="5"/>
      <c r="U479" s="5"/>
      <c r="V479" s="5"/>
      <c r="W479" s="5">
        <v>0</v>
      </c>
      <c r="X479" s="5">
        <v>1</v>
      </c>
      <c r="Y479" s="5">
        <v>0</v>
      </c>
      <c r="Z479" s="5">
        <v>0</v>
      </c>
      <c r="AA479" s="5">
        <v>1</v>
      </c>
      <c r="AB479" s="5">
        <v>0</v>
      </c>
    </row>
    <row r="480" spans="1:206" x14ac:dyDescent="0.2">
      <c r="A480" s="5">
        <v>50</v>
      </c>
      <c r="B480" s="5">
        <v>0</v>
      </c>
      <c r="C480" s="5">
        <v>0</v>
      </c>
      <c r="D480" s="5">
        <v>1</v>
      </c>
      <c r="E480" s="5">
        <v>223</v>
      </c>
      <c r="F480" s="5">
        <f>ROUND(Source!AQ470,O480)</f>
        <v>0</v>
      </c>
      <c r="G480" s="5" t="s">
        <v>122</v>
      </c>
      <c r="H480" s="5" t="s">
        <v>123</v>
      </c>
      <c r="I480" s="5"/>
      <c r="J480" s="5"/>
      <c r="K480" s="5">
        <v>223</v>
      </c>
      <c r="L480" s="5">
        <v>9</v>
      </c>
      <c r="M480" s="5">
        <v>3</v>
      </c>
      <c r="N480" s="5" t="s">
        <v>3</v>
      </c>
      <c r="O480" s="5">
        <v>2</v>
      </c>
      <c r="P480" s="5">
        <f>ROUND(Source!EI470,O480)</f>
        <v>0</v>
      </c>
      <c r="Q480" s="5"/>
      <c r="R480" s="5"/>
      <c r="S480" s="5"/>
      <c r="T480" s="5"/>
      <c r="U480" s="5"/>
      <c r="V480" s="5"/>
      <c r="W480" s="5">
        <v>0</v>
      </c>
      <c r="X480" s="5">
        <v>1</v>
      </c>
      <c r="Y480" s="5">
        <v>0</v>
      </c>
      <c r="Z480" s="5">
        <v>0</v>
      </c>
      <c r="AA480" s="5">
        <v>1</v>
      </c>
      <c r="AB480" s="5">
        <v>0</v>
      </c>
    </row>
    <row r="481" spans="1:28" x14ac:dyDescent="0.2">
      <c r="A481" s="5">
        <v>50</v>
      </c>
      <c r="B481" s="5">
        <v>0</v>
      </c>
      <c r="C481" s="5">
        <v>0</v>
      </c>
      <c r="D481" s="5">
        <v>1</v>
      </c>
      <c r="E481" s="5">
        <v>229</v>
      </c>
      <c r="F481" s="5">
        <f>ROUND(Source!AZ470,O481)</f>
        <v>0</v>
      </c>
      <c r="G481" s="5" t="s">
        <v>124</v>
      </c>
      <c r="H481" s="5" t="s">
        <v>125</v>
      </c>
      <c r="I481" s="5"/>
      <c r="J481" s="5"/>
      <c r="K481" s="5">
        <v>229</v>
      </c>
      <c r="L481" s="5">
        <v>10</v>
      </c>
      <c r="M481" s="5">
        <v>3</v>
      </c>
      <c r="N481" s="5" t="s">
        <v>3</v>
      </c>
      <c r="O481" s="5">
        <v>2</v>
      </c>
      <c r="P481" s="5">
        <f>ROUND(Source!ER470,O481)</f>
        <v>0</v>
      </c>
      <c r="Q481" s="5"/>
      <c r="R481" s="5"/>
      <c r="S481" s="5"/>
      <c r="T481" s="5"/>
      <c r="U481" s="5"/>
      <c r="V481" s="5"/>
      <c r="W481" s="5">
        <v>0</v>
      </c>
      <c r="X481" s="5">
        <v>1</v>
      </c>
      <c r="Y481" s="5">
        <v>0</v>
      </c>
      <c r="Z481" s="5">
        <v>0</v>
      </c>
      <c r="AA481" s="5">
        <v>1</v>
      </c>
      <c r="AB481" s="5">
        <v>0</v>
      </c>
    </row>
    <row r="482" spans="1:28" x14ac:dyDescent="0.2">
      <c r="A482" s="5">
        <v>50</v>
      </c>
      <c r="B482" s="5">
        <v>0</v>
      </c>
      <c r="C482" s="5">
        <v>0</v>
      </c>
      <c r="D482" s="5">
        <v>1</v>
      </c>
      <c r="E482" s="5">
        <v>203</v>
      </c>
      <c r="F482" s="5">
        <f>ROUND(Source!Q470,O482)</f>
        <v>208.78</v>
      </c>
      <c r="G482" s="5" t="s">
        <v>126</v>
      </c>
      <c r="H482" s="5" t="s">
        <v>127</v>
      </c>
      <c r="I482" s="5"/>
      <c r="J482" s="5"/>
      <c r="K482" s="5">
        <v>203</v>
      </c>
      <c r="L482" s="5">
        <v>11</v>
      </c>
      <c r="M482" s="5">
        <v>3</v>
      </c>
      <c r="N482" s="5" t="s">
        <v>3</v>
      </c>
      <c r="O482" s="5">
        <v>2</v>
      </c>
      <c r="P482" s="5">
        <f>ROUND(Source!DI470,O482)</f>
        <v>2207.63</v>
      </c>
      <c r="Q482" s="5"/>
      <c r="R482" s="5"/>
      <c r="S482" s="5"/>
      <c r="T482" s="5"/>
      <c r="U482" s="5"/>
      <c r="V482" s="5"/>
      <c r="W482" s="5">
        <v>208.78</v>
      </c>
      <c r="X482" s="5">
        <v>1</v>
      </c>
      <c r="Y482" s="5">
        <v>208.78</v>
      </c>
      <c r="Z482" s="5">
        <v>2207.63</v>
      </c>
      <c r="AA482" s="5">
        <v>1</v>
      </c>
      <c r="AB482" s="5">
        <v>2207.63</v>
      </c>
    </row>
    <row r="483" spans="1:28" x14ac:dyDescent="0.2">
      <c r="A483" s="5">
        <v>50</v>
      </c>
      <c r="B483" s="5">
        <v>0</v>
      </c>
      <c r="C483" s="5">
        <v>0</v>
      </c>
      <c r="D483" s="5">
        <v>1</v>
      </c>
      <c r="E483" s="5">
        <v>231</v>
      </c>
      <c r="F483" s="5">
        <f>ROUND(Source!BB470,O483)</f>
        <v>0</v>
      </c>
      <c r="G483" s="5" t="s">
        <v>128</v>
      </c>
      <c r="H483" s="5" t="s">
        <v>129</v>
      </c>
      <c r="I483" s="5"/>
      <c r="J483" s="5"/>
      <c r="K483" s="5">
        <v>231</v>
      </c>
      <c r="L483" s="5">
        <v>12</v>
      </c>
      <c r="M483" s="5">
        <v>3</v>
      </c>
      <c r="N483" s="5" t="s">
        <v>3</v>
      </c>
      <c r="O483" s="5">
        <v>2</v>
      </c>
      <c r="P483" s="5">
        <f>ROUND(Source!ET470,O483)</f>
        <v>0</v>
      </c>
      <c r="Q483" s="5"/>
      <c r="R483" s="5"/>
      <c r="S483" s="5"/>
      <c r="T483" s="5"/>
      <c r="U483" s="5"/>
      <c r="V483" s="5"/>
      <c r="W483" s="5">
        <v>0</v>
      </c>
      <c r="X483" s="5">
        <v>1</v>
      </c>
      <c r="Y483" s="5">
        <v>0</v>
      </c>
      <c r="Z483" s="5">
        <v>0</v>
      </c>
      <c r="AA483" s="5">
        <v>1</v>
      </c>
      <c r="AB483" s="5">
        <v>0</v>
      </c>
    </row>
    <row r="484" spans="1:28" x14ac:dyDescent="0.2">
      <c r="A484" s="5">
        <v>50</v>
      </c>
      <c r="B484" s="5">
        <v>0</v>
      </c>
      <c r="C484" s="5">
        <v>0</v>
      </c>
      <c r="D484" s="5">
        <v>1</v>
      </c>
      <c r="E484" s="5">
        <v>204</v>
      </c>
      <c r="F484" s="5">
        <f>ROUND(Source!R470,O484)</f>
        <v>21.52</v>
      </c>
      <c r="G484" s="5" t="s">
        <v>130</v>
      </c>
      <c r="H484" s="5" t="s">
        <v>131</v>
      </c>
      <c r="I484" s="5"/>
      <c r="J484" s="5"/>
      <c r="K484" s="5">
        <v>204</v>
      </c>
      <c r="L484" s="5">
        <v>13</v>
      </c>
      <c r="M484" s="5">
        <v>3</v>
      </c>
      <c r="N484" s="5" t="s">
        <v>3</v>
      </c>
      <c r="O484" s="5">
        <v>2</v>
      </c>
      <c r="P484" s="5">
        <f>ROUND(Source!DJ470,O484)</f>
        <v>742.67</v>
      </c>
      <c r="Q484" s="5"/>
      <c r="R484" s="5"/>
      <c r="S484" s="5"/>
      <c r="T484" s="5"/>
      <c r="U484" s="5"/>
      <c r="V484" s="5"/>
      <c r="W484" s="5">
        <v>21.52</v>
      </c>
      <c r="X484" s="5">
        <v>1</v>
      </c>
      <c r="Y484" s="5">
        <v>21.52</v>
      </c>
      <c r="Z484" s="5">
        <v>742.67</v>
      </c>
      <c r="AA484" s="5">
        <v>1</v>
      </c>
      <c r="AB484" s="5">
        <v>742.67</v>
      </c>
    </row>
    <row r="485" spans="1:28" x14ac:dyDescent="0.2">
      <c r="A485" s="5">
        <v>50</v>
      </c>
      <c r="B485" s="5">
        <v>0</v>
      </c>
      <c r="C485" s="5">
        <v>0</v>
      </c>
      <c r="D485" s="5">
        <v>1</v>
      </c>
      <c r="E485" s="5">
        <v>205</v>
      </c>
      <c r="F485" s="5">
        <f>ROUND(Source!S470,O485)</f>
        <v>388.13</v>
      </c>
      <c r="G485" s="5" t="s">
        <v>132</v>
      </c>
      <c r="H485" s="5" t="s">
        <v>133</v>
      </c>
      <c r="I485" s="5"/>
      <c r="J485" s="5"/>
      <c r="K485" s="5">
        <v>205</v>
      </c>
      <c r="L485" s="5">
        <v>14</v>
      </c>
      <c r="M485" s="5">
        <v>3</v>
      </c>
      <c r="N485" s="5" t="s">
        <v>3</v>
      </c>
      <c r="O485" s="5">
        <v>2</v>
      </c>
      <c r="P485" s="5">
        <f>ROUND(Source!DK470,O485)</f>
        <v>13394.38</v>
      </c>
      <c r="Q485" s="5"/>
      <c r="R485" s="5"/>
      <c r="S485" s="5"/>
      <c r="T485" s="5"/>
      <c r="U485" s="5"/>
      <c r="V485" s="5"/>
      <c r="W485" s="5">
        <v>388.13</v>
      </c>
      <c r="X485" s="5">
        <v>1</v>
      </c>
      <c r="Y485" s="5">
        <v>388.13</v>
      </c>
      <c r="Z485" s="5">
        <v>13394.38</v>
      </c>
      <c r="AA485" s="5">
        <v>1</v>
      </c>
      <c r="AB485" s="5">
        <v>13394.38</v>
      </c>
    </row>
    <row r="486" spans="1:28" x14ac:dyDescent="0.2">
      <c r="A486" s="5">
        <v>50</v>
      </c>
      <c r="B486" s="5">
        <v>0</v>
      </c>
      <c r="C486" s="5">
        <v>0</v>
      </c>
      <c r="D486" s="5">
        <v>1</v>
      </c>
      <c r="E486" s="5">
        <v>232</v>
      </c>
      <c r="F486" s="5">
        <f>ROUND(Source!BC470,O486)</f>
        <v>0</v>
      </c>
      <c r="G486" s="5" t="s">
        <v>134</v>
      </c>
      <c r="H486" s="5" t="s">
        <v>135</v>
      </c>
      <c r="I486" s="5"/>
      <c r="J486" s="5"/>
      <c r="K486" s="5">
        <v>232</v>
      </c>
      <c r="L486" s="5">
        <v>15</v>
      </c>
      <c r="M486" s="5">
        <v>3</v>
      </c>
      <c r="N486" s="5" t="s">
        <v>3</v>
      </c>
      <c r="O486" s="5">
        <v>2</v>
      </c>
      <c r="P486" s="5">
        <f>ROUND(Source!EU470,O486)</f>
        <v>0</v>
      </c>
      <c r="Q486" s="5"/>
      <c r="R486" s="5"/>
      <c r="S486" s="5"/>
      <c r="T486" s="5"/>
      <c r="U486" s="5"/>
      <c r="V486" s="5"/>
      <c r="W486" s="5">
        <v>0</v>
      </c>
      <c r="X486" s="5">
        <v>1</v>
      </c>
      <c r="Y486" s="5">
        <v>0</v>
      </c>
      <c r="Z486" s="5">
        <v>0</v>
      </c>
      <c r="AA486" s="5">
        <v>1</v>
      </c>
      <c r="AB486" s="5">
        <v>0</v>
      </c>
    </row>
    <row r="487" spans="1:28" x14ac:dyDescent="0.2">
      <c r="A487" s="5">
        <v>50</v>
      </c>
      <c r="B487" s="5">
        <v>0</v>
      </c>
      <c r="C487" s="5">
        <v>0</v>
      </c>
      <c r="D487" s="5">
        <v>1</v>
      </c>
      <c r="E487" s="5">
        <v>214</v>
      </c>
      <c r="F487" s="5">
        <f>ROUND(Source!AS470,O487)</f>
        <v>2201.37</v>
      </c>
      <c r="G487" s="5" t="s">
        <v>136</v>
      </c>
      <c r="H487" s="5" t="s">
        <v>137</v>
      </c>
      <c r="I487" s="5"/>
      <c r="J487" s="5"/>
      <c r="K487" s="5">
        <v>214</v>
      </c>
      <c r="L487" s="5">
        <v>16</v>
      </c>
      <c r="M487" s="5">
        <v>3</v>
      </c>
      <c r="N487" s="5" t="s">
        <v>3</v>
      </c>
      <c r="O487" s="5">
        <v>2</v>
      </c>
      <c r="P487" s="5">
        <f>ROUND(Source!EK470,O487)</f>
        <v>27809.02</v>
      </c>
      <c r="Q487" s="5"/>
      <c r="R487" s="5"/>
      <c r="S487" s="5"/>
      <c r="T487" s="5"/>
      <c r="U487" s="5"/>
      <c r="V487" s="5"/>
      <c r="W487" s="5">
        <v>2201.37</v>
      </c>
      <c r="X487" s="5">
        <v>1</v>
      </c>
      <c r="Y487" s="5">
        <v>2201.37</v>
      </c>
      <c r="Z487" s="5">
        <v>27809.02</v>
      </c>
      <c r="AA487" s="5">
        <v>1</v>
      </c>
      <c r="AB487" s="5">
        <v>27809.02</v>
      </c>
    </row>
    <row r="488" spans="1:28" x14ac:dyDescent="0.2">
      <c r="A488" s="5">
        <v>50</v>
      </c>
      <c r="B488" s="5">
        <v>0</v>
      </c>
      <c r="C488" s="5">
        <v>0</v>
      </c>
      <c r="D488" s="5">
        <v>1</v>
      </c>
      <c r="E488" s="5">
        <v>215</v>
      </c>
      <c r="F488" s="5">
        <f>ROUND(Source!AT470,O488)</f>
        <v>5291.61</v>
      </c>
      <c r="G488" s="5" t="s">
        <v>138</v>
      </c>
      <c r="H488" s="5" t="s">
        <v>139</v>
      </c>
      <c r="I488" s="5"/>
      <c r="J488" s="5"/>
      <c r="K488" s="5">
        <v>215</v>
      </c>
      <c r="L488" s="5">
        <v>17</v>
      </c>
      <c r="M488" s="5">
        <v>3</v>
      </c>
      <c r="N488" s="5" t="s">
        <v>3</v>
      </c>
      <c r="O488" s="5">
        <v>2</v>
      </c>
      <c r="P488" s="5">
        <f>ROUND(Source!EL470,O488)</f>
        <v>52840.53</v>
      </c>
      <c r="Q488" s="5"/>
      <c r="R488" s="5"/>
      <c r="S488" s="5"/>
      <c r="T488" s="5"/>
      <c r="U488" s="5"/>
      <c r="V488" s="5"/>
      <c r="W488" s="5">
        <v>5291.61</v>
      </c>
      <c r="X488" s="5">
        <v>1</v>
      </c>
      <c r="Y488" s="5">
        <v>5291.61</v>
      </c>
      <c r="Z488" s="5">
        <v>52840.53</v>
      </c>
      <c r="AA488" s="5">
        <v>1</v>
      </c>
      <c r="AB488" s="5">
        <v>52840.53</v>
      </c>
    </row>
    <row r="489" spans="1:28" x14ac:dyDescent="0.2">
      <c r="A489" s="5">
        <v>50</v>
      </c>
      <c r="B489" s="5">
        <v>0</v>
      </c>
      <c r="C489" s="5">
        <v>0</v>
      </c>
      <c r="D489" s="5">
        <v>1</v>
      </c>
      <c r="E489" s="5">
        <v>217</v>
      </c>
      <c r="F489" s="5">
        <f>ROUND(Source!AU470,O489)</f>
        <v>0</v>
      </c>
      <c r="G489" s="5" t="s">
        <v>140</v>
      </c>
      <c r="H489" s="5" t="s">
        <v>141</v>
      </c>
      <c r="I489" s="5"/>
      <c r="J489" s="5"/>
      <c r="K489" s="5">
        <v>217</v>
      </c>
      <c r="L489" s="5">
        <v>18</v>
      </c>
      <c r="M489" s="5">
        <v>3</v>
      </c>
      <c r="N489" s="5" t="s">
        <v>3</v>
      </c>
      <c r="O489" s="5">
        <v>2</v>
      </c>
      <c r="P489" s="5">
        <f>ROUND(Source!EM470,O489)</f>
        <v>0</v>
      </c>
      <c r="Q489" s="5"/>
      <c r="R489" s="5"/>
      <c r="S489" s="5"/>
      <c r="T489" s="5"/>
      <c r="U489" s="5"/>
      <c r="V489" s="5"/>
      <c r="W489" s="5">
        <v>0</v>
      </c>
      <c r="X489" s="5">
        <v>1</v>
      </c>
      <c r="Y489" s="5">
        <v>0</v>
      </c>
      <c r="Z489" s="5">
        <v>0</v>
      </c>
      <c r="AA489" s="5">
        <v>1</v>
      </c>
      <c r="AB489" s="5">
        <v>0</v>
      </c>
    </row>
    <row r="490" spans="1:28" x14ac:dyDescent="0.2">
      <c r="A490" s="5">
        <v>50</v>
      </c>
      <c r="B490" s="5">
        <v>0</v>
      </c>
      <c r="C490" s="5">
        <v>0</v>
      </c>
      <c r="D490" s="5">
        <v>1</v>
      </c>
      <c r="E490" s="5">
        <v>230</v>
      </c>
      <c r="F490" s="5">
        <f>ROUND(Source!BA470,O490)</f>
        <v>0</v>
      </c>
      <c r="G490" s="5" t="s">
        <v>142</v>
      </c>
      <c r="H490" s="5" t="s">
        <v>143</v>
      </c>
      <c r="I490" s="5"/>
      <c r="J490" s="5"/>
      <c r="K490" s="5">
        <v>230</v>
      </c>
      <c r="L490" s="5">
        <v>19</v>
      </c>
      <c r="M490" s="5">
        <v>3</v>
      </c>
      <c r="N490" s="5" t="s">
        <v>3</v>
      </c>
      <c r="O490" s="5">
        <v>2</v>
      </c>
      <c r="P490" s="5">
        <f>ROUND(Source!ES470,O490)</f>
        <v>0</v>
      </c>
      <c r="Q490" s="5"/>
      <c r="R490" s="5"/>
      <c r="S490" s="5"/>
      <c r="T490" s="5"/>
      <c r="U490" s="5"/>
      <c r="V490" s="5"/>
      <c r="W490" s="5">
        <v>0</v>
      </c>
      <c r="X490" s="5">
        <v>1</v>
      </c>
      <c r="Y490" s="5">
        <v>0</v>
      </c>
      <c r="Z490" s="5">
        <v>0</v>
      </c>
      <c r="AA490" s="5">
        <v>1</v>
      </c>
      <c r="AB490" s="5">
        <v>0</v>
      </c>
    </row>
    <row r="491" spans="1:28" x14ac:dyDescent="0.2">
      <c r="A491" s="5">
        <v>50</v>
      </c>
      <c r="B491" s="5">
        <v>0</v>
      </c>
      <c r="C491" s="5">
        <v>0</v>
      </c>
      <c r="D491" s="5">
        <v>1</v>
      </c>
      <c r="E491" s="5">
        <v>206</v>
      </c>
      <c r="F491" s="5">
        <f>ROUND(Source!T470,O491)</f>
        <v>0</v>
      </c>
      <c r="G491" s="5" t="s">
        <v>144</v>
      </c>
      <c r="H491" s="5" t="s">
        <v>145</v>
      </c>
      <c r="I491" s="5"/>
      <c r="J491" s="5"/>
      <c r="K491" s="5">
        <v>206</v>
      </c>
      <c r="L491" s="5">
        <v>20</v>
      </c>
      <c r="M491" s="5">
        <v>3</v>
      </c>
      <c r="N491" s="5" t="s">
        <v>3</v>
      </c>
      <c r="O491" s="5">
        <v>2</v>
      </c>
      <c r="P491" s="5">
        <f>ROUND(Source!DL470,O491)</f>
        <v>0</v>
      </c>
      <c r="Q491" s="5"/>
      <c r="R491" s="5"/>
      <c r="S491" s="5"/>
      <c r="T491" s="5"/>
      <c r="U491" s="5"/>
      <c r="V491" s="5"/>
      <c r="W491" s="5">
        <v>0</v>
      </c>
      <c r="X491" s="5">
        <v>1</v>
      </c>
      <c r="Y491" s="5">
        <v>0</v>
      </c>
      <c r="Z491" s="5">
        <v>0</v>
      </c>
      <c r="AA491" s="5">
        <v>1</v>
      </c>
      <c r="AB491" s="5">
        <v>0</v>
      </c>
    </row>
    <row r="492" spans="1:28" x14ac:dyDescent="0.2">
      <c r="A492" s="5">
        <v>50</v>
      </c>
      <c r="B492" s="5">
        <v>0</v>
      </c>
      <c r="C492" s="5">
        <v>0</v>
      </c>
      <c r="D492" s="5">
        <v>1</v>
      </c>
      <c r="E492" s="5">
        <v>207</v>
      </c>
      <c r="F492" s="5">
        <f>Source!U470</f>
        <v>30.849684533800005</v>
      </c>
      <c r="G492" s="5" t="s">
        <v>146</v>
      </c>
      <c r="H492" s="5" t="s">
        <v>147</v>
      </c>
      <c r="I492" s="5"/>
      <c r="J492" s="5"/>
      <c r="K492" s="5">
        <v>207</v>
      </c>
      <c r="L492" s="5">
        <v>21</v>
      </c>
      <c r="M492" s="5">
        <v>3</v>
      </c>
      <c r="N492" s="5" t="s">
        <v>3</v>
      </c>
      <c r="O492" s="5">
        <v>-1</v>
      </c>
      <c r="P492" s="5">
        <f>Source!DM470</f>
        <v>30.849684533800005</v>
      </c>
      <c r="Q492" s="5"/>
      <c r="R492" s="5"/>
      <c r="S492" s="5"/>
      <c r="T492" s="5"/>
      <c r="U492" s="5"/>
      <c r="V492" s="5"/>
      <c r="W492" s="5">
        <v>30.849684533799998</v>
      </c>
      <c r="X492" s="5">
        <v>1</v>
      </c>
      <c r="Y492" s="5">
        <v>30.849684533799998</v>
      </c>
      <c r="Z492" s="5">
        <v>30.849684533799998</v>
      </c>
      <c r="AA492" s="5">
        <v>1</v>
      </c>
      <c r="AB492" s="5">
        <v>30.849684533799998</v>
      </c>
    </row>
    <row r="493" spans="1:28" x14ac:dyDescent="0.2">
      <c r="A493" s="5">
        <v>50</v>
      </c>
      <c r="B493" s="5">
        <v>0</v>
      </c>
      <c r="C493" s="5">
        <v>0</v>
      </c>
      <c r="D493" s="5">
        <v>1</v>
      </c>
      <c r="E493" s="5">
        <v>208</v>
      </c>
      <c r="F493" s="5">
        <f>Source!V470</f>
        <v>0</v>
      </c>
      <c r="G493" s="5" t="s">
        <v>148</v>
      </c>
      <c r="H493" s="5" t="s">
        <v>149</v>
      </c>
      <c r="I493" s="5"/>
      <c r="J493" s="5"/>
      <c r="K493" s="5">
        <v>208</v>
      </c>
      <c r="L493" s="5">
        <v>22</v>
      </c>
      <c r="M493" s="5">
        <v>3</v>
      </c>
      <c r="N493" s="5" t="s">
        <v>3</v>
      </c>
      <c r="O493" s="5">
        <v>-1</v>
      </c>
      <c r="P493" s="5">
        <f>Source!DN470</f>
        <v>0</v>
      </c>
      <c r="Q493" s="5"/>
      <c r="R493" s="5"/>
      <c r="S493" s="5"/>
      <c r="T493" s="5"/>
      <c r="U493" s="5"/>
      <c r="V493" s="5"/>
      <c r="W493" s="5">
        <v>0</v>
      </c>
      <c r="X493" s="5">
        <v>1</v>
      </c>
      <c r="Y493" s="5">
        <v>0</v>
      </c>
      <c r="Z493" s="5">
        <v>0</v>
      </c>
      <c r="AA493" s="5">
        <v>1</v>
      </c>
      <c r="AB493" s="5">
        <v>0</v>
      </c>
    </row>
    <row r="494" spans="1:28" x14ac:dyDescent="0.2">
      <c r="A494" s="5">
        <v>50</v>
      </c>
      <c r="B494" s="5">
        <v>0</v>
      </c>
      <c r="C494" s="5">
        <v>0</v>
      </c>
      <c r="D494" s="5">
        <v>1</v>
      </c>
      <c r="E494" s="5">
        <v>209</v>
      </c>
      <c r="F494" s="5">
        <f>ROUND(Source!W470,O494)</f>
        <v>0</v>
      </c>
      <c r="G494" s="5" t="s">
        <v>150</v>
      </c>
      <c r="H494" s="5" t="s">
        <v>151</v>
      </c>
      <c r="I494" s="5"/>
      <c r="J494" s="5"/>
      <c r="K494" s="5">
        <v>209</v>
      </c>
      <c r="L494" s="5">
        <v>23</v>
      </c>
      <c r="M494" s="5">
        <v>3</v>
      </c>
      <c r="N494" s="5" t="s">
        <v>3</v>
      </c>
      <c r="O494" s="5">
        <v>2</v>
      </c>
      <c r="P494" s="5">
        <f>ROUND(Source!DO470,O494)</f>
        <v>0</v>
      </c>
      <c r="Q494" s="5"/>
      <c r="R494" s="5"/>
      <c r="S494" s="5"/>
      <c r="T494" s="5"/>
      <c r="U494" s="5"/>
      <c r="V494" s="5"/>
      <c r="W494" s="5">
        <v>0</v>
      </c>
      <c r="X494" s="5">
        <v>1</v>
      </c>
      <c r="Y494" s="5">
        <v>0</v>
      </c>
      <c r="Z494" s="5">
        <v>0</v>
      </c>
      <c r="AA494" s="5">
        <v>1</v>
      </c>
      <c r="AB494" s="5">
        <v>0</v>
      </c>
    </row>
    <row r="495" spans="1:28" x14ac:dyDescent="0.2">
      <c r="A495" s="5">
        <v>50</v>
      </c>
      <c r="B495" s="5">
        <v>0</v>
      </c>
      <c r="C495" s="5">
        <v>0</v>
      </c>
      <c r="D495" s="5">
        <v>1</v>
      </c>
      <c r="E495" s="5">
        <v>233</v>
      </c>
      <c r="F495" s="5">
        <f>ROUND(Source!BD470,O495)</f>
        <v>0</v>
      </c>
      <c r="G495" s="5" t="s">
        <v>152</v>
      </c>
      <c r="H495" s="5" t="s">
        <v>153</v>
      </c>
      <c r="I495" s="5"/>
      <c r="J495" s="5"/>
      <c r="K495" s="5">
        <v>233</v>
      </c>
      <c r="L495" s="5">
        <v>24</v>
      </c>
      <c r="M495" s="5">
        <v>3</v>
      </c>
      <c r="N495" s="5" t="s">
        <v>3</v>
      </c>
      <c r="O495" s="5">
        <v>2</v>
      </c>
      <c r="P495" s="5">
        <f>ROUND(Source!EV470,O495)</f>
        <v>0</v>
      </c>
      <c r="Q495" s="5"/>
      <c r="R495" s="5"/>
      <c r="S495" s="5"/>
      <c r="T495" s="5"/>
      <c r="U495" s="5"/>
      <c r="V495" s="5"/>
      <c r="W495" s="5">
        <v>0</v>
      </c>
      <c r="X495" s="5">
        <v>1</v>
      </c>
      <c r="Y495" s="5">
        <v>0</v>
      </c>
      <c r="Z495" s="5">
        <v>0</v>
      </c>
      <c r="AA495" s="5">
        <v>1</v>
      </c>
      <c r="AB495" s="5">
        <v>0</v>
      </c>
    </row>
    <row r="496" spans="1:28" x14ac:dyDescent="0.2">
      <c r="A496" s="5">
        <v>50</v>
      </c>
      <c r="B496" s="5">
        <v>0</v>
      </c>
      <c r="C496" s="5">
        <v>0</v>
      </c>
      <c r="D496" s="5">
        <v>1</v>
      </c>
      <c r="E496" s="5">
        <v>210</v>
      </c>
      <c r="F496" s="5">
        <f>ROUND(Source!X470,O496)</f>
        <v>454.35</v>
      </c>
      <c r="G496" s="5" t="s">
        <v>154</v>
      </c>
      <c r="H496" s="5" t="s">
        <v>155</v>
      </c>
      <c r="I496" s="5"/>
      <c r="J496" s="5"/>
      <c r="K496" s="5">
        <v>210</v>
      </c>
      <c r="L496" s="5">
        <v>25</v>
      </c>
      <c r="M496" s="5">
        <v>3</v>
      </c>
      <c r="N496" s="5" t="s">
        <v>3</v>
      </c>
      <c r="O496" s="5">
        <v>2</v>
      </c>
      <c r="P496" s="5">
        <f>ROUND(Source!DP470,O496)</f>
        <v>12471.38</v>
      </c>
      <c r="Q496" s="5"/>
      <c r="R496" s="5"/>
      <c r="S496" s="5"/>
      <c r="T496" s="5"/>
      <c r="U496" s="5"/>
      <c r="V496" s="5"/>
      <c r="W496" s="5">
        <v>454.35</v>
      </c>
      <c r="X496" s="5">
        <v>1</v>
      </c>
      <c r="Y496" s="5">
        <v>454.35</v>
      </c>
      <c r="Z496" s="5">
        <v>12471.38</v>
      </c>
      <c r="AA496" s="5">
        <v>1</v>
      </c>
      <c r="AB496" s="5">
        <v>12471.38</v>
      </c>
    </row>
    <row r="497" spans="1:50" x14ac:dyDescent="0.2">
      <c r="A497" s="5">
        <v>50</v>
      </c>
      <c r="B497" s="5">
        <v>0</v>
      </c>
      <c r="C497" s="5">
        <v>0</v>
      </c>
      <c r="D497" s="5">
        <v>1</v>
      </c>
      <c r="E497" s="5">
        <v>211</v>
      </c>
      <c r="F497" s="5">
        <f>ROUND(Source!Y470,O497)</f>
        <v>284.26</v>
      </c>
      <c r="G497" s="5" t="s">
        <v>156</v>
      </c>
      <c r="H497" s="5" t="s">
        <v>157</v>
      </c>
      <c r="I497" s="5"/>
      <c r="J497" s="5"/>
      <c r="K497" s="5">
        <v>211</v>
      </c>
      <c r="L497" s="5">
        <v>26</v>
      </c>
      <c r="M497" s="5">
        <v>3</v>
      </c>
      <c r="N497" s="5" t="s">
        <v>3</v>
      </c>
      <c r="O497" s="5">
        <v>2</v>
      </c>
      <c r="P497" s="5">
        <f>ROUND(Source!DQ470,O497)</f>
        <v>5807.76</v>
      </c>
      <c r="Q497" s="5"/>
      <c r="R497" s="5"/>
      <c r="S497" s="5"/>
      <c r="T497" s="5"/>
      <c r="U497" s="5"/>
      <c r="V497" s="5"/>
      <c r="W497" s="5">
        <v>284.26</v>
      </c>
      <c r="X497" s="5">
        <v>1</v>
      </c>
      <c r="Y497" s="5">
        <v>284.26</v>
      </c>
      <c r="Z497" s="5">
        <v>5807.76</v>
      </c>
      <c r="AA497" s="5">
        <v>1</v>
      </c>
      <c r="AB497" s="5">
        <v>5807.76</v>
      </c>
    </row>
    <row r="498" spans="1:50" x14ac:dyDescent="0.2">
      <c r="A498" s="5">
        <v>50</v>
      </c>
      <c r="B498" s="5">
        <v>0</v>
      </c>
      <c r="C498" s="5">
        <v>0</v>
      </c>
      <c r="D498" s="5">
        <v>1</v>
      </c>
      <c r="E498" s="5">
        <v>224</v>
      </c>
      <c r="F498" s="5">
        <f>ROUND(Source!AR470,O498)</f>
        <v>7492.98</v>
      </c>
      <c r="G498" s="5" t="s">
        <v>158</v>
      </c>
      <c r="H498" s="5" t="s">
        <v>159</v>
      </c>
      <c r="I498" s="5"/>
      <c r="J498" s="5"/>
      <c r="K498" s="5">
        <v>224</v>
      </c>
      <c r="L498" s="5">
        <v>27</v>
      </c>
      <c r="M498" s="5">
        <v>3</v>
      </c>
      <c r="N498" s="5" t="s">
        <v>3</v>
      </c>
      <c r="O498" s="5">
        <v>2</v>
      </c>
      <c r="P498" s="5">
        <f>ROUND(Source!EJ470,O498)</f>
        <v>80649.55</v>
      </c>
      <c r="Q498" s="5"/>
      <c r="R498" s="5"/>
      <c r="S498" s="5"/>
      <c r="T498" s="5"/>
      <c r="U498" s="5"/>
      <c r="V498" s="5"/>
      <c r="W498" s="5">
        <v>7492.98</v>
      </c>
      <c r="X498" s="5">
        <v>1</v>
      </c>
      <c r="Y498" s="5">
        <v>7492.98</v>
      </c>
      <c r="Z498" s="5">
        <v>80649.55</v>
      </c>
      <c r="AA498" s="5">
        <v>1</v>
      </c>
      <c r="AB498" s="5">
        <v>80649.55</v>
      </c>
    </row>
    <row r="501" spans="1:50" x14ac:dyDescent="0.2">
      <c r="A501">
        <v>70</v>
      </c>
      <c r="B501">
        <v>1</v>
      </c>
      <c r="D501">
        <v>1</v>
      </c>
      <c r="E501" t="s">
        <v>430</v>
      </c>
      <c r="F501" t="s">
        <v>431</v>
      </c>
      <c r="G501">
        <v>0</v>
      </c>
      <c r="H501">
        <v>0</v>
      </c>
      <c r="I501" t="s">
        <v>3</v>
      </c>
      <c r="J501">
        <v>0</v>
      </c>
      <c r="K501">
        <v>0</v>
      </c>
      <c r="L501" t="s">
        <v>3</v>
      </c>
      <c r="M501" t="s">
        <v>3</v>
      </c>
      <c r="N501">
        <v>0</v>
      </c>
      <c r="O501">
        <v>0</v>
      </c>
      <c r="P501" t="s">
        <v>3</v>
      </c>
    </row>
    <row r="503" spans="1:50" x14ac:dyDescent="0.2">
      <c r="A503">
        <v>-1</v>
      </c>
    </row>
    <row r="505" spans="1:50" x14ac:dyDescent="0.2">
      <c r="A505" s="4">
        <v>75</v>
      </c>
      <c r="B505" s="4" t="s">
        <v>432</v>
      </c>
      <c r="C505" s="4">
        <v>2000</v>
      </c>
      <c r="D505" s="4">
        <v>0</v>
      </c>
      <c r="E505" s="4">
        <v>1</v>
      </c>
      <c r="F505" s="4"/>
      <c r="G505" s="4">
        <v>0</v>
      </c>
      <c r="H505" s="4">
        <v>1</v>
      </c>
      <c r="I505" s="4">
        <v>0</v>
      </c>
      <c r="J505" s="4">
        <v>1</v>
      </c>
      <c r="K505" s="4">
        <v>98</v>
      </c>
      <c r="L505" s="4">
        <v>77</v>
      </c>
      <c r="M505" s="4">
        <v>0</v>
      </c>
      <c r="N505" s="4">
        <v>56622523</v>
      </c>
      <c r="O505" s="4">
        <v>1</v>
      </c>
    </row>
    <row r="506" spans="1:50" x14ac:dyDescent="0.2">
      <c r="A506" s="4">
        <v>75</v>
      </c>
      <c r="B506" s="4" t="s">
        <v>433</v>
      </c>
      <c r="C506" s="4">
        <v>2024</v>
      </c>
      <c r="D506" s="4">
        <v>0</v>
      </c>
      <c r="E506" s="4">
        <v>2</v>
      </c>
      <c r="F506" s="4"/>
      <c r="G506" s="4">
        <v>0</v>
      </c>
      <c r="H506" s="4">
        <v>2</v>
      </c>
      <c r="I506" s="4">
        <v>1</v>
      </c>
      <c r="J506" s="4">
        <v>1</v>
      </c>
      <c r="K506" s="4">
        <v>95</v>
      </c>
      <c r="L506" s="4">
        <v>65</v>
      </c>
      <c r="M506" s="4">
        <v>1</v>
      </c>
      <c r="N506" s="4">
        <v>56611490</v>
      </c>
      <c r="O506" s="4">
        <v>2</v>
      </c>
    </row>
    <row r="507" spans="1:50" x14ac:dyDescent="0.2">
      <c r="A507" s="6">
        <v>1</v>
      </c>
      <c r="B507" s="6" t="s">
        <v>434</v>
      </c>
      <c r="C507" s="6" t="s">
        <v>435</v>
      </c>
      <c r="D507" s="6">
        <v>2024</v>
      </c>
      <c r="E507" s="6">
        <v>7</v>
      </c>
      <c r="F507" s="6">
        <v>1</v>
      </c>
      <c r="G507" s="6">
        <v>1</v>
      </c>
      <c r="H507" s="6">
        <v>0</v>
      </c>
      <c r="I507" s="6">
        <v>2</v>
      </c>
      <c r="J507" s="6">
        <v>1</v>
      </c>
      <c r="K507" s="6">
        <v>1</v>
      </c>
      <c r="L507" s="6">
        <v>1</v>
      </c>
      <c r="M507" s="6">
        <v>1</v>
      </c>
      <c r="N507" s="6">
        <v>1</v>
      </c>
      <c r="O507" s="6">
        <v>1</v>
      </c>
      <c r="P507" s="6">
        <v>1</v>
      </c>
      <c r="Q507" s="6">
        <v>1</v>
      </c>
      <c r="R507" s="6" t="s">
        <v>3</v>
      </c>
      <c r="S507" s="6" t="s">
        <v>3</v>
      </c>
      <c r="T507" s="6" t="s">
        <v>3</v>
      </c>
      <c r="U507" s="6" t="s">
        <v>3</v>
      </c>
      <c r="V507" s="6" t="s">
        <v>3</v>
      </c>
      <c r="W507" s="6" t="s">
        <v>3</v>
      </c>
      <c r="X507" s="6" t="s">
        <v>3</v>
      </c>
      <c r="Y507" s="6" t="s">
        <v>3</v>
      </c>
      <c r="Z507" s="6" t="s">
        <v>3</v>
      </c>
      <c r="AA507" s="6" t="s">
        <v>436</v>
      </c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>
        <v>56611491</v>
      </c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11" spans="1:50" x14ac:dyDescent="0.2">
      <c r="A511">
        <v>65</v>
      </c>
      <c r="C511">
        <v>1</v>
      </c>
      <c r="D511">
        <v>0</v>
      </c>
      <c r="E511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9F90-ED5A-4EC2-95A1-8D92F73CC653}">
  <dimension ref="A1:EC53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437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33" x14ac:dyDescent="0.2">
      <c r="A12" s="1">
        <v>1</v>
      </c>
      <c r="B12" s="1">
        <v>51</v>
      </c>
      <c r="C12" s="1">
        <v>1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2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78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56622523</v>
      </c>
      <c r="E14" s="1">
        <v>56611490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13</v>
      </c>
      <c r="D16" s="7" t="s">
        <v>14</v>
      </c>
      <c r="E16" s="8">
        <f>ROUND((Source!F457)/1000,2)</f>
        <v>2.2000000000000002</v>
      </c>
      <c r="F16" s="8">
        <f>ROUND((Source!F458)/1000,2)</f>
        <v>5.29</v>
      </c>
      <c r="G16" s="8">
        <f>ROUND((Source!F449)/1000,2)</f>
        <v>0</v>
      </c>
      <c r="H16" s="8">
        <f>ROUND((Source!F459)/1000+(Source!F460)/1000,2)</f>
        <v>0</v>
      </c>
      <c r="I16" s="8">
        <f>E16+F16+G16+H16</f>
        <v>7.49</v>
      </c>
      <c r="J16" s="8">
        <f>ROUND((Source!F455+Source!F454)/1000,2)</f>
        <v>0.41</v>
      </c>
      <c r="K16" s="8">
        <v>12.84</v>
      </c>
      <c r="L16" s="8">
        <v>0</v>
      </c>
      <c r="M16" s="8">
        <v>0</v>
      </c>
      <c r="N16" s="8">
        <f>I16+L16+M16</f>
        <v>7.49</v>
      </c>
      <c r="T16" s="9">
        <f>ROUND((Source!P457)/1000,2)</f>
        <v>27.81</v>
      </c>
      <c r="U16" s="9">
        <f>ROUND((Source!P458)/1000,2)</f>
        <v>52.84</v>
      </c>
      <c r="V16" s="9">
        <f>ROUND((Source!P449)/1000,2)</f>
        <v>0</v>
      </c>
      <c r="W16" s="9">
        <f>ROUND((Source!P459)/1000+(Source!P460)/1000,2)</f>
        <v>0</v>
      </c>
      <c r="X16" s="9">
        <f>T16+U16+V16+W16</f>
        <v>80.650000000000006</v>
      </c>
      <c r="Y16" s="9">
        <f>ROUND((Source!P455+Source!P454)/1000,2)</f>
        <v>14.14</v>
      </c>
      <c r="Z16" s="9">
        <v>106.76</v>
      </c>
      <c r="AA16" s="9">
        <v>0</v>
      </c>
      <c r="AB16" s="9">
        <v>0</v>
      </c>
      <c r="AC16" s="9">
        <f>X16+AA16+AB16</f>
        <v>80.650000000000006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6716.69</v>
      </c>
      <c r="AU16" s="8">
        <v>6119.78</v>
      </c>
      <c r="AV16" s="8">
        <v>0</v>
      </c>
      <c r="AW16" s="8">
        <v>0</v>
      </c>
      <c r="AX16" s="8">
        <v>0</v>
      </c>
      <c r="AY16" s="8">
        <v>208.78</v>
      </c>
      <c r="AZ16" s="8">
        <v>21.52</v>
      </c>
      <c r="BA16" s="8">
        <v>388.13</v>
      </c>
      <c r="BB16" s="8">
        <v>2201.37</v>
      </c>
      <c r="BC16" s="8">
        <v>5291.61</v>
      </c>
      <c r="BD16" s="8">
        <v>0</v>
      </c>
      <c r="BE16" s="8">
        <v>0</v>
      </c>
      <c r="BF16" s="8">
        <v>30.849684533799998</v>
      </c>
      <c r="BG16" s="8">
        <v>0</v>
      </c>
      <c r="BH16" s="8">
        <v>0</v>
      </c>
      <c r="BI16" s="8">
        <v>454.35</v>
      </c>
      <c r="BJ16" s="8">
        <v>284.26</v>
      </c>
      <c r="BK16" s="8">
        <v>7492.98</v>
      </c>
      <c r="BR16" s="9">
        <v>61182.12</v>
      </c>
      <c r="BS16" s="9">
        <v>45580.11</v>
      </c>
      <c r="BT16" s="9">
        <v>0</v>
      </c>
      <c r="BU16" s="9">
        <v>0</v>
      </c>
      <c r="BV16" s="9">
        <v>0</v>
      </c>
      <c r="BW16" s="9">
        <v>2207.63</v>
      </c>
      <c r="BX16" s="9">
        <v>742.67</v>
      </c>
      <c r="BY16" s="9">
        <v>13394.38</v>
      </c>
      <c r="BZ16" s="9">
        <v>27809.02</v>
      </c>
      <c r="CA16" s="9">
        <v>52840.53</v>
      </c>
      <c r="CB16" s="9">
        <v>0</v>
      </c>
      <c r="CC16" s="9">
        <v>0</v>
      </c>
      <c r="CD16" s="9">
        <v>30.849684533799998</v>
      </c>
      <c r="CE16" s="9">
        <v>0</v>
      </c>
      <c r="CF16" s="9">
        <v>0</v>
      </c>
      <c r="CG16" s="9">
        <v>12471.38</v>
      </c>
      <c r="CH16" s="9">
        <v>5807.76</v>
      </c>
      <c r="CI16" s="9">
        <v>80649.55</v>
      </c>
    </row>
    <row r="18" spans="1:29" x14ac:dyDescent="0.2">
      <c r="A18">
        <v>51</v>
      </c>
      <c r="E18">
        <v>2.2000000000000002</v>
      </c>
      <c r="F18">
        <v>5.29</v>
      </c>
      <c r="G18">
        <v>0</v>
      </c>
      <c r="H18">
        <v>0</v>
      </c>
      <c r="I18">
        <v>7.49</v>
      </c>
      <c r="J18">
        <v>0.41</v>
      </c>
      <c r="K18">
        <v>12.84</v>
      </c>
      <c r="L18">
        <v>0</v>
      </c>
      <c r="M18">
        <v>0</v>
      </c>
      <c r="N18">
        <v>7.49</v>
      </c>
      <c r="T18">
        <v>27.81</v>
      </c>
      <c r="U18">
        <v>52.84</v>
      </c>
      <c r="V18">
        <v>0</v>
      </c>
      <c r="W18">
        <v>0</v>
      </c>
      <c r="X18">
        <v>80.650000000000006</v>
      </c>
      <c r="Y18">
        <v>14.14</v>
      </c>
      <c r="Z18">
        <v>106.76</v>
      </c>
      <c r="AA18">
        <v>0</v>
      </c>
      <c r="AB18">
        <v>0</v>
      </c>
      <c r="AC18">
        <v>80.650000000000006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6716.69</v>
      </c>
      <c r="G20" s="5" t="s">
        <v>106</v>
      </c>
      <c r="H20" s="5" t="s">
        <v>107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61182.12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6119.78</v>
      </c>
      <c r="G21" s="5" t="s">
        <v>108</v>
      </c>
      <c r="H21" s="5" t="s">
        <v>109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45580.11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110</v>
      </c>
      <c r="H22" s="5" t="s">
        <v>111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6119.78</v>
      </c>
      <c r="G23" s="5" t="s">
        <v>112</v>
      </c>
      <c r="H23" s="5" t="s">
        <v>113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45580.11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6119.78</v>
      </c>
      <c r="G24" s="5" t="s">
        <v>114</v>
      </c>
      <c r="H24" s="5" t="s">
        <v>115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45580.11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116</v>
      </c>
      <c r="H25" s="5" t="s">
        <v>117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6119.78</v>
      </c>
      <c r="G26" s="5" t="s">
        <v>118</v>
      </c>
      <c r="H26" s="5" t="s">
        <v>119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45580.11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120</v>
      </c>
      <c r="H27" s="5" t="s">
        <v>121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122</v>
      </c>
      <c r="H28" s="5" t="s">
        <v>123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124</v>
      </c>
      <c r="H29" s="5" t="s">
        <v>125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208.78</v>
      </c>
      <c r="G30" s="5" t="s">
        <v>126</v>
      </c>
      <c r="H30" s="5" t="s">
        <v>127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2207.63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128</v>
      </c>
      <c r="H31" s="5" t="s">
        <v>129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21.52</v>
      </c>
      <c r="G32" s="5" t="s">
        <v>130</v>
      </c>
      <c r="H32" s="5" t="s">
        <v>131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742.67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388.13</v>
      </c>
      <c r="G33" s="5" t="s">
        <v>132</v>
      </c>
      <c r="H33" s="5" t="s">
        <v>133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13394.38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134</v>
      </c>
      <c r="H34" s="5" t="s">
        <v>135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2201.37</v>
      </c>
      <c r="G35" s="5" t="s">
        <v>136</v>
      </c>
      <c r="H35" s="5" t="s">
        <v>137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27809.02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5291.61</v>
      </c>
      <c r="G36" s="5" t="s">
        <v>138</v>
      </c>
      <c r="H36" s="5" t="s">
        <v>139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52840.53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140</v>
      </c>
      <c r="H37" s="5" t="s">
        <v>141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142</v>
      </c>
      <c r="H38" s="5" t="s">
        <v>143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144</v>
      </c>
      <c r="H39" s="5" t="s">
        <v>145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30.849684533799998</v>
      </c>
      <c r="G40" s="5" t="s">
        <v>146</v>
      </c>
      <c r="H40" s="5" t="s">
        <v>147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30.849684533799998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148</v>
      </c>
      <c r="H41" s="5" t="s">
        <v>149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150</v>
      </c>
      <c r="H42" s="5" t="s">
        <v>151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152</v>
      </c>
      <c r="H43" s="5" t="s">
        <v>153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454.35</v>
      </c>
      <c r="G44" s="5" t="s">
        <v>154</v>
      </c>
      <c r="H44" s="5" t="s">
        <v>155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12471.38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284.26</v>
      </c>
      <c r="G45" s="5" t="s">
        <v>156</v>
      </c>
      <c r="H45" s="5" t="s">
        <v>157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5807.76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7492.98</v>
      </c>
      <c r="G46" s="5" t="s">
        <v>158</v>
      </c>
      <c r="H46" s="5" t="s">
        <v>159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80649.55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432</v>
      </c>
      <c r="C51" s="4">
        <v>2000</v>
      </c>
      <c r="D51" s="4">
        <v>0</v>
      </c>
      <c r="E51" s="4">
        <v>1</v>
      </c>
      <c r="F51" s="4"/>
      <c r="G51" s="4">
        <v>0</v>
      </c>
      <c r="H51" s="4">
        <v>1</v>
      </c>
      <c r="I51" s="4">
        <v>0</v>
      </c>
      <c r="J51" s="4">
        <v>1</v>
      </c>
      <c r="K51" s="4">
        <v>98</v>
      </c>
      <c r="L51" s="4">
        <v>77</v>
      </c>
      <c r="M51" s="4">
        <v>0</v>
      </c>
      <c r="N51" s="4">
        <v>56622523</v>
      </c>
      <c r="O51" s="4">
        <v>1</v>
      </c>
    </row>
    <row r="52" spans="1:50" x14ac:dyDescent="0.2">
      <c r="A52" s="4">
        <v>75</v>
      </c>
      <c r="B52" s="4" t="s">
        <v>433</v>
      </c>
      <c r="C52" s="4">
        <v>2024</v>
      </c>
      <c r="D52" s="4">
        <v>0</v>
      </c>
      <c r="E52" s="4">
        <v>2</v>
      </c>
      <c r="F52" s="4"/>
      <c r="G52" s="4">
        <v>0</v>
      </c>
      <c r="H52" s="4">
        <v>2</v>
      </c>
      <c r="I52" s="4">
        <v>1</v>
      </c>
      <c r="J52" s="4">
        <v>1</v>
      </c>
      <c r="K52" s="4">
        <v>95</v>
      </c>
      <c r="L52" s="4">
        <v>65</v>
      </c>
      <c r="M52" s="4">
        <v>1</v>
      </c>
      <c r="N52" s="4">
        <v>56611490</v>
      </c>
      <c r="O52" s="4">
        <v>2</v>
      </c>
    </row>
    <row r="53" spans="1:50" x14ac:dyDescent="0.2">
      <c r="A53" s="6">
        <v>1</v>
      </c>
      <c r="B53" s="6" t="s">
        <v>434</v>
      </c>
      <c r="C53" s="6" t="s">
        <v>435</v>
      </c>
      <c r="D53" s="6">
        <v>2024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436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56611491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EE83-AC5C-40B6-B2D2-C627DB5EB23A}">
  <dimension ref="A1:DO20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56622523</v>
      </c>
      <c r="C1">
        <v>56611958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438</v>
      </c>
      <c r="J1" t="s">
        <v>3</v>
      </c>
      <c r="K1" t="s">
        <v>439</v>
      </c>
      <c r="L1">
        <v>1191</v>
      </c>
      <c r="N1">
        <v>1013</v>
      </c>
      <c r="O1" t="s">
        <v>440</v>
      </c>
      <c r="P1" t="s">
        <v>440</v>
      </c>
      <c r="Q1">
        <v>1</v>
      </c>
      <c r="W1">
        <v>0</v>
      </c>
      <c r="X1">
        <v>476480486</v>
      </c>
      <c r="Y1">
        <f t="shared" ref="Y1:Y16" si="0">(AT1*1.1)</f>
        <v>211.97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192.7</v>
      </c>
      <c r="AU1" t="s">
        <v>22</v>
      </c>
      <c r="AV1">
        <v>1</v>
      </c>
      <c r="AW1">
        <v>2</v>
      </c>
      <c r="AX1">
        <v>56611960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1.6660842</v>
      </c>
      <c r="CW1">
        <v>0</v>
      </c>
      <c r="CX1">
        <f>ROUND(Y1*Source!I28,9)</f>
        <v>1.6660842</v>
      </c>
      <c r="CY1">
        <f>AD1</f>
        <v>0</v>
      </c>
      <c r="CZ1">
        <f>AH1</f>
        <v>0</v>
      </c>
      <c r="DA1">
        <f>AL1</f>
        <v>1</v>
      </c>
      <c r="DB1">
        <f t="shared" ref="DB1:DB16" si="1">ROUND((ROUND(AT1*CZ1,2)*1.1),6)</f>
        <v>0</v>
      </c>
      <c r="DC1">
        <f t="shared" ref="DC1:DC16" si="2">ROUND((ROUND(AT1*AG1,2)*1.1),6)</f>
        <v>0</v>
      </c>
      <c r="DD1" t="s">
        <v>3</v>
      </c>
      <c r="DE1" t="s">
        <v>3</v>
      </c>
      <c r="DF1">
        <f t="shared" ref="DF1:DF32" si="3">ROUND(ROUND(AE1,2)*CX1,2)</f>
        <v>0</v>
      </c>
      <c r="DG1">
        <f t="shared" ref="DG1:DG7" si="4">ROUND(ROUND(AF1,2)*CX1,2)</f>
        <v>0</v>
      </c>
      <c r="DH1">
        <f t="shared" ref="DH1:DH7" si="5">ROUND(ROUND(AG1,2)*CX1,2)</f>
        <v>0</v>
      </c>
      <c r="DI1">
        <f t="shared" ref="DI1:DI64" si="6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56611490</v>
      </c>
      <c r="C2">
        <v>56611958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438</v>
      </c>
      <c r="J2" t="s">
        <v>3</v>
      </c>
      <c r="K2" t="s">
        <v>439</v>
      </c>
      <c r="L2">
        <v>1191</v>
      </c>
      <c r="N2">
        <v>1013</v>
      </c>
      <c r="O2" t="s">
        <v>440</v>
      </c>
      <c r="P2" t="s">
        <v>440</v>
      </c>
      <c r="Q2">
        <v>1</v>
      </c>
      <c r="W2">
        <v>0</v>
      </c>
      <c r="X2">
        <v>476480486</v>
      </c>
      <c r="Y2">
        <f t="shared" si="0"/>
        <v>211.97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192.7</v>
      </c>
      <c r="AU2" t="s">
        <v>22</v>
      </c>
      <c r="AV2">
        <v>1</v>
      </c>
      <c r="AW2">
        <v>2</v>
      </c>
      <c r="AX2">
        <v>56611960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1.6660842</v>
      </c>
      <c r="CW2">
        <v>0</v>
      </c>
      <c r="CX2">
        <f>ROUND(Y2*Source!I29,9)</f>
        <v>1.6660842</v>
      </c>
      <c r="CY2">
        <f>AD2</f>
        <v>0</v>
      </c>
      <c r="CZ2">
        <f>AH2</f>
        <v>0</v>
      </c>
      <c r="DA2">
        <f>AL2</f>
        <v>1</v>
      </c>
      <c r="DB2">
        <f t="shared" si="1"/>
        <v>0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 t="shared" si="4"/>
        <v>0</v>
      </c>
      <c r="DH2">
        <f t="shared" si="5"/>
        <v>0</v>
      </c>
      <c r="DI2">
        <f t="shared" si="6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ROW(Source!A30)</f>
        <v>30</v>
      </c>
      <c r="B3">
        <v>56622523</v>
      </c>
      <c r="C3">
        <v>56611961</v>
      </c>
      <c r="D3">
        <v>47634407</v>
      </c>
      <c r="E3">
        <v>27786564</v>
      </c>
      <c r="F3">
        <v>1</v>
      </c>
      <c r="G3">
        <v>27786564</v>
      </c>
      <c r="H3">
        <v>1</v>
      </c>
      <c r="I3" t="s">
        <v>438</v>
      </c>
      <c r="J3" t="s">
        <v>3</v>
      </c>
      <c r="K3" t="s">
        <v>439</v>
      </c>
      <c r="L3">
        <v>1191</v>
      </c>
      <c r="N3">
        <v>1013</v>
      </c>
      <c r="O3" t="s">
        <v>440</v>
      </c>
      <c r="P3" t="s">
        <v>440</v>
      </c>
      <c r="Q3">
        <v>1</v>
      </c>
      <c r="W3">
        <v>0</v>
      </c>
      <c r="X3">
        <v>476480486</v>
      </c>
      <c r="Y3">
        <f t="shared" si="0"/>
        <v>3.2450000000000006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2.95</v>
      </c>
      <c r="AU3" t="s">
        <v>22</v>
      </c>
      <c r="AV3">
        <v>1</v>
      </c>
      <c r="AW3">
        <v>2</v>
      </c>
      <c r="AX3">
        <v>56611966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3.0502999999999999E-2</v>
      </c>
      <c r="CW3">
        <v>0</v>
      </c>
      <c r="CX3">
        <f>ROUND(Y3*Source!I30,9)</f>
        <v>3.0502999999999999E-2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 t="shared" si="4"/>
        <v>0</v>
      </c>
      <c r="DH3">
        <f t="shared" si="5"/>
        <v>0</v>
      </c>
      <c r="DI3">
        <f t="shared" si="6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ROW(Source!A30)</f>
        <v>30</v>
      </c>
      <c r="B4">
        <v>56622523</v>
      </c>
      <c r="C4">
        <v>56611961</v>
      </c>
      <c r="D4">
        <v>47766391</v>
      </c>
      <c r="E4">
        <v>1</v>
      </c>
      <c r="F4">
        <v>1</v>
      </c>
      <c r="G4">
        <v>27786564</v>
      </c>
      <c r="H4">
        <v>2</v>
      </c>
      <c r="I4" t="s">
        <v>441</v>
      </c>
      <c r="J4" t="s">
        <v>442</v>
      </c>
      <c r="K4" t="s">
        <v>443</v>
      </c>
      <c r="L4">
        <v>1368</v>
      </c>
      <c r="N4">
        <v>1011</v>
      </c>
      <c r="O4" t="s">
        <v>444</v>
      </c>
      <c r="P4" t="s">
        <v>444</v>
      </c>
      <c r="Q4">
        <v>1</v>
      </c>
      <c r="W4">
        <v>0</v>
      </c>
      <c r="X4">
        <v>-1037611556</v>
      </c>
      <c r="Y4">
        <f t="shared" si="0"/>
        <v>8.1554000000000002</v>
      </c>
      <c r="AA4">
        <v>0</v>
      </c>
      <c r="AB4">
        <v>147.49</v>
      </c>
      <c r="AC4">
        <v>14.54</v>
      </c>
      <c r="AD4">
        <v>0</v>
      </c>
      <c r="AE4">
        <v>0</v>
      </c>
      <c r="AF4">
        <v>147.49</v>
      </c>
      <c r="AG4">
        <v>14.54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7.4139999999999997</v>
      </c>
      <c r="AU4" t="s">
        <v>22</v>
      </c>
      <c r="AV4">
        <v>0</v>
      </c>
      <c r="AW4">
        <v>2</v>
      </c>
      <c r="AX4">
        <v>56611967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ROUND(Y4*Source!I30*DO4,9)</f>
        <v>0</v>
      </c>
      <c r="CX4">
        <f>ROUND(Y4*Source!I30,9)</f>
        <v>7.6660759999999994E-2</v>
      </c>
      <c r="CY4">
        <f>AB4</f>
        <v>147.49</v>
      </c>
      <c r="CZ4">
        <f>AF4</f>
        <v>147.49</v>
      </c>
      <c r="DA4">
        <f>AJ4</f>
        <v>1</v>
      </c>
      <c r="DB4">
        <f t="shared" si="1"/>
        <v>1202.8389999999999</v>
      </c>
      <c r="DC4">
        <f t="shared" si="2"/>
        <v>118.58</v>
      </c>
      <c r="DD4" t="s">
        <v>3</v>
      </c>
      <c r="DE4" t="s">
        <v>3</v>
      </c>
      <c r="DF4">
        <f t="shared" si="3"/>
        <v>0</v>
      </c>
      <c r="DG4">
        <f t="shared" si="4"/>
        <v>11.31</v>
      </c>
      <c r="DH4">
        <f t="shared" si="5"/>
        <v>1.1100000000000001</v>
      </c>
      <c r="DI4">
        <f t="shared" si="6"/>
        <v>0</v>
      </c>
      <c r="DJ4">
        <f>DG4</f>
        <v>11.31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ROW(Source!A30)</f>
        <v>30</v>
      </c>
      <c r="B5">
        <v>56622523</v>
      </c>
      <c r="C5">
        <v>56611961</v>
      </c>
      <c r="D5">
        <v>47766400</v>
      </c>
      <c r="E5">
        <v>1</v>
      </c>
      <c r="F5">
        <v>1</v>
      </c>
      <c r="G5">
        <v>27786564</v>
      </c>
      <c r="H5">
        <v>2</v>
      </c>
      <c r="I5" t="s">
        <v>445</v>
      </c>
      <c r="J5" t="s">
        <v>446</v>
      </c>
      <c r="K5" t="s">
        <v>447</v>
      </c>
      <c r="L5">
        <v>1368</v>
      </c>
      <c r="N5">
        <v>1011</v>
      </c>
      <c r="O5" t="s">
        <v>444</v>
      </c>
      <c r="P5" t="s">
        <v>444</v>
      </c>
      <c r="Q5">
        <v>1</v>
      </c>
      <c r="W5">
        <v>0</v>
      </c>
      <c r="X5">
        <v>1717935950</v>
      </c>
      <c r="Y5">
        <f t="shared" si="0"/>
        <v>1.8672500000000001</v>
      </c>
      <c r="AA5">
        <v>0</v>
      </c>
      <c r="AB5">
        <v>145.59</v>
      </c>
      <c r="AC5">
        <v>14.54</v>
      </c>
      <c r="AD5">
        <v>0</v>
      </c>
      <c r="AE5">
        <v>0</v>
      </c>
      <c r="AF5">
        <v>145.59</v>
      </c>
      <c r="AG5">
        <v>14.54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1.6975</v>
      </c>
      <c r="AU5" t="s">
        <v>22</v>
      </c>
      <c r="AV5">
        <v>0</v>
      </c>
      <c r="AW5">
        <v>2</v>
      </c>
      <c r="AX5">
        <v>56611968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ROUND(Y5*Source!I30*DO5,9)</f>
        <v>0</v>
      </c>
      <c r="CX5">
        <f>ROUND(Y5*Source!I30,9)</f>
        <v>1.7552149999999999E-2</v>
      </c>
      <c r="CY5">
        <f>AB5</f>
        <v>145.59</v>
      </c>
      <c r="CZ5">
        <f>AF5</f>
        <v>145.59</v>
      </c>
      <c r="DA5">
        <f>AJ5</f>
        <v>1</v>
      </c>
      <c r="DB5">
        <f t="shared" si="1"/>
        <v>271.85399999999998</v>
      </c>
      <c r="DC5">
        <f t="shared" si="2"/>
        <v>27.148</v>
      </c>
      <c r="DD5" t="s">
        <v>3</v>
      </c>
      <c r="DE5" t="s">
        <v>3</v>
      </c>
      <c r="DF5">
        <f t="shared" si="3"/>
        <v>0</v>
      </c>
      <c r="DG5">
        <f t="shared" si="4"/>
        <v>2.56</v>
      </c>
      <c r="DH5">
        <f t="shared" si="5"/>
        <v>0.26</v>
      </c>
      <c r="DI5">
        <f t="shared" si="6"/>
        <v>0</v>
      </c>
      <c r="DJ5">
        <f>DG5</f>
        <v>2.56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ROW(Source!A30)</f>
        <v>30</v>
      </c>
      <c r="B6">
        <v>56622523</v>
      </c>
      <c r="C6">
        <v>56611961</v>
      </c>
      <c r="D6">
        <v>47634960</v>
      </c>
      <c r="E6">
        <v>27786564</v>
      </c>
      <c r="F6">
        <v>1</v>
      </c>
      <c r="G6">
        <v>27786564</v>
      </c>
      <c r="H6">
        <v>2</v>
      </c>
      <c r="I6" t="s">
        <v>448</v>
      </c>
      <c r="J6" t="s">
        <v>3</v>
      </c>
      <c r="K6" t="s">
        <v>449</v>
      </c>
      <c r="L6">
        <v>1344</v>
      </c>
      <c r="N6">
        <v>1008</v>
      </c>
      <c r="O6" t="s">
        <v>450</v>
      </c>
      <c r="P6" t="s">
        <v>450</v>
      </c>
      <c r="Q6">
        <v>1</v>
      </c>
      <c r="W6">
        <v>0</v>
      </c>
      <c r="X6">
        <v>-1180195794</v>
      </c>
      <c r="Y6">
        <f t="shared" si="0"/>
        <v>1.1000000000000001E-2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0.01</v>
      </c>
      <c r="AU6" t="s">
        <v>22</v>
      </c>
      <c r="AV6">
        <v>0</v>
      </c>
      <c r="AW6">
        <v>1</v>
      </c>
      <c r="AX6">
        <v>-1</v>
      </c>
      <c r="AY6">
        <v>0</v>
      </c>
      <c r="AZ6">
        <v>0</v>
      </c>
      <c r="BA6" t="s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ROUND(Y6*Source!I30*DO6,9)</f>
        <v>0</v>
      </c>
      <c r="CX6">
        <f>ROUND(Y6*Source!I30,9)</f>
        <v>1.0340000000000001E-4</v>
      </c>
      <c r="CY6">
        <f>AB6</f>
        <v>1</v>
      </c>
      <c r="CZ6">
        <f>AF6</f>
        <v>1</v>
      </c>
      <c r="DA6">
        <f>AJ6</f>
        <v>1</v>
      </c>
      <c r="DB6">
        <f t="shared" si="1"/>
        <v>1.0999999999999999E-2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4"/>
        <v>0</v>
      </c>
      <c r="DH6">
        <f t="shared" si="5"/>
        <v>0</v>
      </c>
      <c r="DI6">
        <f t="shared" si="6"/>
        <v>0</v>
      </c>
      <c r="DJ6">
        <f>DG6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ROW(Source!A31)</f>
        <v>31</v>
      </c>
      <c r="B7">
        <v>56611490</v>
      </c>
      <c r="C7">
        <v>56611961</v>
      </c>
      <c r="D7">
        <v>47634407</v>
      </c>
      <c r="E7">
        <v>27786564</v>
      </c>
      <c r="F7">
        <v>1</v>
      </c>
      <c r="G7">
        <v>27786564</v>
      </c>
      <c r="H7">
        <v>1</v>
      </c>
      <c r="I7" t="s">
        <v>438</v>
      </c>
      <c r="J7" t="s">
        <v>3</v>
      </c>
      <c r="K7" t="s">
        <v>439</v>
      </c>
      <c r="L7">
        <v>1191</v>
      </c>
      <c r="N7">
        <v>1013</v>
      </c>
      <c r="O7" t="s">
        <v>440</v>
      </c>
      <c r="P7" t="s">
        <v>440</v>
      </c>
      <c r="Q7">
        <v>1</v>
      </c>
      <c r="W7">
        <v>0</v>
      </c>
      <c r="X7">
        <v>476480486</v>
      </c>
      <c r="Y7">
        <f t="shared" si="0"/>
        <v>3.2450000000000006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2.95</v>
      </c>
      <c r="AU7" t="s">
        <v>22</v>
      </c>
      <c r="AV7">
        <v>1</v>
      </c>
      <c r="AW7">
        <v>2</v>
      </c>
      <c r="AX7">
        <v>56611966</v>
      </c>
      <c r="AY7">
        <v>1</v>
      </c>
      <c r="AZ7">
        <v>0</v>
      </c>
      <c r="BA7">
        <v>6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ROUND(AT7*Source!I31*AH7*AL7,2)</f>
        <v>0</v>
      </c>
      <c r="CV7">
        <f>ROUND(Y7*Source!I31,9)</f>
        <v>3.0502999999999999E-2</v>
      </c>
      <c r="CW7">
        <v>0</v>
      </c>
      <c r="CX7">
        <f>ROUND(Y7*Source!I31,9)</f>
        <v>3.0502999999999999E-2</v>
      </c>
      <c r="CY7">
        <f>AD7</f>
        <v>0</v>
      </c>
      <c r="CZ7">
        <f>AH7</f>
        <v>0</v>
      </c>
      <c r="DA7">
        <f>AL7</f>
        <v>1</v>
      </c>
      <c r="DB7">
        <f t="shared" si="1"/>
        <v>0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 t="shared" si="4"/>
        <v>0</v>
      </c>
      <c r="DH7">
        <f t="shared" si="5"/>
        <v>0</v>
      </c>
      <c r="DI7">
        <f t="shared" si="6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ROW(Source!A31)</f>
        <v>31</v>
      </c>
      <c r="B8">
        <v>56611490</v>
      </c>
      <c r="C8">
        <v>56611961</v>
      </c>
      <c r="D8">
        <v>47766391</v>
      </c>
      <c r="E8">
        <v>1</v>
      </c>
      <c r="F8">
        <v>1</v>
      </c>
      <c r="G8">
        <v>27786564</v>
      </c>
      <c r="H8">
        <v>2</v>
      </c>
      <c r="I8" t="s">
        <v>441</v>
      </c>
      <c r="J8" t="s">
        <v>442</v>
      </c>
      <c r="K8" t="s">
        <v>443</v>
      </c>
      <c r="L8">
        <v>1368</v>
      </c>
      <c r="N8">
        <v>1011</v>
      </c>
      <c r="O8" t="s">
        <v>444</v>
      </c>
      <c r="P8" t="s">
        <v>444</v>
      </c>
      <c r="Q8">
        <v>1</v>
      </c>
      <c r="W8">
        <v>0</v>
      </c>
      <c r="X8">
        <v>-1037611556</v>
      </c>
      <c r="Y8">
        <f t="shared" si="0"/>
        <v>8.1554000000000002</v>
      </c>
      <c r="AA8">
        <v>0</v>
      </c>
      <c r="AB8">
        <v>2139.58</v>
      </c>
      <c r="AC8">
        <v>598.12</v>
      </c>
      <c r="AD8">
        <v>0</v>
      </c>
      <c r="AE8">
        <v>0</v>
      </c>
      <c r="AF8">
        <v>147.49</v>
      </c>
      <c r="AG8">
        <v>14.54</v>
      </c>
      <c r="AH8">
        <v>0</v>
      </c>
      <c r="AI8">
        <v>1</v>
      </c>
      <c r="AJ8">
        <v>12.17</v>
      </c>
      <c r="AK8">
        <v>34.51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7.4139999999999997</v>
      </c>
      <c r="AU8" t="s">
        <v>22</v>
      </c>
      <c r="AV8">
        <v>0</v>
      </c>
      <c r="AW8">
        <v>2</v>
      </c>
      <c r="AX8">
        <v>56611967</v>
      </c>
      <c r="AY8">
        <v>1</v>
      </c>
      <c r="AZ8">
        <v>0</v>
      </c>
      <c r="BA8">
        <v>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ROUND(Y8*Source!I31*DO8,9)</f>
        <v>0</v>
      </c>
      <c r="CX8">
        <f>ROUND(Y8*Source!I31,9)</f>
        <v>7.6660759999999994E-2</v>
      </c>
      <c r="CY8">
        <f>AB8</f>
        <v>2139.58</v>
      </c>
      <c r="CZ8">
        <f>AF8</f>
        <v>147.49</v>
      </c>
      <c r="DA8">
        <f>AJ8</f>
        <v>12.17</v>
      </c>
      <c r="DB8">
        <f t="shared" si="1"/>
        <v>1202.8389999999999</v>
      </c>
      <c r="DC8">
        <f t="shared" si="2"/>
        <v>118.58</v>
      </c>
      <c r="DD8" t="s">
        <v>3</v>
      </c>
      <c r="DE8" t="s">
        <v>3</v>
      </c>
      <c r="DF8">
        <f t="shared" si="3"/>
        <v>0</v>
      </c>
      <c r="DG8">
        <f>ROUND(ROUND(AF8*AJ8,2)*CX8,2)</f>
        <v>137.6</v>
      </c>
      <c r="DH8">
        <f>ROUND(ROUND(AG8*AK8,2)*CX8,2)</f>
        <v>38.47</v>
      </c>
      <c r="DI8">
        <f t="shared" si="6"/>
        <v>0</v>
      </c>
      <c r="DJ8">
        <f>DG8</f>
        <v>137.6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ROW(Source!A31)</f>
        <v>31</v>
      </c>
      <c r="B9">
        <v>56611490</v>
      </c>
      <c r="C9">
        <v>56611961</v>
      </c>
      <c r="D9">
        <v>47766400</v>
      </c>
      <c r="E9">
        <v>1</v>
      </c>
      <c r="F9">
        <v>1</v>
      </c>
      <c r="G9">
        <v>27786564</v>
      </c>
      <c r="H9">
        <v>2</v>
      </c>
      <c r="I9" t="s">
        <v>445</v>
      </c>
      <c r="J9" t="s">
        <v>446</v>
      </c>
      <c r="K9" t="s">
        <v>447</v>
      </c>
      <c r="L9">
        <v>1368</v>
      </c>
      <c r="N9">
        <v>1011</v>
      </c>
      <c r="O9" t="s">
        <v>444</v>
      </c>
      <c r="P9" t="s">
        <v>444</v>
      </c>
      <c r="Q9">
        <v>1</v>
      </c>
      <c r="W9">
        <v>0</v>
      </c>
      <c r="X9">
        <v>1717935950</v>
      </c>
      <c r="Y9">
        <f t="shared" si="0"/>
        <v>1.8672500000000001</v>
      </c>
      <c r="AA9">
        <v>0</v>
      </c>
      <c r="AB9">
        <v>2096.4</v>
      </c>
      <c r="AC9">
        <v>598.12</v>
      </c>
      <c r="AD9">
        <v>0</v>
      </c>
      <c r="AE9">
        <v>0</v>
      </c>
      <c r="AF9">
        <v>145.59</v>
      </c>
      <c r="AG9">
        <v>14.54</v>
      </c>
      <c r="AH9">
        <v>0</v>
      </c>
      <c r="AI9">
        <v>1</v>
      </c>
      <c r="AJ9">
        <v>12.08</v>
      </c>
      <c r="AK9">
        <v>34.51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1.6975</v>
      </c>
      <c r="AU9" t="s">
        <v>22</v>
      </c>
      <c r="AV9">
        <v>0</v>
      </c>
      <c r="AW9">
        <v>2</v>
      </c>
      <c r="AX9">
        <v>56611968</v>
      </c>
      <c r="AY9">
        <v>1</v>
      </c>
      <c r="AZ9">
        <v>0</v>
      </c>
      <c r="BA9">
        <v>8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ROUND(Y9*Source!I31*DO9,9)</f>
        <v>0</v>
      </c>
      <c r="CX9">
        <f>ROUND(Y9*Source!I31,9)</f>
        <v>1.7552149999999999E-2</v>
      </c>
      <c r="CY9">
        <f>AB9</f>
        <v>2096.4</v>
      </c>
      <c r="CZ9">
        <f>AF9</f>
        <v>145.59</v>
      </c>
      <c r="DA9">
        <f>AJ9</f>
        <v>12.08</v>
      </c>
      <c r="DB9">
        <f t="shared" si="1"/>
        <v>271.85399999999998</v>
      </c>
      <c r="DC9">
        <f t="shared" si="2"/>
        <v>27.148</v>
      </c>
      <c r="DD9" t="s">
        <v>3</v>
      </c>
      <c r="DE9" t="s">
        <v>3</v>
      </c>
      <c r="DF9">
        <f t="shared" si="3"/>
        <v>0</v>
      </c>
      <c r="DG9">
        <f>ROUND(ROUND(AF9*AJ9,2)*CX9,2)</f>
        <v>30.87</v>
      </c>
      <c r="DH9">
        <f>ROUND(ROUND(AG9*AK9,2)*CX9,2)</f>
        <v>8.81</v>
      </c>
      <c r="DI9">
        <f t="shared" si="6"/>
        <v>0</v>
      </c>
      <c r="DJ9">
        <f>DG9</f>
        <v>30.87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ROW(Source!A31)</f>
        <v>31</v>
      </c>
      <c r="B10">
        <v>56611490</v>
      </c>
      <c r="C10">
        <v>56611961</v>
      </c>
      <c r="D10">
        <v>47634960</v>
      </c>
      <c r="E10">
        <v>27786564</v>
      </c>
      <c r="F10">
        <v>1</v>
      </c>
      <c r="G10">
        <v>27786564</v>
      </c>
      <c r="H10">
        <v>2</v>
      </c>
      <c r="I10" t="s">
        <v>448</v>
      </c>
      <c r="J10" t="s">
        <v>3</v>
      </c>
      <c r="K10" t="s">
        <v>449</v>
      </c>
      <c r="L10">
        <v>1344</v>
      </c>
      <c r="N10">
        <v>1008</v>
      </c>
      <c r="O10" t="s">
        <v>450</v>
      </c>
      <c r="P10" t="s">
        <v>450</v>
      </c>
      <c r="Q10">
        <v>1</v>
      </c>
      <c r="W10">
        <v>0</v>
      </c>
      <c r="X10">
        <v>-1180195794</v>
      </c>
      <c r="Y10">
        <f t="shared" si="0"/>
        <v>1.1000000000000001E-2</v>
      </c>
      <c r="AA10">
        <v>0</v>
      </c>
      <c r="AB10">
        <v>1.19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0.01</v>
      </c>
      <c r="AU10" t="s">
        <v>22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ROUND(Y10*Source!I31*DO10,9)</f>
        <v>0</v>
      </c>
      <c r="CX10">
        <f>ROUND(Y10*Source!I31,9)</f>
        <v>1.0340000000000001E-4</v>
      </c>
      <c r="CY10">
        <f>AB10</f>
        <v>1.19</v>
      </c>
      <c r="CZ10">
        <f>AF10</f>
        <v>1</v>
      </c>
      <c r="DA10">
        <f>AJ10</f>
        <v>1</v>
      </c>
      <c r="DB10">
        <f t="shared" si="1"/>
        <v>1.0999999999999999E-2</v>
      </c>
      <c r="DC10">
        <f t="shared" si="2"/>
        <v>0</v>
      </c>
      <c r="DD10" t="s">
        <v>3</v>
      </c>
      <c r="DE10" t="s">
        <v>3</v>
      </c>
      <c r="DF10">
        <f t="shared" si="3"/>
        <v>0</v>
      </c>
      <c r="DG10">
        <f>ROUND(ROUND(AF10,2)*CX10,2)</f>
        <v>0</v>
      </c>
      <c r="DH10">
        <f>ROUND(ROUND(AG10,2)*CX10,2)</f>
        <v>0</v>
      </c>
      <c r="DI10">
        <f t="shared" si="6"/>
        <v>0</v>
      </c>
      <c r="DJ10">
        <f>DG10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ROW(Source!A32)</f>
        <v>32</v>
      </c>
      <c r="B11">
        <v>56622523</v>
      </c>
      <c r="C11">
        <v>56611969</v>
      </c>
      <c r="D11">
        <v>47634407</v>
      </c>
      <c r="E11">
        <v>27786564</v>
      </c>
      <c r="F11">
        <v>1</v>
      </c>
      <c r="G11">
        <v>27786564</v>
      </c>
      <c r="H11">
        <v>1</v>
      </c>
      <c r="I11" t="s">
        <v>438</v>
      </c>
      <c r="J11" t="s">
        <v>3</v>
      </c>
      <c r="K11" t="s">
        <v>439</v>
      </c>
      <c r="L11">
        <v>1191</v>
      </c>
      <c r="N11">
        <v>1013</v>
      </c>
      <c r="O11" t="s">
        <v>440</v>
      </c>
      <c r="P11" t="s">
        <v>440</v>
      </c>
      <c r="Q11">
        <v>1</v>
      </c>
      <c r="W11">
        <v>0</v>
      </c>
      <c r="X11">
        <v>476480486</v>
      </c>
      <c r="Y11">
        <f t="shared" si="0"/>
        <v>1.3089999999999999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1.19</v>
      </c>
      <c r="AU11" t="s">
        <v>22</v>
      </c>
      <c r="AV11">
        <v>1</v>
      </c>
      <c r="AW11">
        <v>2</v>
      </c>
      <c r="AX11">
        <v>56611972</v>
      </c>
      <c r="AY11">
        <v>1</v>
      </c>
      <c r="AZ11">
        <v>0</v>
      </c>
      <c r="BA11">
        <v>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ROUND(AT11*Source!I32*AH11*AL11,2)</f>
        <v>0</v>
      </c>
      <c r="CV11">
        <f>ROUND(Y11*Source!I32,9)</f>
        <v>1.170246E-2</v>
      </c>
      <c r="CW11">
        <v>0</v>
      </c>
      <c r="CX11">
        <f>ROUND(Y11*Source!I32,9)</f>
        <v>1.170246E-2</v>
      </c>
      <c r="CY11">
        <f>AD11</f>
        <v>0</v>
      </c>
      <c r="CZ11">
        <f>AH11</f>
        <v>0</v>
      </c>
      <c r="DA11">
        <f>AL11</f>
        <v>1</v>
      </c>
      <c r="DB11">
        <f t="shared" si="1"/>
        <v>0</v>
      </c>
      <c r="DC11">
        <f t="shared" si="2"/>
        <v>0</v>
      </c>
      <c r="DD11" t="s">
        <v>3</v>
      </c>
      <c r="DE11" t="s">
        <v>3</v>
      </c>
      <c r="DF11">
        <f t="shared" si="3"/>
        <v>0</v>
      </c>
      <c r="DG11">
        <f>ROUND(ROUND(AF11,2)*CX11,2)</f>
        <v>0</v>
      </c>
      <c r="DH11">
        <f>ROUND(ROUND(AG11,2)*CX11,2)</f>
        <v>0</v>
      </c>
      <c r="DI11">
        <f t="shared" si="6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ROW(Source!A32)</f>
        <v>32</v>
      </c>
      <c r="B12">
        <v>56622523</v>
      </c>
      <c r="C12">
        <v>56611969</v>
      </c>
      <c r="D12">
        <v>47766391</v>
      </c>
      <c r="E12">
        <v>1</v>
      </c>
      <c r="F12">
        <v>1</v>
      </c>
      <c r="G12">
        <v>27786564</v>
      </c>
      <c r="H12">
        <v>2</v>
      </c>
      <c r="I12" t="s">
        <v>441</v>
      </c>
      <c r="J12" t="s">
        <v>442</v>
      </c>
      <c r="K12" t="s">
        <v>443</v>
      </c>
      <c r="L12">
        <v>1368</v>
      </c>
      <c r="N12">
        <v>1011</v>
      </c>
      <c r="O12" t="s">
        <v>444</v>
      </c>
      <c r="P12" t="s">
        <v>444</v>
      </c>
      <c r="Q12">
        <v>1</v>
      </c>
      <c r="W12">
        <v>0</v>
      </c>
      <c r="X12">
        <v>-1037611556</v>
      </c>
      <c r="Y12">
        <f t="shared" si="0"/>
        <v>6.9514500000000004</v>
      </c>
      <c r="AA12">
        <v>0</v>
      </c>
      <c r="AB12">
        <v>147.49</v>
      </c>
      <c r="AC12">
        <v>14.54</v>
      </c>
      <c r="AD12">
        <v>0</v>
      </c>
      <c r="AE12">
        <v>0</v>
      </c>
      <c r="AF12">
        <v>147.49</v>
      </c>
      <c r="AG12">
        <v>14.54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6.3194999999999997</v>
      </c>
      <c r="AU12" t="s">
        <v>22</v>
      </c>
      <c r="AV12">
        <v>0</v>
      </c>
      <c r="AW12">
        <v>2</v>
      </c>
      <c r="AX12">
        <v>56611973</v>
      </c>
      <c r="AY12">
        <v>1</v>
      </c>
      <c r="AZ12">
        <v>0</v>
      </c>
      <c r="BA12">
        <v>10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ROUND(Y12*Source!I32*DO12,9)</f>
        <v>0</v>
      </c>
      <c r="CX12">
        <f>ROUND(Y12*Source!I32,9)</f>
        <v>6.2145962999999999E-2</v>
      </c>
      <c r="CY12">
        <f>AB12</f>
        <v>147.49</v>
      </c>
      <c r="CZ12">
        <f>AF12</f>
        <v>147.49</v>
      </c>
      <c r="DA12">
        <f>AJ12</f>
        <v>1</v>
      </c>
      <c r="DB12">
        <f t="shared" si="1"/>
        <v>1025.2660000000001</v>
      </c>
      <c r="DC12">
        <f t="shared" si="2"/>
        <v>101.07899999999999</v>
      </c>
      <c r="DD12" t="s">
        <v>3</v>
      </c>
      <c r="DE12" t="s">
        <v>3</v>
      </c>
      <c r="DF12">
        <f t="shared" si="3"/>
        <v>0</v>
      </c>
      <c r="DG12">
        <f>ROUND(ROUND(AF12,2)*CX12,2)</f>
        <v>9.17</v>
      </c>
      <c r="DH12">
        <f>ROUND(ROUND(AG12,2)*CX12,2)</f>
        <v>0.9</v>
      </c>
      <c r="DI12">
        <f t="shared" si="6"/>
        <v>0</v>
      </c>
      <c r="DJ12">
        <f>DG12</f>
        <v>9.17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ROW(Source!A33)</f>
        <v>33</v>
      </c>
      <c r="B13">
        <v>56611490</v>
      </c>
      <c r="C13">
        <v>56611969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438</v>
      </c>
      <c r="J13" t="s">
        <v>3</v>
      </c>
      <c r="K13" t="s">
        <v>439</v>
      </c>
      <c r="L13">
        <v>1191</v>
      </c>
      <c r="N13">
        <v>1013</v>
      </c>
      <c r="O13" t="s">
        <v>440</v>
      </c>
      <c r="P13" t="s">
        <v>440</v>
      </c>
      <c r="Q13">
        <v>1</v>
      </c>
      <c r="W13">
        <v>0</v>
      </c>
      <c r="X13">
        <v>476480486</v>
      </c>
      <c r="Y13">
        <f t="shared" si="0"/>
        <v>1.3089999999999999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1.19</v>
      </c>
      <c r="AU13" t="s">
        <v>22</v>
      </c>
      <c r="AV13">
        <v>1</v>
      </c>
      <c r="AW13">
        <v>2</v>
      </c>
      <c r="AX13">
        <v>56611972</v>
      </c>
      <c r="AY13">
        <v>1</v>
      </c>
      <c r="AZ13">
        <v>0</v>
      </c>
      <c r="BA13">
        <v>11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ROUND(AT13*Source!I33*AH13*AL13,2)</f>
        <v>0</v>
      </c>
      <c r="CV13">
        <f>ROUND(Y13*Source!I33,9)</f>
        <v>1.170246E-2</v>
      </c>
      <c r="CW13">
        <v>0</v>
      </c>
      <c r="CX13">
        <f>ROUND(Y13*Source!I33,9)</f>
        <v>1.170246E-2</v>
      </c>
      <c r="CY13">
        <f>AD13</f>
        <v>0</v>
      </c>
      <c r="CZ13">
        <f>AH13</f>
        <v>0</v>
      </c>
      <c r="DA13">
        <f>AL13</f>
        <v>1</v>
      </c>
      <c r="DB13">
        <f t="shared" si="1"/>
        <v>0</v>
      </c>
      <c r="DC13">
        <f t="shared" si="2"/>
        <v>0</v>
      </c>
      <c r="DD13" t="s">
        <v>3</v>
      </c>
      <c r="DE13" t="s">
        <v>3</v>
      </c>
      <c r="DF13">
        <f t="shared" si="3"/>
        <v>0</v>
      </c>
      <c r="DG13">
        <f>ROUND(ROUND(AF13,2)*CX13,2)</f>
        <v>0</v>
      </c>
      <c r="DH13">
        <f>ROUND(ROUND(AG13,2)*CX13,2)</f>
        <v>0</v>
      </c>
      <c r="DI13">
        <f t="shared" si="6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ROW(Source!A33)</f>
        <v>33</v>
      </c>
      <c r="B14">
        <v>56611490</v>
      </c>
      <c r="C14">
        <v>56611969</v>
      </c>
      <c r="D14">
        <v>47766391</v>
      </c>
      <c r="E14">
        <v>1</v>
      </c>
      <c r="F14">
        <v>1</v>
      </c>
      <c r="G14">
        <v>27786564</v>
      </c>
      <c r="H14">
        <v>2</v>
      </c>
      <c r="I14" t="s">
        <v>441</v>
      </c>
      <c r="J14" t="s">
        <v>442</v>
      </c>
      <c r="K14" t="s">
        <v>443</v>
      </c>
      <c r="L14">
        <v>1368</v>
      </c>
      <c r="N14">
        <v>1011</v>
      </c>
      <c r="O14" t="s">
        <v>444</v>
      </c>
      <c r="P14" t="s">
        <v>444</v>
      </c>
      <c r="Q14">
        <v>1</v>
      </c>
      <c r="W14">
        <v>0</v>
      </c>
      <c r="X14">
        <v>-1037611556</v>
      </c>
      <c r="Y14">
        <f t="shared" si="0"/>
        <v>6.9514500000000004</v>
      </c>
      <c r="AA14">
        <v>0</v>
      </c>
      <c r="AB14">
        <v>2139.58</v>
      </c>
      <c r="AC14">
        <v>598.12</v>
      </c>
      <c r="AD14">
        <v>0</v>
      </c>
      <c r="AE14">
        <v>0</v>
      </c>
      <c r="AF14">
        <v>147.49</v>
      </c>
      <c r="AG14">
        <v>14.54</v>
      </c>
      <c r="AH14">
        <v>0</v>
      </c>
      <c r="AI14">
        <v>1</v>
      </c>
      <c r="AJ14">
        <v>12.17</v>
      </c>
      <c r="AK14">
        <v>34.51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6.3194999999999997</v>
      </c>
      <c r="AU14" t="s">
        <v>22</v>
      </c>
      <c r="AV14">
        <v>0</v>
      </c>
      <c r="AW14">
        <v>2</v>
      </c>
      <c r="AX14">
        <v>56611973</v>
      </c>
      <c r="AY14">
        <v>1</v>
      </c>
      <c r="AZ14">
        <v>0</v>
      </c>
      <c r="BA14">
        <v>12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ROUND(Y14*Source!I33*DO14,9)</f>
        <v>0</v>
      </c>
      <c r="CX14">
        <f>ROUND(Y14*Source!I33,9)</f>
        <v>6.2145962999999999E-2</v>
      </c>
      <c r="CY14">
        <f>AB14</f>
        <v>2139.58</v>
      </c>
      <c r="CZ14">
        <f>AF14</f>
        <v>147.49</v>
      </c>
      <c r="DA14">
        <f>AJ14</f>
        <v>12.17</v>
      </c>
      <c r="DB14">
        <f t="shared" si="1"/>
        <v>1025.2660000000001</v>
      </c>
      <c r="DC14">
        <f t="shared" si="2"/>
        <v>101.07899999999999</v>
      </c>
      <c r="DD14" t="s">
        <v>3</v>
      </c>
      <c r="DE14" t="s">
        <v>3</v>
      </c>
      <c r="DF14">
        <f t="shared" si="3"/>
        <v>0</v>
      </c>
      <c r="DG14">
        <f>ROUND(ROUND(AF14*AJ14,2)*CX14,2)</f>
        <v>111.55</v>
      </c>
      <c r="DH14">
        <f>ROUND(ROUND(AG14*AK14,2)*CX14,2)</f>
        <v>31.18</v>
      </c>
      <c r="DI14">
        <f t="shared" si="6"/>
        <v>0</v>
      </c>
      <c r="DJ14">
        <f>DG14</f>
        <v>111.55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ROW(Source!A34)</f>
        <v>34</v>
      </c>
      <c r="B15">
        <v>56622523</v>
      </c>
      <c r="C15">
        <v>56611974</v>
      </c>
      <c r="D15">
        <v>47634407</v>
      </c>
      <c r="E15">
        <v>27786564</v>
      </c>
      <c r="F15">
        <v>1</v>
      </c>
      <c r="G15">
        <v>27786564</v>
      </c>
      <c r="H15">
        <v>1</v>
      </c>
      <c r="I15" t="s">
        <v>438</v>
      </c>
      <c r="J15" t="s">
        <v>3</v>
      </c>
      <c r="K15" t="s">
        <v>439</v>
      </c>
      <c r="L15">
        <v>1191</v>
      </c>
      <c r="N15">
        <v>1013</v>
      </c>
      <c r="O15" t="s">
        <v>440</v>
      </c>
      <c r="P15" t="s">
        <v>440</v>
      </c>
      <c r="Q15">
        <v>1</v>
      </c>
      <c r="W15">
        <v>0</v>
      </c>
      <c r="X15">
        <v>476480486</v>
      </c>
      <c r="Y15">
        <f t="shared" si="0"/>
        <v>117.74400000000001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107.04</v>
      </c>
      <c r="AU15" t="s">
        <v>22</v>
      </c>
      <c r="AV15">
        <v>1</v>
      </c>
      <c r="AW15">
        <v>2</v>
      </c>
      <c r="AX15">
        <v>56611976</v>
      </c>
      <c r="AY15">
        <v>1</v>
      </c>
      <c r="AZ15">
        <v>0</v>
      </c>
      <c r="BA15">
        <v>13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ROUND(AT15*Source!I34*AH15*AL15,2)</f>
        <v>0</v>
      </c>
      <c r="CV15">
        <f>ROUND(Y15*Source!I34,9)</f>
        <v>0.59342976000000003</v>
      </c>
      <c r="CW15">
        <v>0</v>
      </c>
      <c r="CX15">
        <f>ROUND(Y15*Source!I34,9)</f>
        <v>0.59342976000000003</v>
      </c>
      <c r="CY15">
        <f>AD15</f>
        <v>0</v>
      </c>
      <c r="CZ15">
        <f>AH15</f>
        <v>0</v>
      </c>
      <c r="DA15">
        <f>AL15</f>
        <v>1</v>
      </c>
      <c r="DB15">
        <f t="shared" si="1"/>
        <v>0</v>
      </c>
      <c r="DC15">
        <f t="shared" si="2"/>
        <v>0</v>
      </c>
      <c r="DD15" t="s">
        <v>3</v>
      </c>
      <c r="DE15" t="s">
        <v>3</v>
      </c>
      <c r="DF15">
        <f t="shared" si="3"/>
        <v>0</v>
      </c>
      <c r="DG15">
        <f>ROUND(ROUND(AF15,2)*CX15,2)</f>
        <v>0</v>
      </c>
      <c r="DH15">
        <f>ROUND(ROUND(AG15,2)*CX15,2)</f>
        <v>0</v>
      </c>
      <c r="DI15">
        <f t="shared" si="6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ROW(Source!A35)</f>
        <v>35</v>
      </c>
      <c r="B16">
        <v>56611490</v>
      </c>
      <c r="C16">
        <v>56611974</v>
      </c>
      <c r="D16">
        <v>47634407</v>
      </c>
      <c r="E16">
        <v>27786564</v>
      </c>
      <c r="F16">
        <v>1</v>
      </c>
      <c r="G16">
        <v>27786564</v>
      </c>
      <c r="H16">
        <v>1</v>
      </c>
      <c r="I16" t="s">
        <v>438</v>
      </c>
      <c r="J16" t="s">
        <v>3</v>
      </c>
      <c r="K16" t="s">
        <v>439</v>
      </c>
      <c r="L16">
        <v>1191</v>
      </c>
      <c r="N16">
        <v>1013</v>
      </c>
      <c r="O16" t="s">
        <v>440</v>
      </c>
      <c r="P16" t="s">
        <v>440</v>
      </c>
      <c r="Q16">
        <v>1</v>
      </c>
      <c r="W16">
        <v>0</v>
      </c>
      <c r="X16">
        <v>476480486</v>
      </c>
      <c r="Y16">
        <f t="shared" si="0"/>
        <v>117.74400000000001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107.04</v>
      </c>
      <c r="AU16" t="s">
        <v>22</v>
      </c>
      <c r="AV16">
        <v>1</v>
      </c>
      <c r="AW16">
        <v>2</v>
      </c>
      <c r="AX16">
        <v>56611976</v>
      </c>
      <c r="AY16">
        <v>1</v>
      </c>
      <c r="AZ16">
        <v>0</v>
      </c>
      <c r="BA16">
        <v>14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ROUND(AT16*Source!I35*AH16*AL16,2)</f>
        <v>0</v>
      </c>
      <c r="CV16">
        <f>ROUND(Y16*Source!I35,9)</f>
        <v>0.59342976000000003</v>
      </c>
      <c r="CW16">
        <v>0</v>
      </c>
      <c r="CX16">
        <f>ROUND(Y16*Source!I35,9)</f>
        <v>0.59342976000000003</v>
      </c>
      <c r="CY16">
        <f>AD16</f>
        <v>0</v>
      </c>
      <c r="CZ16">
        <f>AH16</f>
        <v>0</v>
      </c>
      <c r="DA16">
        <f>AL16</f>
        <v>1</v>
      </c>
      <c r="DB16">
        <f t="shared" si="1"/>
        <v>0</v>
      </c>
      <c r="DC16">
        <f t="shared" si="2"/>
        <v>0</v>
      </c>
      <c r="DD16" t="s">
        <v>3</v>
      </c>
      <c r="DE16" t="s">
        <v>3</v>
      </c>
      <c r="DF16">
        <f t="shared" si="3"/>
        <v>0</v>
      </c>
      <c r="DG16">
        <f>ROUND(ROUND(AF16,2)*CX16,2)</f>
        <v>0</v>
      </c>
      <c r="DH16">
        <f>ROUND(ROUND(AG16,2)*CX16,2)</f>
        <v>0</v>
      </c>
      <c r="DI16">
        <f t="shared" si="6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ROW(Source!A36)</f>
        <v>36</v>
      </c>
      <c r="B17">
        <v>56622523</v>
      </c>
      <c r="C17">
        <v>56611977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438</v>
      </c>
      <c r="J17" t="s">
        <v>3</v>
      </c>
      <c r="K17" t="s">
        <v>439</v>
      </c>
      <c r="L17">
        <v>1191</v>
      </c>
      <c r="N17">
        <v>1013</v>
      </c>
      <c r="O17" t="s">
        <v>440</v>
      </c>
      <c r="P17" t="s">
        <v>440</v>
      </c>
      <c r="Q17">
        <v>1</v>
      </c>
      <c r="W17">
        <v>0</v>
      </c>
      <c r="X17">
        <v>476480486</v>
      </c>
      <c r="Y17">
        <f>((AT17*1.1)*0.5)</f>
        <v>0.65449999999999997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1.19</v>
      </c>
      <c r="AU17" t="s">
        <v>44</v>
      </c>
      <c r="AV17">
        <v>1</v>
      </c>
      <c r="AW17">
        <v>2</v>
      </c>
      <c r="AX17">
        <v>56611980</v>
      </c>
      <c r="AY17">
        <v>1</v>
      </c>
      <c r="AZ17">
        <v>0</v>
      </c>
      <c r="BA17">
        <v>15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U17">
        <f>ROUND(AT17*Source!I36*AH17*AL17,2)</f>
        <v>0</v>
      </c>
      <c r="CV17">
        <f>ROUND(Y17*Source!I36,9)</f>
        <v>5.543615E-3</v>
      </c>
      <c r="CW17">
        <v>0</v>
      </c>
      <c r="CX17">
        <f>ROUND(Y17*Source!I36,9)</f>
        <v>5.543615E-3</v>
      </c>
      <c r="CY17">
        <f>AD17</f>
        <v>0</v>
      </c>
      <c r="CZ17">
        <f>AH17</f>
        <v>0</v>
      </c>
      <c r="DA17">
        <f>AL17</f>
        <v>1</v>
      </c>
      <c r="DB17">
        <f>ROUND(((ROUND(AT17*CZ17,2)*1.1)*0.5),6)</f>
        <v>0</v>
      </c>
      <c r="DC17">
        <f>ROUND(((ROUND(AT17*AG17,2)*1.1)*0.5),6)</f>
        <v>0</v>
      </c>
      <c r="DD17" t="s">
        <v>3</v>
      </c>
      <c r="DE17" t="s">
        <v>3</v>
      </c>
      <c r="DF17">
        <f t="shared" si="3"/>
        <v>0</v>
      </c>
      <c r="DG17">
        <f>ROUND(ROUND(AF17,2)*CX17,2)</f>
        <v>0</v>
      </c>
      <c r="DH17">
        <f>ROUND(ROUND(AG17,2)*CX17,2)</f>
        <v>0</v>
      </c>
      <c r="DI17">
        <f t="shared" si="6"/>
        <v>0</v>
      </c>
      <c r="DJ17">
        <f>DI17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ROW(Source!A36)</f>
        <v>36</v>
      </c>
      <c r="B18">
        <v>56622523</v>
      </c>
      <c r="C18">
        <v>56611977</v>
      </c>
      <c r="D18">
        <v>47766391</v>
      </c>
      <c r="E18">
        <v>1</v>
      </c>
      <c r="F18">
        <v>1</v>
      </c>
      <c r="G18">
        <v>27786564</v>
      </c>
      <c r="H18">
        <v>2</v>
      </c>
      <c r="I18" t="s">
        <v>441</v>
      </c>
      <c r="J18" t="s">
        <v>442</v>
      </c>
      <c r="K18" t="s">
        <v>443</v>
      </c>
      <c r="L18">
        <v>1368</v>
      </c>
      <c r="N18">
        <v>1011</v>
      </c>
      <c r="O18" t="s">
        <v>444</v>
      </c>
      <c r="P18" t="s">
        <v>444</v>
      </c>
      <c r="Q18">
        <v>1</v>
      </c>
      <c r="W18">
        <v>0</v>
      </c>
      <c r="X18">
        <v>-1037611556</v>
      </c>
      <c r="Y18">
        <f>((AT18*1.1)*0.9)</f>
        <v>6.2563050000000002</v>
      </c>
      <c r="AA18">
        <v>0</v>
      </c>
      <c r="AB18">
        <v>147.49</v>
      </c>
      <c r="AC18">
        <v>14.54</v>
      </c>
      <c r="AD18">
        <v>0</v>
      </c>
      <c r="AE18">
        <v>0</v>
      </c>
      <c r="AF18">
        <v>147.49</v>
      </c>
      <c r="AG18">
        <v>14.54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6.3194999999999997</v>
      </c>
      <c r="AU18" t="s">
        <v>43</v>
      </c>
      <c r="AV18">
        <v>0</v>
      </c>
      <c r="AW18">
        <v>2</v>
      </c>
      <c r="AX18">
        <v>56611981</v>
      </c>
      <c r="AY18">
        <v>1</v>
      </c>
      <c r="AZ18">
        <v>0</v>
      </c>
      <c r="BA18">
        <v>16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ROUND(Y18*Source!I36*DO18,9)</f>
        <v>0</v>
      </c>
      <c r="CX18">
        <f>ROUND(Y18*Source!I36,9)</f>
        <v>5.2990902999999999E-2</v>
      </c>
      <c r="CY18">
        <f>AB18</f>
        <v>147.49</v>
      </c>
      <c r="CZ18">
        <f>AF18</f>
        <v>147.49</v>
      </c>
      <c r="DA18">
        <f>AJ18</f>
        <v>1</v>
      </c>
      <c r="DB18">
        <f>ROUND(((ROUND(AT18*CZ18,2)*1.1)*0.9),6)</f>
        <v>922.73940000000005</v>
      </c>
      <c r="DC18">
        <f>ROUND(((ROUND(AT18*AG18,2)*1.1)*0.9),6)</f>
        <v>90.971100000000007</v>
      </c>
      <c r="DD18" t="s">
        <v>3</v>
      </c>
      <c r="DE18" t="s">
        <v>3</v>
      </c>
      <c r="DF18">
        <f t="shared" si="3"/>
        <v>0</v>
      </c>
      <c r="DG18">
        <f>ROUND(ROUND(AF18,2)*CX18,2)</f>
        <v>7.82</v>
      </c>
      <c r="DH18">
        <f>ROUND(ROUND(AG18,2)*CX18,2)</f>
        <v>0.77</v>
      </c>
      <c r="DI18">
        <f t="shared" si="6"/>
        <v>0</v>
      </c>
      <c r="DJ18">
        <f>DG18</f>
        <v>7.82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ROW(Source!A37)</f>
        <v>37</v>
      </c>
      <c r="B19">
        <v>56611490</v>
      </c>
      <c r="C19">
        <v>56611977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438</v>
      </c>
      <c r="J19" t="s">
        <v>3</v>
      </c>
      <c r="K19" t="s">
        <v>439</v>
      </c>
      <c r="L19">
        <v>1191</v>
      </c>
      <c r="N19">
        <v>1013</v>
      </c>
      <c r="O19" t="s">
        <v>440</v>
      </c>
      <c r="P19" t="s">
        <v>440</v>
      </c>
      <c r="Q19">
        <v>1</v>
      </c>
      <c r="W19">
        <v>0</v>
      </c>
      <c r="X19">
        <v>476480486</v>
      </c>
      <c r="Y19">
        <f>((AT19*1.1)*0.5)</f>
        <v>0.65449999999999997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1.19</v>
      </c>
      <c r="AU19" t="s">
        <v>44</v>
      </c>
      <c r="AV19">
        <v>1</v>
      </c>
      <c r="AW19">
        <v>2</v>
      </c>
      <c r="AX19">
        <v>56611980</v>
      </c>
      <c r="AY19">
        <v>1</v>
      </c>
      <c r="AZ19">
        <v>0</v>
      </c>
      <c r="BA19">
        <v>17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ROUND(AT19*Source!I37*AH19*AL19,2)</f>
        <v>0</v>
      </c>
      <c r="CV19">
        <f>ROUND(Y19*Source!I37,9)</f>
        <v>5.543615E-3</v>
      </c>
      <c r="CW19">
        <v>0</v>
      </c>
      <c r="CX19">
        <f>ROUND(Y19*Source!I37,9)</f>
        <v>5.543615E-3</v>
      </c>
      <c r="CY19">
        <f>AD19</f>
        <v>0</v>
      </c>
      <c r="CZ19">
        <f>AH19</f>
        <v>0</v>
      </c>
      <c r="DA19">
        <f>AL19</f>
        <v>1</v>
      </c>
      <c r="DB19">
        <f>ROUND(((ROUND(AT19*CZ19,2)*1.1)*0.5),6)</f>
        <v>0</v>
      </c>
      <c r="DC19">
        <f>ROUND(((ROUND(AT19*AG19,2)*1.1)*0.5),6)</f>
        <v>0</v>
      </c>
      <c r="DD19" t="s">
        <v>3</v>
      </c>
      <c r="DE19" t="s">
        <v>3</v>
      </c>
      <c r="DF19">
        <f t="shared" si="3"/>
        <v>0</v>
      </c>
      <c r="DG19">
        <f>ROUND(ROUND(AF19,2)*CX19,2)</f>
        <v>0</v>
      </c>
      <c r="DH19">
        <f>ROUND(ROUND(AG19,2)*CX19,2)</f>
        <v>0</v>
      </c>
      <c r="DI19">
        <f t="shared" si="6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ROW(Source!A37)</f>
        <v>37</v>
      </c>
      <c r="B20">
        <v>56611490</v>
      </c>
      <c r="C20">
        <v>56611977</v>
      </c>
      <c r="D20">
        <v>47766391</v>
      </c>
      <c r="E20">
        <v>1</v>
      </c>
      <c r="F20">
        <v>1</v>
      </c>
      <c r="G20">
        <v>27786564</v>
      </c>
      <c r="H20">
        <v>2</v>
      </c>
      <c r="I20" t="s">
        <v>441</v>
      </c>
      <c r="J20" t="s">
        <v>442</v>
      </c>
      <c r="K20" t="s">
        <v>443</v>
      </c>
      <c r="L20">
        <v>1368</v>
      </c>
      <c r="N20">
        <v>1011</v>
      </c>
      <c r="O20" t="s">
        <v>444</v>
      </c>
      <c r="P20" t="s">
        <v>444</v>
      </c>
      <c r="Q20">
        <v>1</v>
      </c>
      <c r="W20">
        <v>0</v>
      </c>
      <c r="X20">
        <v>-1037611556</v>
      </c>
      <c r="Y20">
        <f>((AT20*1.1)*0.9)</f>
        <v>6.2563050000000002</v>
      </c>
      <c r="AA20">
        <v>0</v>
      </c>
      <c r="AB20">
        <v>2139.58</v>
      </c>
      <c r="AC20">
        <v>598.12</v>
      </c>
      <c r="AD20">
        <v>0</v>
      </c>
      <c r="AE20">
        <v>0</v>
      </c>
      <c r="AF20">
        <v>147.49</v>
      </c>
      <c r="AG20">
        <v>14.54</v>
      </c>
      <c r="AH20">
        <v>0</v>
      </c>
      <c r="AI20">
        <v>1</v>
      </c>
      <c r="AJ20">
        <v>12.17</v>
      </c>
      <c r="AK20">
        <v>34.51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6.3194999999999997</v>
      </c>
      <c r="AU20" t="s">
        <v>43</v>
      </c>
      <c r="AV20">
        <v>0</v>
      </c>
      <c r="AW20">
        <v>2</v>
      </c>
      <c r="AX20">
        <v>56611981</v>
      </c>
      <c r="AY20">
        <v>1</v>
      </c>
      <c r="AZ20">
        <v>0</v>
      </c>
      <c r="BA20">
        <v>18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ROUND(Y20*Source!I37*DO20,9)</f>
        <v>0</v>
      </c>
      <c r="CX20">
        <f>ROUND(Y20*Source!I37,9)</f>
        <v>5.2990902999999999E-2</v>
      </c>
      <c r="CY20">
        <f>AB20</f>
        <v>2139.58</v>
      </c>
      <c r="CZ20">
        <f>AF20</f>
        <v>147.49</v>
      </c>
      <c r="DA20">
        <f>AJ20</f>
        <v>12.17</v>
      </c>
      <c r="DB20">
        <f>ROUND(((ROUND(AT20*CZ20,2)*1.1)*0.9),6)</f>
        <v>922.73940000000005</v>
      </c>
      <c r="DC20">
        <f>ROUND(((ROUND(AT20*AG20,2)*1.1)*0.9),6)</f>
        <v>90.971100000000007</v>
      </c>
      <c r="DD20" t="s">
        <v>3</v>
      </c>
      <c r="DE20" t="s">
        <v>3</v>
      </c>
      <c r="DF20">
        <f t="shared" si="3"/>
        <v>0</v>
      </c>
      <c r="DG20">
        <f>ROUND(ROUND(AF20*AJ20,2)*CX20,2)</f>
        <v>95.12</v>
      </c>
      <c r="DH20">
        <f>ROUND(ROUND(AG20*AK20,2)*CX20,2)</f>
        <v>26.59</v>
      </c>
      <c r="DI20">
        <f t="shared" si="6"/>
        <v>0</v>
      </c>
      <c r="DJ20">
        <f>DG20</f>
        <v>95.12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ROW(Source!A44)</f>
        <v>44</v>
      </c>
      <c r="B21">
        <v>56622523</v>
      </c>
      <c r="C21">
        <v>56611989</v>
      </c>
      <c r="D21">
        <v>47634407</v>
      </c>
      <c r="E21">
        <v>27786564</v>
      </c>
      <c r="F21">
        <v>1</v>
      </c>
      <c r="G21">
        <v>27786564</v>
      </c>
      <c r="H21">
        <v>1</v>
      </c>
      <c r="I21" t="s">
        <v>438</v>
      </c>
      <c r="J21" t="s">
        <v>3</v>
      </c>
      <c r="K21" t="s">
        <v>439</v>
      </c>
      <c r="L21">
        <v>1191</v>
      </c>
      <c r="N21">
        <v>1013</v>
      </c>
      <c r="O21" t="s">
        <v>440</v>
      </c>
      <c r="P21" t="s">
        <v>440</v>
      </c>
      <c r="Q21">
        <v>1</v>
      </c>
      <c r="W21">
        <v>0</v>
      </c>
      <c r="X21">
        <v>476480486</v>
      </c>
      <c r="Y21">
        <f t="shared" ref="Y21:Y28" si="7">((AT21*1.1)*1.2)</f>
        <v>195.16200000000001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147.85</v>
      </c>
      <c r="AU21" t="s">
        <v>70</v>
      </c>
      <c r="AV21">
        <v>1</v>
      </c>
      <c r="AW21">
        <v>2</v>
      </c>
      <c r="AX21">
        <v>56611994</v>
      </c>
      <c r="AY21">
        <v>1</v>
      </c>
      <c r="AZ21">
        <v>0</v>
      </c>
      <c r="BA21">
        <v>27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ROUND(AT21*Source!I44*AH21*AL21,2)</f>
        <v>0</v>
      </c>
      <c r="CV21">
        <f>ROUND(Y21*Source!I44,9)</f>
        <v>0.1170972</v>
      </c>
      <c r="CW21">
        <v>0</v>
      </c>
      <c r="CX21">
        <f>ROUND(Y21*Source!I44,9)</f>
        <v>0.1170972</v>
      </c>
      <c r="CY21">
        <f>AD21</f>
        <v>0</v>
      </c>
      <c r="CZ21">
        <f>AH21</f>
        <v>0</v>
      </c>
      <c r="DA21">
        <f>AL21</f>
        <v>1</v>
      </c>
      <c r="DB21">
        <f t="shared" ref="DB21:DB28" si="8">ROUND(((ROUND(AT21*CZ21,2)*1.1)*1.2),6)</f>
        <v>0</v>
      </c>
      <c r="DC21">
        <f t="shared" ref="DC21:DC28" si="9">ROUND(((ROUND(AT21*AG21,2)*1.1)*1.2),6)</f>
        <v>0</v>
      </c>
      <c r="DD21" t="s">
        <v>3</v>
      </c>
      <c r="DE21" t="s">
        <v>3</v>
      </c>
      <c r="DF21">
        <f t="shared" si="3"/>
        <v>0</v>
      </c>
      <c r="DG21">
        <f>ROUND(ROUND(AF21,2)*CX21,2)</f>
        <v>0</v>
      </c>
      <c r="DH21">
        <f>ROUND(ROUND(AG21,2)*CX21,2)</f>
        <v>0</v>
      </c>
      <c r="DI21">
        <f t="shared" si="6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ROW(Source!A44)</f>
        <v>44</v>
      </c>
      <c r="B22">
        <v>56622523</v>
      </c>
      <c r="C22">
        <v>56611989</v>
      </c>
      <c r="D22">
        <v>47767124</v>
      </c>
      <c r="E22">
        <v>1</v>
      </c>
      <c r="F22">
        <v>1</v>
      </c>
      <c r="G22">
        <v>27786564</v>
      </c>
      <c r="H22">
        <v>2</v>
      </c>
      <c r="I22" t="s">
        <v>451</v>
      </c>
      <c r="J22" t="s">
        <v>452</v>
      </c>
      <c r="K22" t="s">
        <v>453</v>
      </c>
      <c r="L22">
        <v>1368</v>
      </c>
      <c r="N22">
        <v>1011</v>
      </c>
      <c r="O22" t="s">
        <v>444</v>
      </c>
      <c r="P22" t="s">
        <v>444</v>
      </c>
      <c r="Q22">
        <v>1</v>
      </c>
      <c r="W22">
        <v>0</v>
      </c>
      <c r="X22">
        <v>-1320872807</v>
      </c>
      <c r="Y22">
        <f t="shared" si="7"/>
        <v>0.96360000000000001</v>
      </c>
      <c r="AA22">
        <v>0</v>
      </c>
      <c r="AB22">
        <v>15.54</v>
      </c>
      <c r="AC22">
        <v>0</v>
      </c>
      <c r="AD22">
        <v>0</v>
      </c>
      <c r="AE22">
        <v>0</v>
      </c>
      <c r="AF22">
        <v>15.54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0.73</v>
      </c>
      <c r="AU22" t="s">
        <v>70</v>
      </c>
      <c r="AV22">
        <v>0</v>
      </c>
      <c r="AW22">
        <v>2</v>
      </c>
      <c r="AX22">
        <v>56611995</v>
      </c>
      <c r="AY22">
        <v>1</v>
      </c>
      <c r="AZ22">
        <v>0</v>
      </c>
      <c r="BA22">
        <v>28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ROUND(Y22*Source!I44*DO22,9)</f>
        <v>0</v>
      </c>
      <c r="CX22">
        <f>ROUND(Y22*Source!I44,9)</f>
        <v>5.7815999999999998E-4</v>
      </c>
      <c r="CY22">
        <f>AB22</f>
        <v>15.54</v>
      </c>
      <c r="CZ22">
        <f>AF22</f>
        <v>15.54</v>
      </c>
      <c r="DA22">
        <f>AJ22</f>
        <v>1</v>
      </c>
      <c r="DB22">
        <f t="shared" si="8"/>
        <v>14.9688</v>
      </c>
      <c r="DC22">
        <f t="shared" si="9"/>
        <v>0</v>
      </c>
      <c r="DD22" t="s">
        <v>3</v>
      </c>
      <c r="DE22" t="s">
        <v>3</v>
      </c>
      <c r="DF22">
        <f t="shared" si="3"/>
        <v>0</v>
      </c>
      <c r="DG22">
        <f>ROUND(ROUND(AF22,2)*CX22,2)</f>
        <v>0.01</v>
      </c>
      <c r="DH22">
        <f>ROUND(ROUND(AG22,2)*CX22,2)</f>
        <v>0</v>
      </c>
      <c r="DI22">
        <f t="shared" si="6"/>
        <v>0</v>
      </c>
      <c r="DJ22">
        <f>DG22</f>
        <v>0.01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ROW(Source!A44)</f>
        <v>44</v>
      </c>
      <c r="B23">
        <v>56622523</v>
      </c>
      <c r="C23">
        <v>56611989</v>
      </c>
      <c r="D23">
        <v>47767126</v>
      </c>
      <c r="E23">
        <v>1</v>
      </c>
      <c r="F23">
        <v>1</v>
      </c>
      <c r="G23">
        <v>27786564</v>
      </c>
      <c r="H23">
        <v>2</v>
      </c>
      <c r="I23" t="s">
        <v>454</v>
      </c>
      <c r="J23" t="s">
        <v>455</v>
      </c>
      <c r="K23" t="s">
        <v>456</v>
      </c>
      <c r="L23">
        <v>1368</v>
      </c>
      <c r="N23">
        <v>1011</v>
      </c>
      <c r="O23" t="s">
        <v>444</v>
      </c>
      <c r="P23" t="s">
        <v>444</v>
      </c>
      <c r="Q23">
        <v>1</v>
      </c>
      <c r="W23">
        <v>0</v>
      </c>
      <c r="X23">
        <v>-1899016018</v>
      </c>
      <c r="Y23">
        <f t="shared" si="7"/>
        <v>0.96360000000000001</v>
      </c>
      <c r="AA23">
        <v>0</v>
      </c>
      <c r="AB23">
        <v>81.150000000000006</v>
      </c>
      <c r="AC23">
        <v>14.54</v>
      </c>
      <c r="AD23">
        <v>0</v>
      </c>
      <c r="AE23">
        <v>0</v>
      </c>
      <c r="AF23">
        <v>81.150000000000006</v>
      </c>
      <c r="AG23">
        <v>14.54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0.73</v>
      </c>
      <c r="AU23" t="s">
        <v>70</v>
      </c>
      <c r="AV23">
        <v>0</v>
      </c>
      <c r="AW23">
        <v>2</v>
      </c>
      <c r="AX23">
        <v>56611996</v>
      </c>
      <c r="AY23">
        <v>1</v>
      </c>
      <c r="AZ23">
        <v>0</v>
      </c>
      <c r="BA23">
        <v>29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ROUND(Y23*Source!I44*DO23,9)</f>
        <v>0</v>
      </c>
      <c r="CX23">
        <f>ROUND(Y23*Source!I44,9)</f>
        <v>5.7815999999999998E-4</v>
      </c>
      <c r="CY23">
        <f>AB23</f>
        <v>81.150000000000006</v>
      </c>
      <c r="CZ23">
        <f>AF23</f>
        <v>81.150000000000006</v>
      </c>
      <c r="DA23">
        <f>AJ23</f>
        <v>1</v>
      </c>
      <c r="DB23">
        <f t="shared" si="8"/>
        <v>78.196799999999996</v>
      </c>
      <c r="DC23">
        <f t="shared" si="9"/>
        <v>14.0052</v>
      </c>
      <c r="DD23" t="s">
        <v>3</v>
      </c>
      <c r="DE23" t="s">
        <v>3</v>
      </c>
      <c r="DF23">
        <f t="shared" si="3"/>
        <v>0</v>
      </c>
      <c r="DG23">
        <f>ROUND(ROUND(AF23,2)*CX23,2)</f>
        <v>0.05</v>
      </c>
      <c r="DH23">
        <f>ROUND(ROUND(AG23,2)*CX23,2)</f>
        <v>0.01</v>
      </c>
      <c r="DI23">
        <f t="shared" si="6"/>
        <v>0</v>
      </c>
      <c r="DJ23">
        <f>DG23</f>
        <v>0.05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ROW(Source!A44)</f>
        <v>44</v>
      </c>
      <c r="B24">
        <v>56622523</v>
      </c>
      <c r="C24">
        <v>56611989</v>
      </c>
      <c r="D24">
        <v>47766454</v>
      </c>
      <c r="E24">
        <v>1</v>
      </c>
      <c r="F24">
        <v>1</v>
      </c>
      <c r="G24">
        <v>27786564</v>
      </c>
      <c r="H24">
        <v>2</v>
      </c>
      <c r="I24" t="s">
        <v>457</v>
      </c>
      <c r="J24" t="s">
        <v>458</v>
      </c>
      <c r="K24" t="s">
        <v>459</v>
      </c>
      <c r="L24">
        <v>1368</v>
      </c>
      <c r="N24">
        <v>1011</v>
      </c>
      <c r="O24" t="s">
        <v>444</v>
      </c>
      <c r="P24" t="s">
        <v>444</v>
      </c>
      <c r="Q24">
        <v>1</v>
      </c>
      <c r="W24">
        <v>0</v>
      </c>
      <c r="X24">
        <v>922387863</v>
      </c>
      <c r="Y24">
        <f t="shared" si="7"/>
        <v>1.3860000000000003</v>
      </c>
      <c r="AA24">
        <v>0</v>
      </c>
      <c r="AB24">
        <v>179.17</v>
      </c>
      <c r="AC24">
        <v>16.93</v>
      </c>
      <c r="AD24">
        <v>0</v>
      </c>
      <c r="AE24">
        <v>0</v>
      </c>
      <c r="AF24">
        <v>179.17</v>
      </c>
      <c r="AG24">
        <v>16.93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1.05</v>
      </c>
      <c r="AU24" t="s">
        <v>70</v>
      </c>
      <c r="AV24">
        <v>0</v>
      </c>
      <c r="AW24">
        <v>2</v>
      </c>
      <c r="AX24">
        <v>56611997</v>
      </c>
      <c r="AY24">
        <v>1</v>
      </c>
      <c r="AZ24">
        <v>0</v>
      </c>
      <c r="BA24">
        <v>30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ROUND(Y24*Source!I44*DO24,9)</f>
        <v>0</v>
      </c>
      <c r="CX24">
        <f>ROUND(Y24*Source!I44,9)</f>
        <v>8.3160000000000005E-4</v>
      </c>
      <c r="CY24">
        <f>AB24</f>
        <v>179.17</v>
      </c>
      <c r="CZ24">
        <f>AF24</f>
        <v>179.17</v>
      </c>
      <c r="DA24">
        <f>AJ24</f>
        <v>1</v>
      </c>
      <c r="DB24">
        <f t="shared" si="8"/>
        <v>248.33160000000001</v>
      </c>
      <c r="DC24">
        <f t="shared" si="9"/>
        <v>23.4696</v>
      </c>
      <c r="DD24" t="s">
        <v>3</v>
      </c>
      <c r="DE24" t="s">
        <v>3</v>
      </c>
      <c r="DF24">
        <f t="shared" si="3"/>
        <v>0</v>
      </c>
      <c r="DG24">
        <f>ROUND(ROUND(AF24,2)*CX24,2)</f>
        <v>0.15</v>
      </c>
      <c r="DH24">
        <f>ROUND(ROUND(AG24,2)*CX24,2)</f>
        <v>0.01</v>
      </c>
      <c r="DI24">
        <f t="shared" si="6"/>
        <v>0</v>
      </c>
      <c r="DJ24">
        <f>DG24</f>
        <v>0.15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ROW(Source!A45)</f>
        <v>45</v>
      </c>
      <c r="B25">
        <v>56611490</v>
      </c>
      <c r="C25">
        <v>56611989</v>
      </c>
      <c r="D25">
        <v>47634407</v>
      </c>
      <c r="E25">
        <v>27786564</v>
      </c>
      <c r="F25">
        <v>1</v>
      </c>
      <c r="G25">
        <v>27786564</v>
      </c>
      <c r="H25">
        <v>1</v>
      </c>
      <c r="I25" t="s">
        <v>438</v>
      </c>
      <c r="J25" t="s">
        <v>3</v>
      </c>
      <c r="K25" t="s">
        <v>439</v>
      </c>
      <c r="L25">
        <v>1191</v>
      </c>
      <c r="N25">
        <v>1013</v>
      </c>
      <c r="O25" t="s">
        <v>440</v>
      </c>
      <c r="P25" t="s">
        <v>440</v>
      </c>
      <c r="Q25">
        <v>1</v>
      </c>
      <c r="W25">
        <v>0</v>
      </c>
      <c r="X25">
        <v>476480486</v>
      </c>
      <c r="Y25">
        <f t="shared" si="7"/>
        <v>195.16200000000001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147.85</v>
      </c>
      <c r="AU25" t="s">
        <v>70</v>
      </c>
      <c r="AV25">
        <v>1</v>
      </c>
      <c r="AW25">
        <v>2</v>
      </c>
      <c r="AX25">
        <v>56611994</v>
      </c>
      <c r="AY25">
        <v>1</v>
      </c>
      <c r="AZ25">
        <v>0</v>
      </c>
      <c r="BA25">
        <v>32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ROUND(AT25*Source!I45*AH25*AL25,2)</f>
        <v>0</v>
      </c>
      <c r="CV25">
        <f>ROUND(Y25*Source!I45,9)</f>
        <v>0.1170972</v>
      </c>
      <c r="CW25">
        <v>0</v>
      </c>
      <c r="CX25">
        <f>ROUND(Y25*Source!I45,9)</f>
        <v>0.1170972</v>
      </c>
      <c r="CY25">
        <f>AD25</f>
        <v>0</v>
      </c>
      <c r="CZ25">
        <f>AH25</f>
        <v>0</v>
      </c>
      <c r="DA25">
        <f>AL25</f>
        <v>1</v>
      </c>
      <c r="DB25">
        <f t="shared" si="8"/>
        <v>0</v>
      </c>
      <c r="DC25">
        <f t="shared" si="9"/>
        <v>0</v>
      </c>
      <c r="DD25" t="s">
        <v>3</v>
      </c>
      <c r="DE25" t="s">
        <v>3</v>
      </c>
      <c r="DF25">
        <f t="shared" si="3"/>
        <v>0</v>
      </c>
      <c r="DG25">
        <f>ROUND(ROUND(AF25,2)*CX25,2)</f>
        <v>0</v>
      </c>
      <c r="DH25">
        <f>ROUND(ROUND(AG25,2)*CX25,2)</f>
        <v>0</v>
      </c>
      <c r="DI25">
        <f t="shared" si="6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ROW(Source!A45)</f>
        <v>45</v>
      </c>
      <c r="B26">
        <v>56611490</v>
      </c>
      <c r="C26">
        <v>56611989</v>
      </c>
      <c r="D26">
        <v>47767124</v>
      </c>
      <c r="E26">
        <v>1</v>
      </c>
      <c r="F26">
        <v>1</v>
      </c>
      <c r="G26">
        <v>27786564</v>
      </c>
      <c r="H26">
        <v>2</v>
      </c>
      <c r="I26" t="s">
        <v>451</v>
      </c>
      <c r="J26" t="s">
        <v>452</v>
      </c>
      <c r="K26" t="s">
        <v>453</v>
      </c>
      <c r="L26">
        <v>1368</v>
      </c>
      <c r="N26">
        <v>1011</v>
      </c>
      <c r="O26" t="s">
        <v>444</v>
      </c>
      <c r="P26" t="s">
        <v>444</v>
      </c>
      <c r="Q26">
        <v>1</v>
      </c>
      <c r="W26">
        <v>0</v>
      </c>
      <c r="X26">
        <v>-1320872807</v>
      </c>
      <c r="Y26">
        <f t="shared" si="7"/>
        <v>0.96360000000000001</v>
      </c>
      <c r="AA26">
        <v>0</v>
      </c>
      <c r="AB26">
        <v>138.44999999999999</v>
      </c>
      <c r="AC26">
        <v>0</v>
      </c>
      <c r="AD26">
        <v>0</v>
      </c>
      <c r="AE26">
        <v>0</v>
      </c>
      <c r="AF26">
        <v>15.54</v>
      </c>
      <c r="AG26">
        <v>0</v>
      </c>
      <c r="AH26">
        <v>0</v>
      </c>
      <c r="AI26">
        <v>1</v>
      </c>
      <c r="AJ26">
        <v>8.35</v>
      </c>
      <c r="AK26">
        <v>34.51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0.73</v>
      </c>
      <c r="AU26" t="s">
        <v>70</v>
      </c>
      <c r="AV26">
        <v>0</v>
      </c>
      <c r="AW26">
        <v>2</v>
      </c>
      <c r="AX26">
        <v>56611995</v>
      </c>
      <c r="AY26">
        <v>1</v>
      </c>
      <c r="AZ26">
        <v>0</v>
      </c>
      <c r="BA26">
        <v>33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ROUND(Y26*Source!I45*DO26,9)</f>
        <v>0</v>
      </c>
      <c r="CX26">
        <f>ROUND(Y26*Source!I45,9)</f>
        <v>5.7815999999999998E-4</v>
      </c>
      <c r="CY26">
        <f>AB26</f>
        <v>138.44999999999999</v>
      </c>
      <c r="CZ26">
        <f>AF26</f>
        <v>15.54</v>
      </c>
      <c r="DA26">
        <f>AJ26</f>
        <v>8.35</v>
      </c>
      <c r="DB26">
        <f t="shared" si="8"/>
        <v>14.9688</v>
      </c>
      <c r="DC26">
        <f t="shared" si="9"/>
        <v>0</v>
      </c>
      <c r="DD26" t="s">
        <v>3</v>
      </c>
      <c r="DE26" t="s">
        <v>3</v>
      </c>
      <c r="DF26">
        <f t="shared" si="3"/>
        <v>0</v>
      </c>
      <c r="DG26">
        <f>ROUND(ROUND(AF26*AJ26,2)*CX26,2)</f>
        <v>0.08</v>
      </c>
      <c r="DH26">
        <f>ROUND(ROUND(AG26*AK26,2)*CX26,2)</f>
        <v>0</v>
      </c>
      <c r="DI26">
        <f t="shared" si="6"/>
        <v>0</v>
      </c>
      <c r="DJ26">
        <f>DG26</f>
        <v>0.08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ROW(Source!A45)</f>
        <v>45</v>
      </c>
      <c r="B27">
        <v>56611490</v>
      </c>
      <c r="C27">
        <v>56611989</v>
      </c>
      <c r="D27">
        <v>47767126</v>
      </c>
      <c r="E27">
        <v>1</v>
      </c>
      <c r="F27">
        <v>1</v>
      </c>
      <c r="G27">
        <v>27786564</v>
      </c>
      <c r="H27">
        <v>2</v>
      </c>
      <c r="I27" t="s">
        <v>454</v>
      </c>
      <c r="J27" t="s">
        <v>455</v>
      </c>
      <c r="K27" t="s">
        <v>456</v>
      </c>
      <c r="L27">
        <v>1368</v>
      </c>
      <c r="N27">
        <v>1011</v>
      </c>
      <c r="O27" t="s">
        <v>444</v>
      </c>
      <c r="P27" t="s">
        <v>444</v>
      </c>
      <c r="Q27">
        <v>1</v>
      </c>
      <c r="W27">
        <v>0</v>
      </c>
      <c r="X27">
        <v>-1899016018</v>
      </c>
      <c r="Y27">
        <f t="shared" si="7"/>
        <v>0.96360000000000001</v>
      </c>
      <c r="AA27">
        <v>0</v>
      </c>
      <c r="AB27">
        <v>1172.3900000000001</v>
      </c>
      <c r="AC27">
        <v>535.39</v>
      </c>
      <c r="AD27">
        <v>0</v>
      </c>
      <c r="AE27">
        <v>0</v>
      </c>
      <c r="AF27">
        <v>81.150000000000006</v>
      </c>
      <c r="AG27">
        <v>14.54</v>
      </c>
      <c r="AH27">
        <v>0</v>
      </c>
      <c r="AI27">
        <v>1</v>
      </c>
      <c r="AJ27">
        <v>13.54</v>
      </c>
      <c r="AK27">
        <v>34.51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0.73</v>
      </c>
      <c r="AU27" t="s">
        <v>70</v>
      </c>
      <c r="AV27">
        <v>0</v>
      </c>
      <c r="AW27">
        <v>2</v>
      </c>
      <c r="AX27">
        <v>56611996</v>
      </c>
      <c r="AY27">
        <v>1</v>
      </c>
      <c r="AZ27">
        <v>0</v>
      </c>
      <c r="BA27">
        <v>34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ROUND(Y27*Source!I45*DO27,9)</f>
        <v>0</v>
      </c>
      <c r="CX27">
        <f>ROUND(Y27*Source!I45,9)</f>
        <v>5.7815999999999998E-4</v>
      </c>
      <c r="CY27">
        <f>AB27</f>
        <v>1172.3900000000001</v>
      </c>
      <c r="CZ27">
        <f>AF27</f>
        <v>81.150000000000006</v>
      </c>
      <c r="DA27">
        <f>AJ27</f>
        <v>13.54</v>
      </c>
      <c r="DB27">
        <f t="shared" si="8"/>
        <v>78.196799999999996</v>
      </c>
      <c r="DC27">
        <f t="shared" si="9"/>
        <v>14.0052</v>
      </c>
      <c r="DD27" t="s">
        <v>3</v>
      </c>
      <c r="DE27" t="s">
        <v>3</v>
      </c>
      <c r="DF27">
        <f t="shared" si="3"/>
        <v>0</v>
      </c>
      <c r="DG27">
        <f>ROUND(ROUND(AF27*AJ27,2)*CX27,2)</f>
        <v>0.64</v>
      </c>
      <c r="DH27">
        <f>ROUND(ROUND(AG27*AK27,2)*CX27,2)</f>
        <v>0.28999999999999998</v>
      </c>
      <c r="DI27">
        <f t="shared" si="6"/>
        <v>0</v>
      </c>
      <c r="DJ27">
        <f>DG27</f>
        <v>0.64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ROW(Source!A45)</f>
        <v>45</v>
      </c>
      <c r="B28">
        <v>56611490</v>
      </c>
      <c r="C28">
        <v>56611989</v>
      </c>
      <c r="D28">
        <v>47766454</v>
      </c>
      <c r="E28">
        <v>1</v>
      </c>
      <c r="F28">
        <v>1</v>
      </c>
      <c r="G28">
        <v>27786564</v>
      </c>
      <c r="H28">
        <v>2</v>
      </c>
      <c r="I28" t="s">
        <v>457</v>
      </c>
      <c r="J28" t="s">
        <v>458</v>
      </c>
      <c r="K28" t="s">
        <v>459</v>
      </c>
      <c r="L28">
        <v>1368</v>
      </c>
      <c r="N28">
        <v>1011</v>
      </c>
      <c r="O28" t="s">
        <v>444</v>
      </c>
      <c r="P28" t="s">
        <v>444</v>
      </c>
      <c r="Q28">
        <v>1</v>
      </c>
      <c r="W28">
        <v>0</v>
      </c>
      <c r="X28">
        <v>922387863</v>
      </c>
      <c r="Y28">
        <f t="shared" si="7"/>
        <v>1.3860000000000003</v>
      </c>
      <c r="AA28">
        <v>0</v>
      </c>
      <c r="AB28">
        <v>2190.86</v>
      </c>
      <c r="AC28">
        <v>623.4</v>
      </c>
      <c r="AD28">
        <v>0</v>
      </c>
      <c r="AE28">
        <v>0</v>
      </c>
      <c r="AF28">
        <v>179.17</v>
      </c>
      <c r="AG28">
        <v>16.93</v>
      </c>
      <c r="AH28">
        <v>0</v>
      </c>
      <c r="AI28">
        <v>1</v>
      </c>
      <c r="AJ28">
        <v>11.46</v>
      </c>
      <c r="AK28">
        <v>34.51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1.05</v>
      </c>
      <c r="AU28" t="s">
        <v>70</v>
      </c>
      <c r="AV28">
        <v>0</v>
      </c>
      <c r="AW28">
        <v>2</v>
      </c>
      <c r="AX28">
        <v>56611997</v>
      </c>
      <c r="AY28">
        <v>1</v>
      </c>
      <c r="AZ28">
        <v>0</v>
      </c>
      <c r="BA28">
        <v>35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ROUND(Y28*Source!I45*DO28,9)</f>
        <v>0</v>
      </c>
      <c r="CX28">
        <f>ROUND(Y28*Source!I45,9)</f>
        <v>8.3160000000000005E-4</v>
      </c>
      <c r="CY28">
        <f>AB28</f>
        <v>2190.86</v>
      </c>
      <c r="CZ28">
        <f>AF28</f>
        <v>179.17</v>
      </c>
      <c r="DA28">
        <f>AJ28</f>
        <v>11.46</v>
      </c>
      <c r="DB28">
        <f t="shared" si="8"/>
        <v>248.33160000000001</v>
      </c>
      <c r="DC28">
        <f t="shared" si="9"/>
        <v>23.4696</v>
      </c>
      <c r="DD28" t="s">
        <v>3</v>
      </c>
      <c r="DE28" t="s">
        <v>3</v>
      </c>
      <c r="DF28">
        <f t="shared" si="3"/>
        <v>0</v>
      </c>
      <c r="DG28">
        <f>ROUND(ROUND(AF28*AJ28,2)*CX28,2)</f>
        <v>1.71</v>
      </c>
      <c r="DH28">
        <f>ROUND(ROUND(AG28*AK28,2)*CX28,2)</f>
        <v>0.49</v>
      </c>
      <c r="DI28">
        <f t="shared" si="6"/>
        <v>0</v>
      </c>
      <c r="DJ28">
        <f>DG28</f>
        <v>1.71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ROW(Source!A46)</f>
        <v>46</v>
      </c>
      <c r="B29">
        <v>56622523</v>
      </c>
      <c r="C29">
        <v>56611999</v>
      </c>
      <c r="D29">
        <v>47634407</v>
      </c>
      <c r="E29">
        <v>27786564</v>
      </c>
      <c r="F29">
        <v>1</v>
      </c>
      <c r="G29">
        <v>27786564</v>
      </c>
      <c r="H29">
        <v>1</v>
      </c>
      <c r="I29" t="s">
        <v>438</v>
      </c>
      <c r="J29" t="s">
        <v>3</v>
      </c>
      <c r="K29" t="s">
        <v>439</v>
      </c>
      <c r="L29">
        <v>1191</v>
      </c>
      <c r="N29">
        <v>1013</v>
      </c>
      <c r="O29" t="s">
        <v>440</v>
      </c>
      <c r="P29" t="s">
        <v>440</v>
      </c>
      <c r="Q29">
        <v>1</v>
      </c>
      <c r="W29">
        <v>0</v>
      </c>
      <c r="X29">
        <v>476480486</v>
      </c>
      <c r="Y29">
        <f t="shared" ref="Y29:Y36" si="10">(AT29*1.1)</f>
        <v>162.63500000000002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147.85</v>
      </c>
      <c r="AU29" t="s">
        <v>22</v>
      </c>
      <c r="AV29">
        <v>1</v>
      </c>
      <c r="AW29">
        <v>2</v>
      </c>
      <c r="AX29">
        <v>56612004</v>
      </c>
      <c r="AY29">
        <v>1</v>
      </c>
      <c r="AZ29">
        <v>0</v>
      </c>
      <c r="BA29">
        <v>37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ROUND(AT29*Source!I46*AH29*AL29,2)</f>
        <v>0</v>
      </c>
      <c r="CV29">
        <f>ROUND(Y29*Source!I46,9)</f>
        <v>0.227689</v>
      </c>
      <c r="CW29">
        <v>0</v>
      </c>
      <c r="CX29">
        <f>ROUND(Y29*Source!I46,9)</f>
        <v>0.227689</v>
      </c>
      <c r="CY29">
        <f>AD29</f>
        <v>0</v>
      </c>
      <c r="CZ29">
        <f>AH29</f>
        <v>0</v>
      </c>
      <c r="DA29">
        <f>AL29</f>
        <v>1</v>
      </c>
      <c r="DB29">
        <f t="shared" ref="DB29:DB36" si="11">ROUND((ROUND(AT29*CZ29,2)*1.1),6)</f>
        <v>0</v>
      </c>
      <c r="DC29">
        <f t="shared" ref="DC29:DC36" si="12">ROUND((ROUND(AT29*AG29,2)*1.1),6)</f>
        <v>0</v>
      </c>
      <c r="DD29" t="s">
        <v>3</v>
      </c>
      <c r="DE29" t="s">
        <v>3</v>
      </c>
      <c r="DF29">
        <f t="shared" si="3"/>
        <v>0</v>
      </c>
      <c r="DG29">
        <f>ROUND(ROUND(AF29,2)*CX29,2)</f>
        <v>0</v>
      </c>
      <c r="DH29">
        <f>ROUND(ROUND(AG29,2)*CX29,2)</f>
        <v>0</v>
      </c>
      <c r="DI29">
        <f t="shared" si="6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ROW(Source!A46)</f>
        <v>46</v>
      </c>
      <c r="B30">
        <v>56622523</v>
      </c>
      <c r="C30">
        <v>56611999</v>
      </c>
      <c r="D30">
        <v>47767124</v>
      </c>
      <c r="E30">
        <v>1</v>
      </c>
      <c r="F30">
        <v>1</v>
      </c>
      <c r="G30">
        <v>27786564</v>
      </c>
      <c r="H30">
        <v>2</v>
      </c>
      <c r="I30" t="s">
        <v>451</v>
      </c>
      <c r="J30" t="s">
        <v>452</v>
      </c>
      <c r="K30" t="s">
        <v>453</v>
      </c>
      <c r="L30">
        <v>1368</v>
      </c>
      <c r="N30">
        <v>1011</v>
      </c>
      <c r="O30" t="s">
        <v>444</v>
      </c>
      <c r="P30" t="s">
        <v>444</v>
      </c>
      <c r="Q30">
        <v>1</v>
      </c>
      <c r="W30">
        <v>0</v>
      </c>
      <c r="X30">
        <v>-1320872807</v>
      </c>
      <c r="Y30">
        <f t="shared" si="10"/>
        <v>0.80300000000000005</v>
      </c>
      <c r="AA30">
        <v>0</v>
      </c>
      <c r="AB30">
        <v>15.54</v>
      </c>
      <c r="AC30">
        <v>0</v>
      </c>
      <c r="AD30">
        <v>0</v>
      </c>
      <c r="AE30">
        <v>0</v>
      </c>
      <c r="AF30">
        <v>15.54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0.73</v>
      </c>
      <c r="AU30" t="s">
        <v>22</v>
      </c>
      <c r="AV30">
        <v>0</v>
      </c>
      <c r="AW30">
        <v>2</v>
      </c>
      <c r="AX30">
        <v>56612005</v>
      </c>
      <c r="AY30">
        <v>1</v>
      </c>
      <c r="AZ30">
        <v>0</v>
      </c>
      <c r="BA30">
        <v>38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ROUND(Y30*Source!I46*DO30,9)</f>
        <v>0</v>
      </c>
      <c r="CX30">
        <f>ROUND(Y30*Source!I46,9)</f>
        <v>1.1241999999999999E-3</v>
      </c>
      <c r="CY30">
        <f>AB30</f>
        <v>15.54</v>
      </c>
      <c r="CZ30">
        <f>AF30</f>
        <v>15.54</v>
      </c>
      <c r="DA30">
        <f>AJ30</f>
        <v>1</v>
      </c>
      <c r="DB30">
        <f t="shared" si="11"/>
        <v>12.474</v>
      </c>
      <c r="DC30">
        <f t="shared" si="12"/>
        <v>0</v>
      </c>
      <c r="DD30" t="s">
        <v>3</v>
      </c>
      <c r="DE30" t="s">
        <v>3</v>
      </c>
      <c r="DF30">
        <f t="shared" si="3"/>
        <v>0</v>
      </c>
      <c r="DG30">
        <f>ROUND(ROUND(AF30,2)*CX30,2)</f>
        <v>0.02</v>
      </c>
      <c r="DH30">
        <f>ROUND(ROUND(AG30,2)*CX30,2)</f>
        <v>0</v>
      </c>
      <c r="DI30">
        <f t="shared" si="6"/>
        <v>0</v>
      </c>
      <c r="DJ30">
        <f>DG30</f>
        <v>0.02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ROW(Source!A46)</f>
        <v>46</v>
      </c>
      <c r="B31">
        <v>56622523</v>
      </c>
      <c r="C31">
        <v>56611999</v>
      </c>
      <c r="D31">
        <v>47767126</v>
      </c>
      <c r="E31">
        <v>1</v>
      </c>
      <c r="F31">
        <v>1</v>
      </c>
      <c r="G31">
        <v>27786564</v>
      </c>
      <c r="H31">
        <v>2</v>
      </c>
      <c r="I31" t="s">
        <v>454</v>
      </c>
      <c r="J31" t="s">
        <v>455</v>
      </c>
      <c r="K31" t="s">
        <v>456</v>
      </c>
      <c r="L31">
        <v>1368</v>
      </c>
      <c r="N31">
        <v>1011</v>
      </c>
      <c r="O31" t="s">
        <v>444</v>
      </c>
      <c r="P31" t="s">
        <v>444</v>
      </c>
      <c r="Q31">
        <v>1</v>
      </c>
      <c r="W31">
        <v>0</v>
      </c>
      <c r="X31">
        <v>-1899016018</v>
      </c>
      <c r="Y31">
        <f t="shared" si="10"/>
        <v>0.80300000000000005</v>
      </c>
      <c r="AA31">
        <v>0</v>
      </c>
      <c r="AB31">
        <v>81.150000000000006</v>
      </c>
      <c r="AC31">
        <v>14.54</v>
      </c>
      <c r="AD31">
        <v>0</v>
      </c>
      <c r="AE31">
        <v>0</v>
      </c>
      <c r="AF31">
        <v>81.150000000000006</v>
      </c>
      <c r="AG31">
        <v>14.54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0.73</v>
      </c>
      <c r="AU31" t="s">
        <v>22</v>
      </c>
      <c r="AV31">
        <v>0</v>
      </c>
      <c r="AW31">
        <v>2</v>
      </c>
      <c r="AX31">
        <v>56612006</v>
      </c>
      <c r="AY31">
        <v>1</v>
      </c>
      <c r="AZ31">
        <v>0</v>
      </c>
      <c r="BA31">
        <v>39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ROUND(Y31*Source!I46*DO31,9)</f>
        <v>0</v>
      </c>
      <c r="CX31">
        <f>ROUND(Y31*Source!I46,9)</f>
        <v>1.1241999999999999E-3</v>
      </c>
      <c r="CY31">
        <f>AB31</f>
        <v>81.150000000000006</v>
      </c>
      <c r="CZ31">
        <f>AF31</f>
        <v>81.150000000000006</v>
      </c>
      <c r="DA31">
        <f>AJ31</f>
        <v>1</v>
      </c>
      <c r="DB31">
        <f t="shared" si="11"/>
        <v>65.164000000000001</v>
      </c>
      <c r="DC31">
        <f t="shared" si="12"/>
        <v>11.670999999999999</v>
      </c>
      <c r="DD31" t="s">
        <v>3</v>
      </c>
      <c r="DE31" t="s">
        <v>3</v>
      </c>
      <c r="DF31">
        <f t="shared" si="3"/>
        <v>0</v>
      </c>
      <c r="DG31">
        <f>ROUND(ROUND(AF31,2)*CX31,2)</f>
        <v>0.09</v>
      </c>
      <c r="DH31">
        <f>ROUND(ROUND(AG31,2)*CX31,2)</f>
        <v>0.02</v>
      </c>
      <c r="DI31">
        <f t="shared" si="6"/>
        <v>0</v>
      </c>
      <c r="DJ31">
        <f>DG31</f>
        <v>0.09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ROW(Source!A46)</f>
        <v>46</v>
      </c>
      <c r="B32">
        <v>56622523</v>
      </c>
      <c r="C32">
        <v>56611999</v>
      </c>
      <c r="D32">
        <v>47766454</v>
      </c>
      <c r="E32">
        <v>1</v>
      </c>
      <c r="F32">
        <v>1</v>
      </c>
      <c r="G32">
        <v>27786564</v>
      </c>
      <c r="H32">
        <v>2</v>
      </c>
      <c r="I32" t="s">
        <v>457</v>
      </c>
      <c r="J32" t="s">
        <v>458</v>
      </c>
      <c r="K32" t="s">
        <v>459</v>
      </c>
      <c r="L32">
        <v>1368</v>
      </c>
      <c r="N32">
        <v>1011</v>
      </c>
      <c r="O32" t="s">
        <v>444</v>
      </c>
      <c r="P32" t="s">
        <v>444</v>
      </c>
      <c r="Q32">
        <v>1</v>
      </c>
      <c r="W32">
        <v>0</v>
      </c>
      <c r="X32">
        <v>922387863</v>
      </c>
      <c r="Y32">
        <f t="shared" si="10"/>
        <v>1.1550000000000002</v>
      </c>
      <c r="AA32">
        <v>0</v>
      </c>
      <c r="AB32">
        <v>179.17</v>
      </c>
      <c r="AC32">
        <v>16.93</v>
      </c>
      <c r="AD32">
        <v>0</v>
      </c>
      <c r="AE32">
        <v>0</v>
      </c>
      <c r="AF32">
        <v>179.17</v>
      </c>
      <c r="AG32">
        <v>16.93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1.05</v>
      </c>
      <c r="AU32" t="s">
        <v>22</v>
      </c>
      <c r="AV32">
        <v>0</v>
      </c>
      <c r="AW32">
        <v>2</v>
      </c>
      <c r="AX32">
        <v>56612007</v>
      </c>
      <c r="AY32">
        <v>1</v>
      </c>
      <c r="AZ32">
        <v>0</v>
      </c>
      <c r="BA32">
        <v>40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ROUND(Y32*Source!I46*DO32,9)</f>
        <v>0</v>
      </c>
      <c r="CX32">
        <f>ROUND(Y32*Source!I46,9)</f>
        <v>1.6169999999999999E-3</v>
      </c>
      <c r="CY32">
        <f>AB32</f>
        <v>179.17</v>
      </c>
      <c r="CZ32">
        <f>AF32</f>
        <v>179.17</v>
      </c>
      <c r="DA32">
        <f>AJ32</f>
        <v>1</v>
      </c>
      <c r="DB32">
        <f t="shared" si="11"/>
        <v>206.94300000000001</v>
      </c>
      <c r="DC32">
        <f t="shared" si="12"/>
        <v>19.558</v>
      </c>
      <c r="DD32" t="s">
        <v>3</v>
      </c>
      <c r="DE32" t="s">
        <v>3</v>
      </c>
      <c r="DF32">
        <f t="shared" si="3"/>
        <v>0</v>
      </c>
      <c r="DG32">
        <f>ROUND(ROUND(AF32,2)*CX32,2)</f>
        <v>0.28999999999999998</v>
      </c>
      <c r="DH32">
        <f>ROUND(ROUND(AG32,2)*CX32,2)</f>
        <v>0.03</v>
      </c>
      <c r="DI32">
        <f t="shared" si="6"/>
        <v>0</v>
      </c>
      <c r="DJ32">
        <f>DG32</f>
        <v>0.28999999999999998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ROW(Source!A47)</f>
        <v>47</v>
      </c>
      <c r="B33">
        <v>56611490</v>
      </c>
      <c r="C33">
        <v>56611999</v>
      </c>
      <c r="D33">
        <v>47634407</v>
      </c>
      <c r="E33">
        <v>27786564</v>
      </c>
      <c r="F33">
        <v>1</v>
      </c>
      <c r="G33">
        <v>27786564</v>
      </c>
      <c r="H33">
        <v>1</v>
      </c>
      <c r="I33" t="s">
        <v>438</v>
      </c>
      <c r="J33" t="s">
        <v>3</v>
      </c>
      <c r="K33" t="s">
        <v>439</v>
      </c>
      <c r="L33">
        <v>1191</v>
      </c>
      <c r="N33">
        <v>1013</v>
      </c>
      <c r="O33" t="s">
        <v>440</v>
      </c>
      <c r="P33" t="s">
        <v>440</v>
      </c>
      <c r="Q33">
        <v>1</v>
      </c>
      <c r="W33">
        <v>0</v>
      </c>
      <c r="X33">
        <v>476480486</v>
      </c>
      <c r="Y33">
        <f t="shared" si="10"/>
        <v>162.63500000000002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147.85</v>
      </c>
      <c r="AU33" t="s">
        <v>22</v>
      </c>
      <c r="AV33">
        <v>1</v>
      </c>
      <c r="AW33">
        <v>2</v>
      </c>
      <c r="AX33">
        <v>56612004</v>
      </c>
      <c r="AY33">
        <v>1</v>
      </c>
      <c r="AZ33">
        <v>0</v>
      </c>
      <c r="BA33">
        <v>42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ROUND(AT33*Source!I47*AH33*AL33,2)</f>
        <v>0</v>
      </c>
      <c r="CV33">
        <f>ROUND(Y33*Source!I47,9)</f>
        <v>0.227689</v>
      </c>
      <c r="CW33">
        <v>0</v>
      </c>
      <c r="CX33">
        <f>ROUND(Y33*Source!I47,9)</f>
        <v>0.227689</v>
      </c>
      <c r="CY33">
        <f>AD33</f>
        <v>0</v>
      </c>
      <c r="CZ33">
        <f>AH33</f>
        <v>0</v>
      </c>
      <c r="DA33">
        <f>AL33</f>
        <v>1</v>
      </c>
      <c r="DB33">
        <f t="shared" si="11"/>
        <v>0</v>
      </c>
      <c r="DC33">
        <f t="shared" si="12"/>
        <v>0</v>
      </c>
      <c r="DD33" t="s">
        <v>3</v>
      </c>
      <c r="DE33" t="s">
        <v>3</v>
      </c>
      <c r="DF33">
        <f t="shared" ref="DF33:DF64" si="13">ROUND(ROUND(AE33,2)*CX33,2)</f>
        <v>0</v>
      </c>
      <c r="DG33">
        <f>ROUND(ROUND(AF33,2)*CX33,2)</f>
        <v>0</v>
      </c>
      <c r="DH33">
        <f>ROUND(ROUND(AG33,2)*CX33,2)</f>
        <v>0</v>
      </c>
      <c r="DI33">
        <f t="shared" si="6"/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ROW(Source!A47)</f>
        <v>47</v>
      </c>
      <c r="B34">
        <v>56611490</v>
      </c>
      <c r="C34">
        <v>56611999</v>
      </c>
      <c r="D34">
        <v>47767124</v>
      </c>
      <c r="E34">
        <v>1</v>
      </c>
      <c r="F34">
        <v>1</v>
      </c>
      <c r="G34">
        <v>27786564</v>
      </c>
      <c r="H34">
        <v>2</v>
      </c>
      <c r="I34" t="s">
        <v>451</v>
      </c>
      <c r="J34" t="s">
        <v>452</v>
      </c>
      <c r="K34" t="s">
        <v>453</v>
      </c>
      <c r="L34">
        <v>1368</v>
      </c>
      <c r="N34">
        <v>1011</v>
      </c>
      <c r="O34" t="s">
        <v>444</v>
      </c>
      <c r="P34" t="s">
        <v>444</v>
      </c>
      <c r="Q34">
        <v>1</v>
      </c>
      <c r="W34">
        <v>0</v>
      </c>
      <c r="X34">
        <v>-1320872807</v>
      </c>
      <c r="Y34">
        <f t="shared" si="10"/>
        <v>0.80300000000000005</v>
      </c>
      <c r="AA34">
        <v>0</v>
      </c>
      <c r="AB34">
        <v>138.44999999999999</v>
      </c>
      <c r="AC34">
        <v>0</v>
      </c>
      <c r="AD34">
        <v>0</v>
      </c>
      <c r="AE34">
        <v>0</v>
      </c>
      <c r="AF34">
        <v>15.54</v>
      </c>
      <c r="AG34">
        <v>0</v>
      </c>
      <c r="AH34">
        <v>0</v>
      </c>
      <c r="AI34">
        <v>1</v>
      </c>
      <c r="AJ34">
        <v>8.35</v>
      </c>
      <c r="AK34">
        <v>34.51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0.73</v>
      </c>
      <c r="AU34" t="s">
        <v>22</v>
      </c>
      <c r="AV34">
        <v>0</v>
      </c>
      <c r="AW34">
        <v>2</v>
      </c>
      <c r="AX34">
        <v>56612005</v>
      </c>
      <c r="AY34">
        <v>1</v>
      </c>
      <c r="AZ34">
        <v>0</v>
      </c>
      <c r="BA34">
        <v>43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ROUND(Y34*Source!I47*DO34,9)</f>
        <v>0</v>
      </c>
      <c r="CX34">
        <f>ROUND(Y34*Source!I47,9)</f>
        <v>1.1241999999999999E-3</v>
      </c>
      <c r="CY34">
        <f>AB34</f>
        <v>138.44999999999999</v>
      </c>
      <c r="CZ34">
        <f>AF34</f>
        <v>15.54</v>
      </c>
      <c r="DA34">
        <f>AJ34</f>
        <v>8.35</v>
      </c>
      <c r="DB34">
        <f t="shared" si="11"/>
        <v>12.474</v>
      </c>
      <c r="DC34">
        <f t="shared" si="12"/>
        <v>0</v>
      </c>
      <c r="DD34" t="s">
        <v>3</v>
      </c>
      <c r="DE34" t="s">
        <v>3</v>
      </c>
      <c r="DF34">
        <f t="shared" si="13"/>
        <v>0</v>
      </c>
      <c r="DG34">
        <f>ROUND(ROUND(AF34*AJ34,2)*CX34,2)</f>
        <v>0.15</v>
      </c>
      <c r="DH34">
        <f>ROUND(ROUND(AG34*AK34,2)*CX34,2)</f>
        <v>0</v>
      </c>
      <c r="DI34">
        <f t="shared" si="6"/>
        <v>0</v>
      </c>
      <c r="DJ34">
        <f>DG34</f>
        <v>0.15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ROW(Source!A47)</f>
        <v>47</v>
      </c>
      <c r="B35">
        <v>56611490</v>
      </c>
      <c r="C35">
        <v>56611999</v>
      </c>
      <c r="D35">
        <v>47767126</v>
      </c>
      <c r="E35">
        <v>1</v>
      </c>
      <c r="F35">
        <v>1</v>
      </c>
      <c r="G35">
        <v>27786564</v>
      </c>
      <c r="H35">
        <v>2</v>
      </c>
      <c r="I35" t="s">
        <v>454</v>
      </c>
      <c r="J35" t="s">
        <v>455</v>
      </c>
      <c r="K35" t="s">
        <v>456</v>
      </c>
      <c r="L35">
        <v>1368</v>
      </c>
      <c r="N35">
        <v>1011</v>
      </c>
      <c r="O35" t="s">
        <v>444</v>
      </c>
      <c r="P35" t="s">
        <v>444</v>
      </c>
      <c r="Q35">
        <v>1</v>
      </c>
      <c r="W35">
        <v>0</v>
      </c>
      <c r="X35">
        <v>-1899016018</v>
      </c>
      <c r="Y35">
        <f t="shared" si="10"/>
        <v>0.80300000000000005</v>
      </c>
      <c r="AA35">
        <v>0</v>
      </c>
      <c r="AB35">
        <v>1172.3900000000001</v>
      </c>
      <c r="AC35">
        <v>535.39</v>
      </c>
      <c r="AD35">
        <v>0</v>
      </c>
      <c r="AE35">
        <v>0</v>
      </c>
      <c r="AF35">
        <v>81.150000000000006</v>
      </c>
      <c r="AG35">
        <v>14.54</v>
      </c>
      <c r="AH35">
        <v>0</v>
      </c>
      <c r="AI35">
        <v>1</v>
      </c>
      <c r="AJ35">
        <v>13.54</v>
      </c>
      <c r="AK35">
        <v>34.51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0.73</v>
      </c>
      <c r="AU35" t="s">
        <v>22</v>
      </c>
      <c r="AV35">
        <v>0</v>
      </c>
      <c r="AW35">
        <v>2</v>
      </c>
      <c r="AX35">
        <v>56612006</v>
      </c>
      <c r="AY35">
        <v>1</v>
      </c>
      <c r="AZ35">
        <v>0</v>
      </c>
      <c r="BA35">
        <v>44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f>ROUND(Y35*Source!I47*DO35,9)</f>
        <v>0</v>
      </c>
      <c r="CX35">
        <f>ROUND(Y35*Source!I47,9)</f>
        <v>1.1241999999999999E-3</v>
      </c>
      <c r="CY35">
        <f>AB35</f>
        <v>1172.3900000000001</v>
      </c>
      <c r="CZ35">
        <f>AF35</f>
        <v>81.150000000000006</v>
      </c>
      <c r="DA35">
        <f>AJ35</f>
        <v>13.54</v>
      </c>
      <c r="DB35">
        <f t="shared" si="11"/>
        <v>65.164000000000001</v>
      </c>
      <c r="DC35">
        <f t="shared" si="12"/>
        <v>11.670999999999999</v>
      </c>
      <c r="DD35" t="s">
        <v>3</v>
      </c>
      <c r="DE35" t="s">
        <v>3</v>
      </c>
      <c r="DF35">
        <f t="shared" si="13"/>
        <v>0</v>
      </c>
      <c r="DG35">
        <f>ROUND(ROUND(AF35*AJ35,2)*CX35,2)</f>
        <v>1.24</v>
      </c>
      <c r="DH35">
        <f>ROUND(ROUND(AG35*AK35,2)*CX35,2)</f>
        <v>0.56000000000000005</v>
      </c>
      <c r="DI35">
        <f t="shared" si="6"/>
        <v>0</v>
      </c>
      <c r="DJ35">
        <f>DG35</f>
        <v>1.24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ROW(Source!A47)</f>
        <v>47</v>
      </c>
      <c r="B36">
        <v>56611490</v>
      </c>
      <c r="C36">
        <v>56611999</v>
      </c>
      <c r="D36">
        <v>47766454</v>
      </c>
      <c r="E36">
        <v>1</v>
      </c>
      <c r="F36">
        <v>1</v>
      </c>
      <c r="G36">
        <v>27786564</v>
      </c>
      <c r="H36">
        <v>2</v>
      </c>
      <c r="I36" t="s">
        <v>457</v>
      </c>
      <c r="J36" t="s">
        <v>458</v>
      </c>
      <c r="K36" t="s">
        <v>459</v>
      </c>
      <c r="L36">
        <v>1368</v>
      </c>
      <c r="N36">
        <v>1011</v>
      </c>
      <c r="O36" t="s">
        <v>444</v>
      </c>
      <c r="P36" t="s">
        <v>444</v>
      </c>
      <c r="Q36">
        <v>1</v>
      </c>
      <c r="W36">
        <v>0</v>
      </c>
      <c r="X36">
        <v>922387863</v>
      </c>
      <c r="Y36">
        <f t="shared" si="10"/>
        <v>1.1550000000000002</v>
      </c>
      <c r="AA36">
        <v>0</v>
      </c>
      <c r="AB36">
        <v>2190.86</v>
      </c>
      <c r="AC36">
        <v>623.4</v>
      </c>
      <c r="AD36">
        <v>0</v>
      </c>
      <c r="AE36">
        <v>0</v>
      </c>
      <c r="AF36">
        <v>179.17</v>
      </c>
      <c r="AG36">
        <v>16.93</v>
      </c>
      <c r="AH36">
        <v>0</v>
      </c>
      <c r="AI36">
        <v>1</v>
      </c>
      <c r="AJ36">
        <v>11.46</v>
      </c>
      <c r="AK36">
        <v>34.51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1.05</v>
      </c>
      <c r="AU36" t="s">
        <v>22</v>
      </c>
      <c r="AV36">
        <v>0</v>
      </c>
      <c r="AW36">
        <v>2</v>
      </c>
      <c r="AX36">
        <v>56612007</v>
      </c>
      <c r="AY36">
        <v>1</v>
      </c>
      <c r="AZ36">
        <v>0</v>
      </c>
      <c r="BA36">
        <v>45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ROUND(Y36*Source!I47*DO36,9)</f>
        <v>0</v>
      </c>
      <c r="CX36">
        <f>ROUND(Y36*Source!I47,9)</f>
        <v>1.6169999999999999E-3</v>
      </c>
      <c r="CY36">
        <f>AB36</f>
        <v>2190.86</v>
      </c>
      <c r="CZ36">
        <f>AF36</f>
        <v>179.17</v>
      </c>
      <c r="DA36">
        <f>AJ36</f>
        <v>11.46</v>
      </c>
      <c r="DB36">
        <f t="shared" si="11"/>
        <v>206.94300000000001</v>
      </c>
      <c r="DC36">
        <f t="shared" si="12"/>
        <v>19.558</v>
      </c>
      <c r="DD36" t="s">
        <v>3</v>
      </c>
      <c r="DE36" t="s">
        <v>3</v>
      </c>
      <c r="DF36">
        <f t="shared" si="13"/>
        <v>0</v>
      </c>
      <c r="DG36">
        <f>ROUND(ROUND(AF36*AJ36,2)*CX36,2)</f>
        <v>3.32</v>
      </c>
      <c r="DH36">
        <f>ROUND(ROUND(AG36*AK36,2)*CX36,2)</f>
        <v>0.94</v>
      </c>
      <c r="DI36">
        <f t="shared" si="6"/>
        <v>0</v>
      </c>
      <c r="DJ36">
        <f>DG36</f>
        <v>3.32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ROW(Source!A48)</f>
        <v>48</v>
      </c>
      <c r="B37">
        <v>56622523</v>
      </c>
      <c r="C37">
        <v>56612009</v>
      </c>
      <c r="D37">
        <v>47634407</v>
      </c>
      <c r="E37">
        <v>27786564</v>
      </c>
      <c r="F37">
        <v>1</v>
      </c>
      <c r="G37">
        <v>27786564</v>
      </c>
      <c r="H37">
        <v>1</v>
      </c>
      <c r="I37" t="s">
        <v>438</v>
      </c>
      <c r="J37" t="s">
        <v>3</v>
      </c>
      <c r="K37" t="s">
        <v>439</v>
      </c>
      <c r="L37">
        <v>1191</v>
      </c>
      <c r="N37">
        <v>1013</v>
      </c>
      <c r="O37" t="s">
        <v>440</v>
      </c>
      <c r="P37" t="s">
        <v>440</v>
      </c>
      <c r="Q37">
        <v>1</v>
      </c>
      <c r="W37">
        <v>0</v>
      </c>
      <c r="X37">
        <v>476480486</v>
      </c>
      <c r="Y37">
        <f t="shared" ref="Y37:Y46" si="14">((AT37*1.1)*1.2)</f>
        <v>142.29600000000002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107.8</v>
      </c>
      <c r="AU37" t="s">
        <v>70</v>
      </c>
      <c r="AV37">
        <v>1</v>
      </c>
      <c r="AW37">
        <v>2</v>
      </c>
      <c r="AX37">
        <v>56612015</v>
      </c>
      <c r="AY37">
        <v>1</v>
      </c>
      <c r="AZ37">
        <v>0</v>
      </c>
      <c r="BA37">
        <v>47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ROUND(AT37*Source!I48*AH37*AL37,2)</f>
        <v>0</v>
      </c>
      <c r="CV37">
        <f>ROUND(Y37*Source!I48,9)</f>
        <v>0.42688799999999999</v>
      </c>
      <c r="CW37">
        <v>0</v>
      </c>
      <c r="CX37">
        <f>ROUND(Y37*Source!I48,9)</f>
        <v>0.42688799999999999</v>
      </c>
      <c r="CY37">
        <f>AD37</f>
        <v>0</v>
      </c>
      <c r="CZ37">
        <f>AH37</f>
        <v>0</v>
      </c>
      <c r="DA37">
        <f>AL37</f>
        <v>1</v>
      </c>
      <c r="DB37">
        <f t="shared" ref="DB37:DB46" si="15">ROUND(((ROUND(AT37*CZ37,2)*1.1)*1.2),6)</f>
        <v>0</v>
      </c>
      <c r="DC37">
        <f t="shared" ref="DC37:DC46" si="16">ROUND(((ROUND(AT37*AG37,2)*1.1)*1.2),6)</f>
        <v>0</v>
      </c>
      <c r="DD37" t="s">
        <v>3</v>
      </c>
      <c r="DE37" t="s">
        <v>3</v>
      </c>
      <c r="DF37">
        <f t="shared" si="13"/>
        <v>0</v>
      </c>
      <c r="DG37">
        <f t="shared" ref="DG37:DG42" si="17">ROUND(ROUND(AF37,2)*CX37,2)</f>
        <v>0</v>
      </c>
      <c r="DH37">
        <f t="shared" ref="DH37:DH42" si="18">ROUND(ROUND(AG37,2)*CX37,2)</f>
        <v>0</v>
      </c>
      <c r="DI37">
        <f t="shared" si="6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ROW(Source!A48)</f>
        <v>48</v>
      </c>
      <c r="B38">
        <v>56622523</v>
      </c>
      <c r="C38">
        <v>56612009</v>
      </c>
      <c r="D38">
        <v>47767124</v>
      </c>
      <c r="E38">
        <v>1</v>
      </c>
      <c r="F38">
        <v>1</v>
      </c>
      <c r="G38">
        <v>27786564</v>
      </c>
      <c r="H38">
        <v>2</v>
      </c>
      <c r="I38" t="s">
        <v>451</v>
      </c>
      <c r="J38" t="s">
        <v>452</v>
      </c>
      <c r="K38" t="s">
        <v>453</v>
      </c>
      <c r="L38">
        <v>1368</v>
      </c>
      <c r="N38">
        <v>1011</v>
      </c>
      <c r="O38" t="s">
        <v>444</v>
      </c>
      <c r="P38" t="s">
        <v>444</v>
      </c>
      <c r="Q38">
        <v>1</v>
      </c>
      <c r="W38">
        <v>0</v>
      </c>
      <c r="X38">
        <v>-1320872807</v>
      </c>
      <c r="Y38">
        <f t="shared" si="14"/>
        <v>0.95040000000000002</v>
      </c>
      <c r="AA38">
        <v>0</v>
      </c>
      <c r="AB38">
        <v>15.54</v>
      </c>
      <c r="AC38">
        <v>0</v>
      </c>
      <c r="AD38">
        <v>0</v>
      </c>
      <c r="AE38">
        <v>0</v>
      </c>
      <c r="AF38">
        <v>15.54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0.72</v>
      </c>
      <c r="AU38" t="s">
        <v>70</v>
      </c>
      <c r="AV38">
        <v>0</v>
      </c>
      <c r="AW38">
        <v>2</v>
      </c>
      <c r="AX38">
        <v>56612016</v>
      </c>
      <c r="AY38">
        <v>1</v>
      </c>
      <c r="AZ38">
        <v>0</v>
      </c>
      <c r="BA38">
        <v>48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ROUND(Y38*Source!I48*DO38,9)</f>
        <v>0</v>
      </c>
      <c r="CX38">
        <f>ROUND(Y38*Source!I48,9)</f>
        <v>2.8511999999999999E-3</v>
      </c>
      <c r="CY38">
        <f>AB38</f>
        <v>15.54</v>
      </c>
      <c r="CZ38">
        <f>AF38</f>
        <v>15.54</v>
      </c>
      <c r="DA38">
        <f>AJ38</f>
        <v>1</v>
      </c>
      <c r="DB38">
        <f t="shared" si="15"/>
        <v>14.770799999999999</v>
      </c>
      <c r="DC38">
        <f t="shared" si="16"/>
        <v>0</v>
      </c>
      <c r="DD38" t="s">
        <v>3</v>
      </c>
      <c r="DE38" t="s">
        <v>3</v>
      </c>
      <c r="DF38">
        <f t="shared" si="13"/>
        <v>0</v>
      </c>
      <c r="DG38">
        <f t="shared" si="17"/>
        <v>0.04</v>
      </c>
      <c r="DH38">
        <f t="shared" si="18"/>
        <v>0</v>
      </c>
      <c r="DI38">
        <f t="shared" si="6"/>
        <v>0</v>
      </c>
      <c r="DJ38">
        <f>DG38</f>
        <v>0.04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ROW(Source!A48)</f>
        <v>48</v>
      </c>
      <c r="B39">
        <v>56622523</v>
      </c>
      <c r="C39">
        <v>56612009</v>
      </c>
      <c r="D39">
        <v>47767126</v>
      </c>
      <c r="E39">
        <v>1</v>
      </c>
      <c r="F39">
        <v>1</v>
      </c>
      <c r="G39">
        <v>27786564</v>
      </c>
      <c r="H39">
        <v>2</v>
      </c>
      <c r="I39" t="s">
        <v>454</v>
      </c>
      <c r="J39" t="s">
        <v>455</v>
      </c>
      <c r="K39" t="s">
        <v>456</v>
      </c>
      <c r="L39">
        <v>1368</v>
      </c>
      <c r="N39">
        <v>1011</v>
      </c>
      <c r="O39" t="s">
        <v>444</v>
      </c>
      <c r="P39" t="s">
        <v>444</v>
      </c>
      <c r="Q39">
        <v>1</v>
      </c>
      <c r="W39">
        <v>0</v>
      </c>
      <c r="X39">
        <v>-1899016018</v>
      </c>
      <c r="Y39">
        <f t="shared" si="14"/>
        <v>0.95040000000000002</v>
      </c>
      <c r="AA39">
        <v>0</v>
      </c>
      <c r="AB39">
        <v>81.150000000000006</v>
      </c>
      <c r="AC39">
        <v>14.54</v>
      </c>
      <c r="AD39">
        <v>0</v>
      </c>
      <c r="AE39">
        <v>0</v>
      </c>
      <c r="AF39">
        <v>81.150000000000006</v>
      </c>
      <c r="AG39">
        <v>14.54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0.72</v>
      </c>
      <c r="AU39" t="s">
        <v>70</v>
      </c>
      <c r="AV39">
        <v>0</v>
      </c>
      <c r="AW39">
        <v>2</v>
      </c>
      <c r="AX39">
        <v>56612017</v>
      </c>
      <c r="AY39">
        <v>1</v>
      </c>
      <c r="AZ39">
        <v>0</v>
      </c>
      <c r="BA39">
        <v>49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f>ROUND(Y39*Source!I48*DO39,9)</f>
        <v>0</v>
      </c>
      <c r="CX39">
        <f>ROUND(Y39*Source!I48,9)</f>
        <v>2.8511999999999999E-3</v>
      </c>
      <c r="CY39">
        <f>AB39</f>
        <v>81.150000000000006</v>
      </c>
      <c r="CZ39">
        <f>AF39</f>
        <v>81.150000000000006</v>
      </c>
      <c r="DA39">
        <f>AJ39</f>
        <v>1</v>
      </c>
      <c r="DB39">
        <f t="shared" si="15"/>
        <v>77.127600000000001</v>
      </c>
      <c r="DC39">
        <f t="shared" si="16"/>
        <v>13.820399999999999</v>
      </c>
      <c r="DD39" t="s">
        <v>3</v>
      </c>
      <c r="DE39" t="s">
        <v>3</v>
      </c>
      <c r="DF39">
        <f t="shared" si="13"/>
        <v>0</v>
      </c>
      <c r="DG39">
        <f t="shared" si="17"/>
        <v>0.23</v>
      </c>
      <c r="DH39">
        <f t="shared" si="18"/>
        <v>0.04</v>
      </c>
      <c r="DI39">
        <f t="shared" si="6"/>
        <v>0</v>
      </c>
      <c r="DJ39">
        <f>DG39</f>
        <v>0.23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ROW(Source!A48)</f>
        <v>48</v>
      </c>
      <c r="B40">
        <v>56622523</v>
      </c>
      <c r="C40">
        <v>56612009</v>
      </c>
      <c r="D40">
        <v>47766454</v>
      </c>
      <c r="E40">
        <v>1</v>
      </c>
      <c r="F40">
        <v>1</v>
      </c>
      <c r="G40">
        <v>27786564</v>
      </c>
      <c r="H40">
        <v>2</v>
      </c>
      <c r="I40" t="s">
        <v>457</v>
      </c>
      <c r="J40" t="s">
        <v>458</v>
      </c>
      <c r="K40" t="s">
        <v>459</v>
      </c>
      <c r="L40">
        <v>1368</v>
      </c>
      <c r="N40">
        <v>1011</v>
      </c>
      <c r="O40" t="s">
        <v>444</v>
      </c>
      <c r="P40" t="s">
        <v>444</v>
      </c>
      <c r="Q40">
        <v>1</v>
      </c>
      <c r="W40">
        <v>0</v>
      </c>
      <c r="X40">
        <v>922387863</v>
      </c>
      <c r="Y40">
        <f t="shared" si="14"/>
        <v>1.3728</v>
      </c>
      <c r="AA40">
        <v>0</v>
      </c>
      <c r="AB40">
        <v>179.17</v>
      </c>
      <c r="AC40">
        <v>16.93</v>
      </c>
      <c r="AD40">
        <v>0</v>
      </c>
      <c r="AE40">
        <v>0</v>
      </c>
      <c r="AF40">
        <v>179.17</v>
      </c>
      <c r="AG40">
        <v>16.93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1.04</v>
      </c>
      <c r="AU40" t="s">
        <v>70</v>
      </c>
      <c r="AV40">
        <v>0</v>
      </c>
      <c r="AW40">
        <v>2</v>
      </c>
      <c r="AX40">
        <v>56612018</v>
      </c>
      <c r="AY40">
        <v>1</v>
      </c>
      <c r="AZ40">
        <v>0</v>
      </c>
      <c r="BA40">
        <v>50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f>ROUND(Y40*Source!I48*DO40,9)</f>
        <v>0</v>
      </c>
      <c r="CX40">
        <f>ROUND(Y40*Source!I48,9)</f>
        <v>4.1184000000000004E-3</v>
      </c>
      <c r="CY40">
        <f>AB40</f>
        <v>179.17</v>
      </c>
      <c r="CZ40">
        <f>AF40</f>
        <v>179.17</v>
      </c>
      <c r="DA40">
        <f>AJ40</f>
        <v>1</v>
      </c>
      <c r="DB40">
        <f t="shared" si="15"/>
        <v>245.96879999999999</v>
      </c>
      <c r="DC40">
        <f t="shared" si="16"/>
        <v>23.245200000000001</v>
      </c>
      <c r="DD40" t="s">
        <v>3</v>
      </c>
      <c r="DE40" t="s">
        <v>3</v>
      </c>
      <c r="DF40">
        <f t="shared" si="13"/>
        <v>0</v>
      </c>
      <c r="DG40">
        <f t="shared" si="17"/>
        <v>0.74</v>
      </c>
      <c r="DH40">
        <f t="shared" si="18"/>
        <v>7.0000000000000007E-2</v>
      </c>
      <c r="DI40">
        <f t="shared" si="6"/>
        <v>0</v>
      </c>
      <c r="DJ40">
        <f>DG40</f>
        <v>0.74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ROW(Source!A48)</f>
        <v>48</v>
      </c>
      <c r="B41">
        <v>56622523</v>
      </c>
      <c r="C41">
        <v>56612009</v>
      </c>
      <c r="D41">
        <v>47634960</v>
      </c>
      <c r="E41">
        <v>27786564</v>
      </c>
      <c r="F41">
        <v>1</v>
      </c>
      <c r="G41">
        <v>27786564</v>
      </c>
      <c r="H41">
        <v>2</v>
      </c>
      <c r="I41" t="s">
        <v>448</v>
      </c>
      <c r="J41" t="s">
        <v>3</v>
      </c>
      <c r="K41" t="s">
        <v>449</v>
      </c>
      <c r="L41">
        <v>1344</v>
      </c>
      <c r="N41">
        <v>1008</v>
      </c>
      <c r="O41" t="s">
        <v>450</v>
      </c>
      <c r="P41" t="s">
        <v>450</v>
      </c>
      <c r="Q41">
        <v>1</v>
      </c>
      <c r="W41">
        <v>0</v>
      </c>
      <c r="X41">
        <v>-1180195794</v>
      </c>
      <c r="Y41">
        <f t="shared" si="14"/>
        <v>2.6400000000000003E-2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0.02</v>
      </c>
      <c r="AU41" t="s">
        <v>70</v>
      </c>
      <c r="AV41">
        <v>0</v>
      </c>
      <c r="AW41">
        <v>2</v>
      </c>
      <c r="AX41">
        <v>56612019</v>
      </c>
      <c r="AY41">
        <v>1</v>
      </c>
      <c r="AZ41">
        <v>0</v>
      </c>
      <c r="BA41">
        <v>51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ROUND(Y41*Source!I48*DO41,9)</f>
        <v>0</v>
      </c>
      <c r="CX41">
        <f>ROUND(Y41*Source!I48,9)</f>
        <v>7.9200000000000001E-5</v>
      </c>
      <c r="CY41">
        <f>AB41</f>
        <v>1</v>
      </c>
      <c r="CZ41">
        <f>AF41</f>
        <v>1</v>
      </c>
      <c r="DA41">
        <f>AJ41</f>
        <v>1</v>
      </c>
      <c r="DB41">
        <f t="shared" si="15"/>
        <v>2.64E-2</v>
      </c>
      <c r="DC41">
        <f t="shared" si="16"/>
        <v>0</v>
      </c>
      <c r="DD41" t="s">
        <v>3</v>
      </c>
      <c r="DE41" t="s">
        <v>3</v>
      </c>
      <c r="DF41">
        <f t="shared" si="13"/>
        <v>0</v>
      </c>
      <c r="DG41">
        <f t="shared" si="17"/>
        <v>0</v>
      </c>
      <c r="DH41">
        <f t="shared" si="18"/>
        <v>0</v>
      </c>
      <c r="DI41">
        <f t="shared" si="6"/>
        <v>0</v>
      </c>
      <c r="DJ41">
        <f>DG41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ROW(Source!A49)</f>
        <v>49</v>
      </c>
      <c r="B42">
        <v>56611490</v>
      </c>
      <c r="C42">
        <v>56612009</v>
      </c>
      <c r="D42">
        <v>47634407</v>
      </c>
      <c r="E42">
        <v>27786564</v>
      </c>
      <c r="F42">
        <v>1</v>
      </c>
      <c r="G42">
        <v>27786564</v>
      </c>
      <c r="H42">
        <v>1</v>
      </c>
      <c r="I42" t="s">
        <v>438</v>
      </c>
      <c r="J42" t="s">
        <v>3</v>
      </c>
      <c r="K42" t="s">
        <v>439</v>
      </c>
      <c r="L42">
        <v>1191</v>
      </c>
      <c r="N42">
        <v>1013</v>
      </c>
      <c r="O42" t="s">
        <v>440</v>
      </c>
      <c r="P42" t="s">
        <v>440</v>
      </c>
      <c r="Q42">
        <v>1</v>
      </c>
      <c r="W42">
        <v>0</v>
      </c>
      <c r="X42">
        <v>476480486</v>
      </c>
      <c r="Y42">
        <f t="shared" si="14"/>
        <v>142.29600000000002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107.8</v>
      </c>
      <c r="AU42" t="s">
        <v>70</v>
      </c>
      <c r="AV42">
        <v>1</v>
      </c>
      <c r="AW42">
        <v>2</v>
      </c>
      <c r="AX42">
        <v>56612015</v>
      </c>
      <c r="AY42">
        <v>1</v>
      </c>
      <c r="AZ42">
        <v>0</v>
      </c>
      <c r="BA42">
        <v>53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U42">
        <f>ROUND(AT42*Source!I49*AH42*AL42,2)</f>
        <v>0</v>
      </c>
      <c r="CV42">
        <f>ROUND(Y42*Source!I49,9)</f>
        <v>0.42688799999999999</v>
      </c>
      <c r="CW42">
        <v>0</v>
      </c>
      <c r="CX42">
        <f>ROUND(Y42*Source!I49,9)</f>
        <v>0.42688799999999999</v>
      </c>
      <c r="CY42">
        <f>AD42</f>
        <v>0</v>
      </c>
      <c r="CZ42">
        <f>AH42</f>
        <v>0</v>
      </c>
      <c r="DA42">
        <f>AL42</f>
        <v>1</v>
      </c>
      <c r="DB42">
        <f t="shared" si="15"/>
        <v>0</v>
      </c>
      <c r="DC42">
        <f t="shared" si="16"/>
        <v>0</v>
      </c>
      <c r="DD42" t="s">
        <v>3</v>
      </c>
      <c r="DE42" t="s">
        <v>3</v>
      </c>
      <c r="DF42">
        <f t="shared" si="13"/>
        <v>0</v>
      </c>
      <c r="DG42">
        <f t="shared" si="17"/>
        <v>0</v>
      </c>
      <c r="DH42">
        <f t="shared" si="18"/>
        <v>0</v>
      </c>
      <c r="DI42">
        <f t="shared" si="6"/>
        <v>0</v>
      </c>
      <c r="DJ42">
        <f>DI42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ROW(Source!A49)</f>
        <v>49</v>
      </c>
      <c r="B43">
        <v>56611490</v>
      </c>
      <c r="C43">
        <v>56612009</v>
      </c>
      <c r="D43">
        <v>47767124</v>
      </c>
      <c r="E43">
        <v>1</v>
      </c>
      <c r="F43">
        <v>1</v>
      </c>
      <c r="G43">
        <v>27786564</v>
      </c>
      <c r="H43">
        <v>2</v>
      </c>
      <c r="I43" t="s">
        <v>451</v>
      </c>
      <c r="J43" t="s">
        <v>452</v>
      </c>
      <c r="K43" t="s">
        <v>453</v>
      </c>
      <c r="L43">
        <v>1368</v>
      </c>
      <c r="N43">
        <v>1011</v>
      </c>
      <c r="O43" t="s">
        <v>444</v>
      </c>
      <c r="P43" t="s">
        <v>444</v>
      </c>
      <c r="Q43">
        <v>1</v>
      </c>
      <c r="W43">
        <v>0</v>
      </c>
      <c r="X43">
        <v>-1320872807</v>
      </c>
      <c r="Y43">
        <f t="shared" si="14"/>
        <v>0.95040000000000002</v>
      </c>
      <c r="AA43">
        <v>0</v>
      </c>
      <c r="AB43">
        <v>138.44999999999999</v>
      </c>
      <c r="AC43">
        <v>0</v>
      </c>
      <c r="AD43">
        <v>0</v>
      </c>
      <c r="AE43">
        <v>0</v>
      </c>
      <c r="AF43">
        <v>15.54</v>
      </c>
      <c r="AG43">
        <v>0</v>
      </c>
      <c r="AH43">
        <v>0</v>
      </c>
      <c r="AI43">
        <v>1</v>
      </c>
      <c r="AJ43">
        <v>8.35</v>
      </c>
      <c r="AK43">
        <v>34.51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0.72</v>
      </c>
      <c r="AU43" t="s">
        <v>70</v>
      </c>
      <c r="AV43">
        <v>0</v>
      </c>
      <c r="AW43">
        <v>2</v>
      </c>
      <c r="AX43">
        <v>56612016</v>
      </c>
      <c r="AY43">
        <v>1</v>
      </c>
      <c r="AZ43">
        <v>0</v>
      </c>
      <c r="BA43">
        <v>54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ROUND(Y43*Source!I49*DO43,9)</f>
        <v>0</v>
      </c>
      <c r="CX43">
        <f>ROUND(Y43*Source!I49,9)</f>
        <v>2.8511999999999999E-3</v>
      </c>
      <c r="CY43">
        <f>AB43</f>
        <v>138.44999999999999</v>
      </c>
      <c r="CZ43">
        <f>AF43</f>
        <v>15.54</v>
      </c>
      <c r="DA43">
        <f>AJ43</f>
        <v>8.35</v>
      </c>
      <c r="DB43">
        <f t="shared" si="15"/>
        <v>14.770799999999999</v>
      </c>
      <c r="DC43">
        <f t="shared" si="16"/>
        <v>0</v>
      </c>
      <c r="DD43" t="s">
        <v>3</v>
      </c>
      <c r="DE43" t="s">
        <v>3</v>
      </c>
      <c r="DF43">
        <f t="shared" si="13"/>
        <v>0</v>
      </c>
      <c r="DG43">
        <f>ROUND(ROUND(AF43*AJ43,2)*CX43,2)</f>
        <v>0.37</v>
      </c>
      <c r="DH43">
        <f>ROUND(ROUND(AG43*AK43,2)*CX43,2)</f>
        <v>0</v>
      </c>
      <c r="DI43">
        <f t="shared" si="6"/>
        <v>0</v>
      </c>
      <c r="DJ43">
        <f>DG43</f>
        <v>0.37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ROW(Source!A49)</f>
        <v>49</v>
      </c>
      <c r="B44">
        <v>56611490</v>
      </c>
      <c r="C44">
        <v>56612009</v>
      </c>
      <c r="D44">
        <v>47767126</v>
      </c>
      <c r="E44">
        <v>1</v>
      </c>
      <c r="F44">
        <v>1</v>
      </c>
      <c r="G44">
        <v>27786564</v>
      </c>
      <c r="H44">
        <v>2</v>
      </c>
      <c r="I44" t="s">
        <v>454</v>
      </c>
      <c r="J44" t="s">
        <v>455</v>
      </c>
      <c r="K44" t="s">
        <v>456</v>
      </c>
      <c r="L44">
        <v>1368</v>
      </c>
      <c r="N44">
        <v>1011</v>
      </c>
      <c r="O44" t="s">
        <v>444</v>
      </c>
      <c r="P44" t="s">
        <v>444</v>
      </c>
      <c r="Q44">
        <v>1</v>
      </c>
      <c r="W44">
        <v>0</v>
      </c>
      <c r="X44">
        <v>-1899016018</v>
      </c>
      <c r="Y44">
        <f t="shared" si="14"/>
        <v>0.95040000000000002</v>
      </c>
      <c r="AA44">
        <v>0</v>
      </c>
      <c r="AB44">
        <v>1172.3900000000001</v>
      </c>
      <c r="AC44">
        <v>535.39</v>
      </c>
      <c r="AD44">
        <v>0</v>
      </c>
      <c r="AE44">
        <v>0</v>
      </c>
      <c r="AF44">
        <v>81.150000000000006</v>
      </c>
      <c r="AG44">
        <v>14.54</v>
      </c>
      <c r="AH44">
        <v>0</v>
      </c>
      <c r="AI44">
        <v>1</v>
      </c>
      <c r="AJ44">
        <v>13.54</v>
      </c>
      <c r="AK44">
        <v>34.51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0.72</v>
      </c>
      <c r="AU44" t="s">
        <v>70</v>
      </c>
      <c r="AV44">
        <v>0</v>
      </c>
      <c r="AW44">
        <v>2</v>
      </c>
      <c r="AX44">
        <v>56612017</v>
      </c>
      <c r="AY44">
        <v>1</v>
      </c>
      <c r="AZ44">
        <v>0</v>
      </c>
      <c r="BA44">
        <v>55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ROUND(Y44*Source!I49*DO44,9)</f>
        <v>0</v>
      </c>
      <c r="CX44">
        <f>ROUND(Y44*Source!I49,9)</f>
        <v>2.8511999999999999E-3</v>
      </c>
      <c r="CY44">
        <f>AB44</f>
        <v>1172.3900000000001</v>
      </c>
      <c r="CZ44">
        <f>AF44</f>
        <v>81.150000000000006</v>
      </c>
      <c r="DA44">
        <f>AJ44</f>
        <v>13.54</v>
      </c>
      <c r="DB44">
        <f t="shared" si="15"/>
        <v>77.127600000000001</v>
      </c>
      <c r="DC44">
        <f t="shared" si="16"/>
        <v>13.820399999999999</v>
      </c>
      <c r="DD44" t="s">
        <v>3</v>
      </c>
      <c r="DE44" t="s">
        <v>3</v>
      </c>
      <c r="DF44">
        <f t="shared" si="13"/>
        <v>0</v>
      </c>
      <c r="DG44">
        <f>ROUND(ROUND(AF44*AJ44,2)*CX44,2)</f>
        <v>3.13</v>
      </c>
      <c r="DH44">
        <f>ROUND(ROUND(AG44*AK44,2)*CX44,2)</f>
        <v>1.43</v>
      </c>
      <c r="DI44">
        <f t="shared" si="6"/>
        <v>0</v>
      </c>
      <c r="DJ44">
        <f>DG44</f>
        <v>3.13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ROW(Source!A49)</f>
        <v>49</v>
      </c>
      <c r="B45">
        <v>56611490</v>
      </c>
      <c r="C45">
        <v>56612009</v>
      </c>
      <c r="D45">
        <v>47766454</v>
      </c>
      <c r="E45">
        <v>1</v>
      </c>
      <c r="F45">
        <v>1</v>
      </c>
      <c r="G45">
        <v>27786564</v>
      </c>
      <c r="H45">
        <v>2</v>
      </c>
      <c r="I45" t="s">
        <v>457</v>
      </c>
      <c r="J45" t="s">
        <v>458</v>
      </c>
      <c r="K45" t="s">
        <v>459</v>
      </c>
      <c r="L45">
        <v>1368</v>
      </c>
      <c r="N45">
        <v>1011</v>
      </c>
      <c r="O45" t="s">
        <v>444</v>
      </c>
      <c r="P45" t="s">
        <v>444</v>
      </c>
      <c r="Q45">
        <v>1</v>
      </c>
      <c r="W45">
        <v>0</v>
      </c>
      <c r="X45">
        <v>922387863</v>
      </c>
      <c r="Y45">
        <f t="shared" si="14"/>
        <v>1.3728</v>
      </c>
      <c r="AA45">
        <v>0</v>
      </c>
      <c r="AB45">
        <v>2190.86</v>
      </c>
      <c r="AC45">
        <v>623.4</v>
      </c>
      <c r="AD45">
        <v>0</v>
      </c>
      <c r="AE45">
        <v>0</v>
      </c>
      <c r="AF45">
        <v>179.17</v>
      </c>
      <c r="AG45">
        <v>16.93</v>
      </c>
      <c r="AH45">
        <v>0</v>
      </c>
      <c r="AI45">
        <v>1</v>
      </c>
      <c r="AJ45">
        <v>11.46</v>
      </c>
      <c r="AK45">
        <v>34.51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1.04</v>
      </c>
      <c r="AU45" t="s">
        <v>70</v>
      </c>
      <c r="AV45">
        <v>0</v>
      </c>
      <c r="AW45">
        <v>2</v>
      </c>
      <c r="AX45">
        <v>56612018</v>
      </c>
      <c r="AY45">
        <v>1</v>
      </c>
      <c r="AZ45">
        <v>0</v>
      </c>
      <c r="BA45">
        <v>56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ROUND(Y45*Source!I49*DO45,9)</f>
        <v>0</v>
      </c>
      <c r="CX45">
        <f>ROUND(Y45*Source!I49,9)</f>
        <v>4.1184000000000004E-3</v>
      </c>
      <c r="CY45">
        <f>AB45</f>
        <v>2190.86</v>
      </c>
      <c r="CZ45">
        <f>AF45</f>
        <v>179.17</v>
      </c>
      <c r="DA45">
        <f>AJ45</f>
        <v>11.46</v>
      </c>
      <c r="DB45">
        <f t="shared" si="15"/>
        <v>245.96879999999999</v>
      </c>
      <c r="DC45">
        <f t="shared" si="16"/>
        <v>23.245200000000001</v>
      </c>
      <c r="DD45" t="s">
        <v>3</v>
      </c>
      <c r="DE45" t="s">
        <v>3</v>
      </c>
      <c r="DF45">
        <f t="shared" si="13"/>
        <v>0</v>
      </c>
      <c r="DG45">
        <f>ROUND(ROUND(AF45*AJ45,2)*CX45,2)</f>
        <v>8.4600000000000009</v>
      </c>
      <c r="DH45">
        <f>ROUND(ROUND(AG45*AK45,2)*CX45,2)</f>
        <v>2.41</v>
      </c>
      <c r="DI45">
        <f t="shared" si="6"/>
        <v>0</v>
      </c>
      <c r="DJ45">
        <f>DG45</f>
        <v>8.4600000000000009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ROW(Source!A49)</f>
        <v>49</v>
      </c>
      <c r="B46">
        <v>56611490</v>
      </c>
      <c r="C46">
        <v>56612009</v>
      </c>
      <c r="D46">
        <v>47634960</v>
      </c>
      <c r="E46">
        <v>27786564</v>
      </c>
      <c r="F46">
        <v>1</v>
      </c>
      <c r="G46">
        <v>27786564</v>
      </c>
      <c r="H46">
        <v>2</v>
      </c>
      <c r="I46" t="s">
        <v>448</v>
      </c>
      <c r="J46" t="s">
        <v>3</v>
      </c>
      <c r="K46" t="s">
        <v>449</v>
      </c>
      <c r="L46">
        <v>1344</v>
      </c>
      <c r="N46">
        <v>1008</v>
      </c>
      <c r="O46" t="s">
        <v>450</v>
      </c>
      <c r="P46" t="s">
        <v>450</v>
      </c>
      <c r="Q46">
        <v>1</v>
      </c>
      <c r="W46">
        <v>0</v>
      </c>
      <c r="X46">
        <v>-1180195794</v>
      </c>
      <c r="Y46">
        <f t="shared" si="14"/>
        <v>2.6400000000000003E-2</v>
      </c>
      <c r="AA46">
        <v>0</v>
      </c>
      <c r="AB46">
        <v>1.07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0.02</v>
      </c>
      <c r="AU46" t="s">
        <v>70</v>
      </c>
      <c r="AV46">
        <v>0</v>
      </c>
      <c r="AW46">
        <v>2</v>
      </c>
      <c r="AX46">
        <v>56612019</v>
      </c>
      <c r="AY46">
        <v>1</v>
      </c>
      <c r="AZ46">
        <v>0</v>
      </c>
      <c r="BA46">
        <v>57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ROUND(Y46*Source!I49*DO46,9)</f>
        <v>0</v>
      </c>
      <c r="CX46">
        <f>ROUND(Y46*Source!I49,9)</f>
        <v>7.9200000000000001E-5</v>
      </c>
      <c r="CY46">
        <f>AB46</f>
        <v>1.07</v>
      </c>
      <c r="CZ46">
        <f>AF46</f>
        <v>1</v>
      </c>
      <c r="DA46">
        <f>AJ46</f>
        <v>1</v>
      </c>
      <c r="DB46">
        <f t="shared" si="15"/>
        <v>2.64E-2</v>
      </c>
      <c r="DC46">
        <f t="shared" si="16"/>
        <v>0</v>
      </c>
      <c r="DD46" t="s">
        <v>3</v>
      </c>
      <c r="DE46" t="s">
        <v>3</v>
      </c>
      <c r="DF46">
        <f t="shared" si="13"/>
        <v>0</v>
      </c>
      <c r="DG46">
        <f t="shared" ref="DG46:DG52" si="19">ROUND(ROUND(AF46,2)*CX46,2)</f>
        <v>0</v>
      </c>
      <c r="DH46">
        <f t="shared" ref="DH46:DH52" si="20">ROUND(ROUND(AG46,2)*CX46,2)</f>
        <v>0</v>
      </c>
      <c r="DI46">
        <f t="shared" si="6"/>
        <v>0</v>
      </c>
      <c r="DJ46">
        <f>DG46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ROW(Source!A50)</f>
        <v>50</v>
      </c>
      <c r="B47">
        <v>56622523</v>
      </c>
      <c r="C47">
        <v>56612021</v>
      </c>
      <c r="D47">
        <v>47634407</v>
      </c>
      <c r="E47">
        <v>27786564</v>
      </c>
      <c r="F47">
        <v>1</v>
      </c>
      <c r="G47">
        <v>27786564</v>
      </c>
      <c r="H47">
        <v>1</v>
      </c>
      <c r="I47" t="s">
        <v>438</v>
      </c>
      <c r="J47" t="s">
        <v>3</v>
      </c>
      <c r="K47" t="s">
        <v>439</v>
      </c>
      <c r="L47">
        <v>1191</v>
      </c>
      <c r="N47">
        <v>1013</v>
      </c>
      <c r="O47" t="s">
        <v>440</v>
      </c>
      <c r="P47" t="s">
        <v>440</v>
      </c>
      <c r="Q47">
        <v>1</v>
      </c>
      <c r="W47">
        <v>0</v>
      </c>
      <c r="X47">
        <v>476480486</v>
      </c>
      <c r="Y47">
        <f t="shared" ref="Y47:Y56" si="21">(AT47*1.1)</f>
        <v>118.58000000000001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107.8</v>
      </c>
      <c r="AU47" t="s">
        <v>22</v>
      </c>
      <c r="AV47">
        <v>1</v>
      </c>
      <c r="AW47">
        <v>2</v>
      </c>
      <c r="AX47">
        <v>56612027</v>
      </c>
      <c r="AY47">
        <v>1</v>
      </c>
      <c r="AZ47">
        <v>0</v>
      </c>
      <c r="BA47">
        <v>59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ROUND(AT47*Source!I50*AH47*AL47,2)</f>
        <v>0</v>
      </c>
      <c r="CV47">
        <f>ROUND(Y47*Source!I50,9)</f>
        <v>0.83006000000000002</v>
      </c>
      <c r="CW47">
        <v>0</v>
      </c>
      <c r="CX47">
        <f>ROUND(Y47*Source!I50,9)</f>
        <v>0.83006000000000002</v>
      </c>
      <c r="CY47">
        <f>AD47</f>
        <v>0</v>
      </c>
      <c r="CZ47">
        <f>AH47</f>
        <v>0</v>
      </c>
      <c r="DA47">
        <f>AL47</f>
        <v>1</v>
      </c>
      <c r="DB47">
        <f t="shared" ref="DB47:DB56" si="22">ROUND((ROUND(AT47*CZ47,2)*1.1),6)</f>
        <v>0</v>
      </c>
      <c r="DC47">
        <f t="shared" ref="DC47:DC56" si="23">ROUND((ROUND(AT47*AG47,2)*1.1),6)</f>
        <v>0</v>
      </c>
      <c r="DD47" t="s">
        <v>3</v>
      </c>
      <c r="DE47" t="s">
        <v>3</v>
      </c>
      <c r="DF47">
        <f t="shared" si="13"/>
        <v>0</v>
      </c>
      <c r="DG47">
        <f t="shared" si="19"/>
        <v>0</v>
      </c>
      <c r="DH47">
        <f t="shared" si="20"/>
        <v>0</v>
      </c>
      <c r="DI47">
        <f t="shared" si="6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ROW(Source!A50)</f>
        <v>50</v>
      </c>
      <c r="B48">
        <v>56622523</v>
      </c>
      <c r="C48">
        <v>56612021</v>
      </c>
      <c r="D48">
        <v>47767124</v>
      </c>
      <c r="E48">
        <v>1</v>
      </c>
      <c r="F48">
        <v>1</v>
      </c>
      <c r="G48">
        <v>27786564</v>
      </c>
      <c r="H48">
        <v>2</v>
      </c>
      <c r="I48" t="s">
        <v>451</v>
      </c>
      <c r="J48" t="s">
        <v>452</v>
      </c>
      <c r="K48" t="s">
        <v>453</v>
      </c>
      <c r="L48">
        <v>1368</v>
      </c>
      <c r="N48">
        <v>1011</v>
      </c>
      <c r="O48" t="s">
        <v>444</v>
      </c>
      <c r="P48" t="s">
        <v>444</v>
      </c>
      <c r="Q48">
        <v>1</v>
      </c>
      <c r="W48">
        <v>0</v>
      </c>
      <c r="X48">
        <v>-1320872807</v>
      </c>
      <c r="Y48">
        <f t="shared" si="21"/>
        <v>0.79200000000000004</v>
      </c>
      <c r="AA48">
        <v>0</v>
      </c>
      <c r="AB48">
        <v>15.54</v>
      </c>
      <c r="AC48">
        <v>0</v>
      </c>
      <c r="AD48">
        <v>0</v>
      </c>
      <c r="AE48">
        <v>0</v>
      </c>
      <c r="AF48">
        <v>15.54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0.72</v>
      </c>
      <c r="AU48" t="s">
        <v>22</v>
      </c>
      <c r="AV48">
        <v>0</v>
      </c>
      <c r="AW48">
        <v>2</v>
      </c>
      <c r="AX48">
        <v>56612028</v>
      </c>
      <c r="AY48">
        <v>1</v>
      </c>
      <c r="AZ48">
        <v>0</v>
      </c>
      <c r="BA48">
        <v>60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ROUND(Y48*Source!I50*DO48,9)</f>
        <v>0</v>
      </c>
      <c r="CX48">
        <f>ROUND(Y48*Source!I50,9)</f>
        <v>5.5440000000000003E-3</v>
      </c>
      <c r="CY48">
        <f>AB48</f>
        <v>15.54</v>
      </c>
      <c r="CZ48">
        <f>AF48</f>
        <v>15.54</v>
      </c>
      <c r="DA48">
        <f>AJ48</f>
        <v>1</v>
      </c>
      <c r="DB48">
        <f t="shared" si="22"/>
        <v>12.308999999999999</v>
      </c>
      <c r="DC48">
        <f t="shared" si="23"/>
        <v>0</v>
      </c>
      <c r="DD48" t="s">
        <v>3</v>
      </c>
      <c r="DE48" t="s">
        <v>3</v>
      </c>
      <c r="DF48">
        <f t="shared" si="13"/>
        <v>0</v>
      </c>
      <c r="DG48">
        <f t="shared" si="19"/>
        <v>0.09</v>
      </c>
      <c r="DH48">
        <f t="shared" si="20"/>
        <v>0</v>
      </c>
      <c r="DI48">
        <f t="shared" si="6"/>
        <v>0</v>
      </c>
      <c r="DJ48">
        <f>DG48</f>
        <v>0.09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ROW(Source!A50)</f>
        <v>50</v>
      </c>
      <c r="B49">
        <v>56622523</v>
      </c>
      <c r="C49">
        <v>56612021</v>
      </c>
      <c r="D49">
        <v>47767126</v>
      </c>
      <c r="E49">
        <v>1</v>
      </c>
      <c r="F49">
        <v>1</v>
      </c>
      <c r="G49">
        <v>27786564</v>
      </c>
      <c r="H49">
        <v>2</v>
      </c>
      <c r="I49" t="s">
        <v>454</v>
      </c>
      <c r="J49" t="s">
        <v>455</v>
      </c>
      <c r="K49" t="s">
        <v>456</v>
      </c>
      <c r="L49">
        <v>1368</v>
      </c>
      <c r="N49">
        <v>1011</v>
      </c>
      <c r="O49" t="s">
        <v>444</v>
      </c>
      <c r="P49" t="s">
        <v>444</v>
      </c>
      <c r="Q49">
        <v>1</v>
      </c>
      <c r="W49">
        <v>0</v>
      </c>
      <c r="X49">
        <v>-1899016018</v>
      </c>
      <c r="Y49">
        <f t="shared" si="21"/>
        <v>0.79200000000000004</v>
      </c>
      <c r="AA49">
        <v>0</v>
      </c>
      <c r="AB49">
        <v>81.150000000000006</v>
      </c>
      <c r="AC49">
        <v>14.54</v>
      </c>
      <c r="AD49">
        <v>0</v>
      </c>
      <c r="AE49">
        <v>0</v>
      </c>
      <c r="AF49">
        <v>81.150000000000006</v>
      </c>
      <c r="AG49">
        <v>14.54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0.72</v>
      </c>
      <c r="AU49" t="s">
        <v>22</v>
      </c>
      <c r="AV49">
        <v>0</v>
      </c>
      <c r="AW49">
        <v>2</v>
      </c>
      <c r="AX49">
        <v>56612029</v>
      </c>
      <c r="AY49">
        <v>1</v>
      </c>
      <c r="AZ49">
        <v>0</v>
      </c>
      <c r="BA49">
        <v>61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ROUND(Y49*Source!I50*DO49,9)</f>
        <v>0</v>
      </c>
      <c r="CX49">
        <f>ROUND(Y49*Source!I50,9)</f>
        <v>5.5440000000000003E-3</v>
      </c>
      <c r="CY49">
        <f>AB49</f>
        <v>81.150000000000006</v>
      </c>
      <c r="CZ49">
        <f>AF49</f>
        <v>81.150000000000006</v>
      </c>
      <c r="DA49">
        <f>AJ49</f>
        <v>1</v>
      </c>
      <c r="DB49">
        <f t="shared" si="22"/>
        <v>64.272999999999996</v>
      </c>
      <c r="DC49">
        <f t="shared" si="23"/>
        <v>11.516999999999999</v>
      </c>
      <c r="DD49" t="s">
        <v>3</v>
      </c>
      <c r="DE49" t="s">
        <v>3</v>
      </c>
      <c r="DF49">
        <f t="shared" si="13"/>
        <v>0</v>
      </c>
      <c r="DG49">
        <f t="shared" si="19"/>
        <v>0.45</v>
      </c>
      <c r="DH49">
        <f t="shared" si="20"/>
        <v>0.08</v>
      </c>
      <c r="DI49">
        <f t="shared" si="6"/>
        <v>0</v>
      </c>
      <c r="DJ49">
        <f>DG49</f>
        <v>0.45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ROW(Source!A50)</f>
        <v>50</v>
      </c>
      <c r="B50">
        <v>56622523</v>
      </c>
      <c r="C50">
        <v>56612021</v>
      </c>
      <c r="D50">
        <v>47766454</v>
      </c>
      <c r="E50">
        <v>1</v>
      </c>
      <c r="F50">
        <v>1</v>
      </c>
      <c r="G50">
        <v>27786564</v>
      </c>
      <c r="H50">
        <v>2</v>
      </c>
      <c r="I50" t="s">
        <v>457</v>
      </c>
      <c r="J50" t="s">
        <v>458</v>
      </c>
      <c r="K50" t="s">
        <v>459</v>
      </c>
      <c r="L50">
        <v>1368</v>
      </c>
      <c r="N50">
        <v>1011</v>
      </c>
      <c r="O50" t="s">
        <v>444</v>
      </c>
      <c r="P50" t="s">
        <v>444</v>
      </c>
      <c r="Q50">
        <v>1</v>
      </c>
      <c r="W50">
        <v>0</v>
      </c>
      <c r="X50">
        <v>922387863</v>
      </c>
      <c r="Y50">
        <f t="shared" si="21"/>
        <v>1.1440000000000001</v>
      </c>
      <c r="AA50">
        <v>0</v>
      </c>
      <c r="AB50">
        <v>179.17</v>
      </c>
      <c r="AC50">
        <v>16.93</v>
      </c>
      <c r="AD50">
        <v>0</v>
      </c>
      <c r="AE50">
        <v>0</v>
      </c>
      <c r="AF50">
        <v>179.17</v>
      </c>
      <c r="AG50">
        <v>16.93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1.04</v>
      </c>
      <c r="AU50" t="s">
        <v>22</v>
      </c>
      <c r="AV50">
        <v>0</v>
      </c>
      <c r="AW50">
        <v>2</v>
      </c>
      <c r="AX50">
        <v>56612030</v>
      </c>
      <c r="AY50">
        <v>1</v>
      </c>
      <c r="AZ50">
        <v>0</v>
      </c>
      <c r="BA50">
        <v>62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ROUND(Y50*Source!I50*DO50,9)</f>
        <v>0</v>
      </c>
      <c r="CX50">
        <f>ROUND(Y50*Source!I50,9)</f>
        <v>8.0079999999999995E-3</v>
      </c>
      <c r="CY50">
        <f>AB50</f>
        <v>179.17</v>
      </c>
      <c r="CZ50">
        <f>AF50</f>
        <v>179.17</v>
      </c>
      <c r="DA50">
        <f>AJ50</f>
        <v>1</v>
      </c>
      <c r="DB50">
        <f t="shared" si="22"/>
        <v>204.97399999999999</v>
      </c>
      <c r="DC50">
        <f t="shared" si="23"/>
        <v>19.370999999999999</v>
      </c>
      <c r="DD50" t="s">
        <v>3</v>
      </c>
      <c r="DE50" t="s">
        <v>3</v>
      </c>
      <c r="DF50">
        <f t="shared" si="13"/>
        <v>0</v>
      </c>
      <c r="DG50">
        <f t="shared" si="19"/>
        <v>1.43</v>
      </c>
      <c r="DH50">
        <f t="shared" si="20"/>
        <v>0.14000000000000001</v>
      </c>
      <c r="DI50">
        <f t="shared" si="6"/>
        <v>0</v>
      </c>
      <c r="DJ50">
        <f>DG50</f>
        <v>1.43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ROW(Source!A50)</f>
        <v>50</v>
      </c>
      <c r="B51">
        <v>56622523</v>
      </c>
      <c r="C51">
        <v>56612021</v>
      </c>
      <c r="D51">
        <v>47634960</v>
      </c>
      <c r="E51">
        <v>27786564</v>
      </c>
      <c r="F51">
        <v>1</v>
      </c>
      <c r="G51">
        <v>27786564</v>
      </c>
      <c r="H51">
        <v>2</v>
      </c>
      <c r="I51" t="s">
        <v>448</v>
      </c>
      <c r="J51" t="s">
        <v>3</v>
      </c>
      <c r="K51" t="s">
        <v>449</v>
      </c>
      <c r="L51">
        <v>1344</v>
      </c>
      <c r="N51">
        <v>1008</v>
      </c>
      <c r="O51" t="s">
        <v>450</v>
      </c>
      <c r="P51" t="s">
        <v>450</v>
      </c>
      <c r="Q51">
        <v>1</v>
      </c>
      <c r="W51">
        <v>0</v>
      </c>
      <c r="X51">
        <v>-1180195794</v>
      </c>
      <c r="Y51">
        <f t="shared" si="21"/>
        <v>2.2000000000000002E-2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0.02</v>
      </c>
      <c r="AU51" t="s">
        <v>22</v>
      </c>
      <c r="AV51">
        <v>0</v>
      </c>
      <c r="AW51">
        <v>2</v>
      </c>
      <c r="AX51">
        <v>56612031</v>
      </c>
      <c r="AY51">
        <v>1</v>
      </c>
      <c r="AZ51">
        <v>0</v>
      </c>
      <c r="BA51">
        <v>63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ROUND(Y51*Source!I50*DO51,9)</f>
        <v>0</v>
      </c>
      <c r="CX51">
        <f>ROUND(Y51*Source!I50,9)</f>
        <v>1.54E-4</v>
      </c>
      <c r="CY51">
        <f>AB51</f>
        <v>1</v>
      </c>
      <c r="CZ51">
        <f>AF51</f>
        <v>1</v>
      </c>
      <c r="DA51">
        <f>AJ51</f>
        <v>1</v>
      </c>
      <c r="DB51">
        <f t="shared" si="22"/>
        <v>2.1999999999999999E-2</v>
      </c>
      <c r="DC51">
        <f t="shared" si="23"/>
        <v>0</v>
      </c>
      <c r="DD51" t="s">
        <v>3</v>
      </c>
      <c r="DE51" t="s">
        <v>3</v>
      </c>
      <c r="DF51">
        <f t="shared" si="13"/>
        <v>0</v>
      </c>
      <c r="DG51">
        <f t="shared" si="19"/>
        <v>0</v>
      </c>
      <c r="DH51">
        <f t="shared" si="20"/>
        <v>0</v>
      </c>
      <c r="DI51">
        <f t="shared" si="6"/>
        <v>0</v>
      </c>
      <c r="DJ51">
        <f>DG51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ROW(Source!A51)</f>
        <v>51</v>
      </c>
      <c r="B52">
        <v>56611490</v>
      </c>
      <c r="C52">
        <v>56612021</v>
      </c>
      <c r="D52">
        <v>47634407</v>
      </c>
      <c r="E52">
        <v>27786564</v>
      </c>
      <c r="F52">
        <v>1</v>
      </c>
      <c r="G52">
        <v>27786564</v>
      </c>
      <c r="H52">
        <v>1</v>
      </c>
      <c r="I52" t="s">
        <v>438</v>
      </c>
      <c r="J52" t="s">
        <v>3</v>
      </c>
      <c r="K52" t="s">
        <v>439</v>
      </c>
      <c r="L52">
        <v>1191</v>
      </c>
      <c r="N52">
        <v>1013</v>
      </c>
      <c r="O52" t="s">
        <v>440</v>
      </c>
      <c r="P52" t="s">
        <v>440</v>
      </c>
      <c r="Q52">
        <v>1</v>
      </c>
      <c r="W52">
        <v>0</v>
      </c>
      <c r="X52">
        <v>476480486</v>
      </c>
      <c r="Y52">
        <f t="shared" si="21"/>
        <v>118.58000000000001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107.8</v>
      </c>
      <c r="AU52" t="s">
        <v>22</v>
      </c>
      <c r="AV52">
        <v>1</v>
      </c>
      <c r="AW52">
        <v>2</v>
      </c>
      <c r="AX52">
        <v>56612027</v>
      </c>
      <c r="AY52">
        <v>1</v>
      </c>
      <c r="AZ52">
        <v>0</v>
      </c>
      <c r="BA52">
        <v>65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U52">
        <f>ROUND(AT52*Source!I51*AH52*AL52,2)</f>
        <v>0</v>
      </c>
      <c r="CV52">
        <f>ROUND(Y52*Source!I51,9)</f>
        <v>0.83006000000000002</v>
      </c>
      <c r="CW52">
        <v>0</v>
      </c>
      <c r="CX52">
        <f>ROUND(Y52*Source!I51,9)</f>
        <v>0.83006000000000002</v>
      </c>
      <c r="CY52">
        <f>AD52</f>
        <v>0</v>
      </c>
      <c r="CZ52">
        <f>AH52</f>
        <v>0</v>
      </c>
      <c r="DA52">
        <f>AL52</f>
        <v>1</v>
      </c>
      <c r="DB52">
        <f t="shared" si="22"/>
        <v>0</v>
      </c>
      <c r="DC52">
        <f t="shared" si="23"/>
        <v>0</v>
      </c>
      <c r="DD52" t="s">
        <v>3</v>
      </c>
      <c r="DE52" t="s">
        <v>3</v>
      </c>
      <c r="DF52">
        <f t="shared" si="13"/>
        <v>0</v>
      </c>
      <c r="DG52">
        <f t="shared" si="19"/>
        <v>0</v>
      </c>
      <c r="DH52">
        <f t="shared" si="20"/>
        <v>0</v>
      </c>
      <c r="DI52">
        <f t="shared" si="6"/>
        <v>0</v>
      </c>
      <c r="DJ52">
        <f>DI52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ROW(Source!A51)</f>
        <v>51</v>
      </c>
      <c r="B53">
        <v>56611490</v>
      </c>
      <c r="C53">
        <v>56612021</v>
      </c>
      <c r="D53">
        <v>47767124</v>
      </c>
      <c r="E53">
        <v>1</v>
      </c>
      <c r="F53">
        <v>1</v>
      </c>
      <c r="G53">
        <v>27786564</v>
      </c>
      <c r="H53">
        <v>2</v>
      </c>
      <c r="I53" t="s">
        <v>451</v>
      </c>
      <c r="J53" t="s">
        <v>452</v>
      </c>
      <c r="K53" t="s">
        <v>453</v>
      </c>
      <c r="L53">
        <v>1368</v>
      </c>
      <c r="N53">
        <v>1011</v>
      </c>
      <c r="O53" t="s">
        <v>444</v>
      </c>
      <c r="P53" t="s">
        <v>444</v>
      </c>
      <c r="Q53">
        <v>1</v>
      </c>
      <c r="W53">
        <v>0</v>
      </c>
      <c r="X53">
        <v>-1320872807</v>
      </c>
      <c r="Y53">
        <f t="shared" si="21"/>
        <v>0.79200000000000004</v>
      </c>
      <c r="AA53">
        <v>0</v>
      </c>
      <c r="AB53">
        <v>138.44999999999999</v>
      </c>
      <c r="AC53">
        <v>0</v>
      </c>
      <c r="AD53">
        <v>0</v>
      </c>
      <c r="AE53">
        <v>0</v>
      </c>
      <c r="AF53">
        <v>15.54</v>
      </c>
      <c r="AG53">
        <v>0</v>
      </c>
      <c r="AH53">
        <v>0</v>
      </c>
      <c r="AI53">
        <v>1</v>
      </c>
      <c r="AJ53">
        <v>8.35</v>
      </c>
      <c r="AK53">
        <v>34.51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0.72</v>
      </c>
      <c r="AU53" t="s">
        <v>22</v>
      </c>
      <c r="AV53">
        <v>0</v>
      </c>
      <c r="AW53">
        <v>2</v>
      </c>
      <c r="AX53">
        <v>56612028</v>
      </c>
      <c r="AY53">
        <v>1</v>
      </c>
      <c r="AZ53">
        <v>0</v>
      </c>
      <c r="BA53">
        <v>66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ROUND(Y53*Source!I51*DO53,9)</f>
        <v>0</v>
      </c>
      <c r="CX53">
        <f>ROUND(Y53*Source!I51,9)</f>
        <v>5.5440000000000003E-3</v>
      </c>
      <c r="CY53">
        <f>AB53</f>
        <v>138.44999999999999</v>
      </c>
      <c r="CZ53">
        <f>AF53</f>
        <v>15.54</v>
      </c>
      <c r="DA53">
        <f>AJ53</f>
        <v>8.35</v>
      </c>
      <c r="DB53">
        <f t="shared" si="22"/>
        <v>12.308999999999999</v>
      </c>
      <c r="DC53">
        <f t="shared" si="23"/>
        <v>0</v>
      </c>
      <c r="DD53" t="s">
        <v>3</v>
      </c>
      <c r="DE53" t="s">
        <v>3</v>
      </c>
      <c r="DF53">
        <f t="shared" si="13"/>
        <v>0</v>
      </c>
      <c r="DG53">
        <f>ROUND(ROUND(AF53*AJ53,2)*CX53,2)</f>
        <v>0.72</v>
      </c>
      <c r="DH53">
        <f>ROUND(ROUND(AG53*AK53,2)*CX53,2)</f>
        <v>0</v>
      </c>
      <c r="DI53">
        <f t="shared" si="6"/>
        <v>0</v>
      </c>
      <c r="DJ53">
        <f>DG53</f>
        <v>0.72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ROW(Source!A51)</f>
        <v>51</v>
      </c>
      <c r="B54">
        <v>56611490</v>
      </c>
      <c r="C54">
        <v>56612021</v>
      </c>
      <c r="D54">
        <v>47767126</v>
      </c>
      <c r="E54">
        <v>1</v>
      </c>
      <c r="F54">
        <v>1</v>
      </c>
      <c r="G54">
        <v>27786564</v>
      </c>
      <c r="H54">
        <v>2</v>
      </c>
      <c r="I54" t="s">
        <v>454</v>
      </c>
      <c r="J54" t="s">
        <v>455</v>
      </c>
      <c r="K54" t="s">
        <v>456</v>
      </c>
      <c r="L54">
        <v>1368</v>
      </c>
      <c r="N54">
        <v>1011</v>
      </c>
      <c r="O54" t="s">
        <v>444</v>
      </c>
      <c r="P54" t="s">
        <v>444</v>
      </c>
      <c r="Q54">
        <v>1</v>
      </c>
      <c r="W54">
        <v>0</v>
      </c>
      <c r="X54">
        <v>-1899016018</v>
      </c>
      <c r="Y54">
        <f t="shared" si="21"/>
        <v>0.79200000000000004</v>
      </c>
      <c r="AA54">
        <v>0</v>
      </c>
      <c r="AB54">
        <v>1172.3900000000001</v>
      </c>
      <c r="AC54">
        <v>535.39</v>
      </c>
      <c r="AD54">
        <v>0</v>
      </c>
      <c r="AE54">
        <v>0</v>
      </c>
      <c r="AF54">
        <v>81.150000000000006</v>
      </c>
      <c r="AG54">
        <v>14.54</v>
      </c>
      <c r="AH54">
        <v>0</v>
      </c>
      <c r="AI54">
        <v>1</v>
      </c>
      <c r="AJ54">
        <v>13.54</v>
      </c>
      <c r="AK54">
        <v>34.51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0.72</v>
      </c>
      <c r="AU54" t="s">
        <v>22</v>
      </c>
      <c r="AV54">
        <v>0</v>
      </c>
      <c r="AW54">
        <v>2</v>
      </c>
      <c r="AX54">
        <v>56612029</v>
      </c>
      <c r="AY54">
        <v>1</v>
      </c>
      <c r="AZ54">
        <v>0</v>
      </c>
      <c r="BA54">
        <v>67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ROUND(Y54*Source!I51*DO54,9)</f>
        <v>0</v>
      </c>
      <c r="CX54">
        <f>ROUND(Y54*Source!I51,9)</f>
        <v>5.5440000000000003E-3</v>
      </c>
      <c r="CY54">
        <f>AB54</f>
        <v>1172.3900000000001</v>
      </c>
      <c r="CZ54">
        <f>AF54</f>
        <v>81.150000000000006</v>
      </c>
      <c r="DA54">
        <f>AJ54</f>
        <v>13.54</v>
      </c>
      <c r="DB54">
        <f t="shared" si="22"/>
        <v>64.272999999999996</v>
      </c>
      <c r="DC54">
        <f t="shared" si="23"/>
        <v>11.516999999999999</v>
      </c>
      <c r="DD54" t="s">
        <v>3</v>
      </c>
      <c r="DE54" t="s">
        <v>3</v>
      </c>
      <c r="DF54">
        <f t="shared" si="13"/>
        <v>0</v>
      </c>
      <c r="DG54">
        <f>ROUND(ROUND(AF54*AJ54,2)*CX54,2)</f>
        <v>6.09</v>
      </c>
      <c r="DH54">
        <f>ROUND(ROUND(AG54*AK54,2)*CX54,2)</f>
        <v>2.78</v>
      </c>
      <c r="DI54">
        <f t="shared" si="6"/>
        <v>0</v>
      </c>
      <c r="DJ54">
        <f>DG54</f>
        <v>6.09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ROW(Source!A51)</f>
        <v>51</v>
      </c>
      <c r="B55">
        <v>56611490</v>
      </c>
      <c r="C55">
        <v>56612021</v>
      </c>
      <c r="D55">
        <v>47766454</v>
      </c>
      <c r="E55">
        <v>1</v>
      </c>
      <c r="F55">
        <v>1</v>
      </c>
      <c r="G55">
        <v>27786564</v>
      </c>
      <c r="H55">
        <v>2</v>
      </c>
      <c r="I55" t="s">
        <v>457</v>
      </c>
      <c r="J55" t="s">
        <v>458</v>
      </c>
      <c r="K55" t="s">
        <v>459</v>
      </c>
      <c r="L55">
        <v>1368</v>
      </c>
      <c r="N55">
        <v>1011</v>
      </c>
      <c r="O55" t="s">
        <v>444</v>
      </c>
      <c r="P55" t="s">
        <v>444</v>
      </c>
      <c r="Q55">
        <v>1</v>
      </c>
      <c r="W55">
        <v>0</v>
      </c>
      <c r="X55">
        <v>922387863</v>
      </c>
      <c r="Y55">
        <f t="shared" si="21"/>
        <v>1.1440000000000001</v>
      </c>
      <c r="AA55">
        <v>0</v>
      </c>
      <c r="AB55">
        <v>2190.86</v>
      </c>
      <c r="AC55">
        <v>623.4</v>
      </c>
      <c r="AD55">
        <v>0</v>
      </c>
      <c r="AE55">
        <v>0</v>
      </c>
      <c r="AF55">
        <v>179.17</v>
      </c>
      <c r="AG55">
        <v>16.93</v>
      </c>
      <c r="AH55">
        <v>0</v>
      </c>
      <c r="AI55">
        <v>1</v>
      </c>
      <c r="AJ55">
        <v>11.46</v>
      </c>
      <c r="AK55">
        <v>34.51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1.04</v>
      </c>
      <c r="AU55" t="s">
        <v>22</v>
      </c>
      <c r="AV55">
        <v>0</v>
      </c>
      <c r="AW55">
        <v>2</v>
      </c>
      <c r="AX55">
        <v>56612030</v>
      </c>
      <c r="AY55">
        <v>1</v>
      </c>
      <c r="AZ55">
        <v>0</v>
      </c>
      <c r="BA55">
        <v>68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f>ROUND(Y55*Source!I51*DO55,9)</f>
        <v>0</v>
      </c>
      <c r="CX55">
        <f>ROUND(Y55*Source!I51,9)</f>
        <v>8.0079999999999995E-3</v>
      </c>
      <c r="CY55">
        <f>AB55</f>
        <v>2190.86</v>
      </c>
      <c r="CZ55">
        <f>AF55</f>
        <v>179.17</v>
      </c>
      <c r="DA55">
        <f>AJ55</f>
        <v>11.46</v>
      </c>
      <c r="DB55">
        <f t="shared" si="22"/>
        <v>204.97399999999999</v>
      </c>
      <c r="DC55">
        <f t="shared" si="23"/>
        <v>19.370999999999999</v>
      </c>
      <c r="DD55" t="s">
        <v>3</v>
      </c>
      <c r="DE55" t="s">
        <v>3</v>
      </c>
      <c r="DF55">
        <f t="shared" si="13"/>
        <v>0</v>
      </c>
      <c r="DG55">
        <f>ROUND(ROUND(AF55*AJ55,2)*CX55,2)</f>
        <v>16.440000000000001</v>
      </c>
      <c r="DH55">
        <f>ROUND(ROUND(AG55*AK55,2)*CX55,2)</f>
        <v>4.68</v>
      </c>
      <c r="DI55">
        <f t="shared" si="6"/>
        <v>0</v>
      </c>
      <c r="DJ55">
        <f>DG55</f>
        <v>16.440000000000001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ROW(Source!A51)</f>
        <v>51</v>
      </c>
      <c r="B56">
        <v>56611490</v>
      </c>
      <c r="C56">
        <v>56612021</v>
      </c>
      <c r="D56">
        <v>47634960</v>
      </c>
      <c r="E56">
        <v>27786564</v>
      </c>
      <c r="F56">
        <v>1</v>
      </c>
      <c r="G56">
        <v>27786564</v>
      </c>
      <c r="H56">
        <v>2</v>
      </c>
      <c r="I56" t="s">
        <v>448</v>
      </c>
      <c r="J56" t="s">
        <v>3</v>
      </c>
      <c r="K56" t="s">
        <v>449</v>
      </c>
      <c r="L56">
        <v>1344</v>
      </c>
      <c r="N56">
        <v>1008</v>
      </c>
      <c r="O56" t="s">
        <v>450</v>
      </c>
      <c r="P56" t="s">
        <v>450</v>
      </c>
      <c r="Q56">
        <v>1</v>
      </c>
      <c r="W56">
        <v>0</v>
      </c>
      <c r="X56">
        <v>-1180195794</v>
      </c>
      <c r="Y56">
        <f t="shared" si="21"/>
        <v>2.2000000000000002E-2</v>
      </c>
      <c r="AA56">
        <v>0</v>
      </c>
      <c r="AB56">
        <v>1.07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0.02</v>
      </c>
      <c r="AU56" t="s">
        <v>22</v>
      </c>
      <c r="AV56">
        <v>0</v>
      </c>
      <c r="AW56">
        <v>2</v>
      </c>
      <c r="AX56">
        <v>56612031</v>
      </c>
      <c r="AY56">
        <v>1</v>
      </c>
      <c r="AZ56">
        <v>0</v>
      </c>
      <c r="BA56">
        <v>69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ROUND(Y56*Source!I51*DO56,9)</f>
        <v>0</v>
      </c>
      <c r="CX56">
        <f>ROUND(Y56*Source!I51,9)</f>
        <v>1.54E-4</v>
      </c>
      <c r="CY56">
        <f>AB56</f>
        <v>1.07</v>
      </c>
      <c r="CZ56">
        <f>AF56</f>
        <v>1</v>
      </c>
      <c r="DA56">
        <f>AJ56</f>
        <v>1</v>
      </c>
      <c r="DB56">
        <f t="shared" si="22"/>
        <v>2.1999999999999999E-2</v>
      </c>
      <c r="DC56">
        <f t="shared" si="23"/>
        <v>0</v>
      </c>
      <c r="DD56" t="s">
        <v>3</v>
      </c>
      <c r="DE56" t="s">
        <v>3</v>
      </c>
      <c r="DF56">
        <f t="shared" si="13"/>
        <v>0</v>
      </c>
      <c r="DG56">
        <f t="shared" ref="DG56:DG68" si="24">ROUND(ROUND(AF56,2)*CX56,2)</f>
        <v>0</v>
      </c>
      <c r="DH56">
        <f t="shared" ref="DH56:DH68" si="25">ROUND(ROUND(AG56,2)*CX56,2)</f>
        <v>0</v>
      </c>
      <c r="DI56">
        <f t="shared" si="6"/>
        <v>0</v>
      </c>
      <c r="DJ56">
        <f>DG56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ROW(Source!A97)</f>
        <v>97</v>
      </c>
      <c r="B57">
        <v>56622523</v>
      </c>
      <c r="C57">
        <v>56612049</v>
      </c>
      <c r="D57">
        <v>47634407</v>
      </c>
      <c r="E57">
        <v>27786564</v>
      </c>
      <c r="F57">
        <v>1</v>
      </c>
      <c r="G57">
        <v>27786564</v>
      </c>
      <c r="H57">
        <v>1</v>
      </c>
      <c r="I57" t="s">
        <v>438</v>
      </c>
      <c r="J57" t="s">
        <v>3</v>
      </c>
      <c r="K57" t="s">
        <v>439</v>
      </c>
      <c r="L57">
        <v>1191</v>
      </c>
      <c r="N57">
        <v>1013</v>
      </c>
      <c r="O57" t="s">
        <v>440</v>
      </c>
      <c r="P57" t="s">
        <v>440</v>
      </c>
      <c r="Q57">
        <v>1</v>
      </c>
      <c r="W57">
        <v>0</v>
      </c>
      <c r="X57">
        <v>476480486</v>
      </c>
      <c r="Y57">
        <f>((AT57*1.1)*1.2)</f>
        <v>20.856000000000002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15.8</v>
      </c>
      <c r="AU57" t="s">
        <v>70</v>
      </c>
      <c r="AV57">
        <v>1</v>
      </c>
      <c r="AW57">
        <v>2</v>
      </c>
      <c r="AX57">
        <v>56612061</v>
      </c>
      <c r="AY57">
        <v>1</v>
      </c>
      <c r="AZ57">
        <v>0</v>
      </c>
      <c r="BA57">
        <v>93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ROUND(AT57*Source!I97*AH57*AL57,2)</f>
        <v>0</v>
      </c>
      <c r="CV57">
        <f>ROUND(Y57*Source!I97,9)</f>
        <v>2.2974969600000001</v>
      </c>
      <c r="CW57">
        <v>0</v>
      </c>
      <c r="CX57">
        <f>ROUND(Y57*Source!I97,9)</f>
        <v>2.2974969600000001</v>
      </c>
      <c r="CY57">
        <f>AD57</f>
        <v>0</v>
      </c>
      <c r="CZ57">
        <f>AH57</f>
        <v>0</v>
      </c>
      <c r="DA57">
        <f>AL57</f>
        <v>1</v>
      </c>
      <c r="DB57">
        <f>ROUND(((ROUND(AT57*CZ57,2)*1.1)*1.2),6)</f>
        <v>0</v>
      </c>
      <c r="DC57">
        <f>ROUND(((ROUND(AT57*AG57,2)*1.1)*1.2),6)</f>
        <v>0</v>
      </c>
      <c r="DD57" t="s">
        <v>3</v>
      </c>
      <c r="DE57" t="s">
        <v>3</v>
      </c>
      <c r="DF57">
        <f t="shared" si="13"/>
        <v>0</v>
      </c>
      <c r="DG57">
        <f t="shared" si="24"/>
        <v>0</v>
      </c>
      <c r="DH57">
        <f t="shared" si="25"/>
        <v>0</v>
      </c>
      <c r="DI57">
        <f t="shared" si="6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ROW(Source!A97)</f>
        <v>97</v>
      </c>
      <c r="B58">
        <v>56622523</v>
      </c>
      <c r="C58">
        <v>56612049</v>
      </c>
      <c r="D58">
        <v>47767106</v>
      </c>
      <c r="E58">
        <v>1</v>
      </c>
      <c r="F58">
        <v>1</v>
      </c>
      <c r="G58">
        <v>27786564</v>
      </c>
      <c r="H58">
        <v>2</v>
      </c>
      <c r="I58" t="s">
        <v>460</v>
      </c>
      <c r="J58" t="s">
        <v>461</v>
      </c>
      <c r="K58" t="s">
        <v>462</v>
      </c>
      <c r="L58">
        <v>1368</v>
      </c>
      <c r="N58">
        <v>1011</v>
      </c>
      <c r="O58" t="s">
        <v>444</v>
      </c>
      <c r="P58" t="s">
        <v>444</v>
      </c>
      <c r="Q58">
        <v>1</v>
      </c>
      <c r="W58">
        <v>0</v>
      </c>
      <c r="X58">
        <v>-7781208</v>
      </c>
      <c r="Y58">
        <f>((AT58*1.1)*1.2)</f>
        <v>0.67320000000000002</v>
      </c>
      <c r="AA58">
        <v>0</v>
      </c>
      <c r="AB58">
        <v>83.1</v>
      </c>
      <c r="AC58">
        <v>12.62</v>
      </c>
      <c r="AD58">
        <v>0</v>
      </c>
      <c r="AE58">
        <v>0</v>
      </c>
      <c r="AF58">
        <v>83.1</v>
      </c>
      <c r="AG58">
        <v>12.62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0.51</v>
      </c>
      <c r="AU58" t="s">
        <v>70</v>
      </c>
      <c r="AV58">
        <v>0</v>
      </c>
      <c r="AW58">
        <v>2</v>
      </c>
      <c r="AX58">
        <v>56612062</v>
      </c>
      <c r="AY58">
        <v>1</v>
      </c>
      <c r="AZ58">
        <v>0</v>
      </c>
      <c r="BA58">
        <v>94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ROUND(Y58*Source!I97*DO58,9)</f>
        <v>0</v>
      </c>
      <c r="CX58">
        <f>ROUND(Y58*Source!I97,9)</f>
        <v>7.4159712000000003E-2</v>
      </c>
      <c r="CY58">
        <f>AB58</f>
        <v>83.1</v>
      </c>
      <c r="CZ58">
        <f>AF58</f>
        <v>83.1</v>
      </c>
      <c r="DA58">
        <f>AJ58</f>
        <v>1</v>
      </c>
      <c r="DB58">
        <f>ROUND(((ROUND(AT58*CZ58,2)*1.1)*1.2),6)</f>
        <v>55.941600000000001</v>
      </c>
      <c r="DC58">
        <f>ROUND(((ROUND(AT58*AG58,2)*1.1)*1.2),6)</f>
        <v>8.5007999999999999</v>
      </c>
      <c r="DD58" t="s">
        <v>3</v>
      </c>
      <c r="DE58" t="s">
        <v>3</v>
      </c>
      <c r="DF58">
        <f t="shared" si="13"/>
        <v>0</v>
      </c>
      <c r="DG58">
        <f t="shared" si="24"/>
        <v>6.16</v>
      </c>
      <c r="DH58">
        <f t="shared" si="25"/>
        <v>0.94</v>
      </c>
      <c r="DI58">
        <f t="shared" si="6"/>
        <v>0</v>
      </c>
      <c r="DJ58">
        <f>DG58</f>
        <v>6.16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ROW(Source!A97)</f>
        <v>97</v>
      </c>
      <c r="B59">
        <v>56622523</v>
      </c>
      <c r="C59">
        <v>56612049</v>
      </c>
      <c r="D59">
        <v>47766535</v>
      </c>
      <c r="E59">
        <v>1</v>
      </c>
      <c r="F59">
        <v>1</v>
      </c>
      <c r="G59">
        <v>27786564</v>
      </c>
      <c r="H59">
        <v>2</v>
      </c>
      <c r="I59" t="s">
        <v>463</v>
      </c>
      <c r="J59" t="s">
        <v>464</v>
      </c>
      <c r="K59" t="s">
        <v>465</v>
      </c>
      <c r="L59">
        <v>1368</v>
      </c>
      <c r="N59">
        <v>1011</v>
      </c>
      <c r="O59" t="s">
        <v>444</v>
      </c>
      <c r="P59" t="s">
        <v>444</v>
      </c>
      <c r="Q59">
        <v>1</v>
      </c>
      <c r="W59">
        <v>0</v>
      </c>
      <c r="X59">
        <v>-1386352920</v>
      </c>
      <c r="Y59">
        <f>((AT59*1.1)*1.2)</f>
        <v>4.5011999999999999</v>
      </c>
      <c r="AA59">
        <v>0</v>
      </c>
      <c r="AB59">
        <v>2.27</v>
      </c>
      <c r="AC59">
        <v>0</v>
      </c>
      <c r="AD59">
        <v>0</v>
      </c>
      <c r="AE59">
        <v>0</v>
      </c>
      <c r="AF59">
        <v>2.27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3.41</v>
      </c>
      <c r="AU59" t="s">
        <v>70</v>
      </c>
      <c r="AV59">
        <v>0</v>
      </c>
      <c r="AW59">
        <v>2</v>
      </c>
      <c r="AX59">
        <v>56612063</v>
      </c>
      <c r="AY59">
        <v>1</v>
      </c>
      <c r="AZ59">
        <v>0</v>
      </c>
      <c r="BA59">
        <v>95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ROUND(Y59*Source!I97*DO59,9)</f>
        <v>0</v>
      </c>
      <c r="CX59">
        <f>ROUND(Y59*Source!I97,9)</f>
        <v>0.49585219200000002</v>
      </c>
      <c r="CY59">
        <f>AB59</f>
        <v>2.27</v>
      </c>
      <c r="CZ59">
        <f>AF59</f>
        <v>2.27</v>
      </c>
      <c r="DA59">
        <f>AJ59</f>
        <v>1</v>
      </c>
      <c r="DB59">
        <f>ROUND(((ROUND(AT59*CZ59,2)*1.1)*1.2),6)</f>
        <v>10.216799999999999</v>
      </c>
      <c r="DC59">
        <f>ROUND(((ROUND(AT59*AG59,2)*1.1)*1.2),6)</f>
        <v>0</v>
      </c>
      <c r="DD59" t="s">
        <v>3</v>
      </c>
      <c r="DE59" t="s">
        <v>3</v>
      </c>
      <c r="DF59">
        <f t="shared" si="13"/>
        <v>0</v>
      </c>
      <c r="DG59">
        <f t="shared" si="24"/>
        <v>1.1299999999999999</v>
      </c>
      <c r="DH59">
        <f t="shared" si="25"/>
        <v>0</v>
      </c>
      <c r="DI59">
        <f t="shared" si="6"/>
        <v>0</v>
      </c>
      <c r="DJ59">
        <f>DG59</f>
        <v>1.1299999999999999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ROW(Source!A97)</f>
        <v>97</v>
      </c>
      <c r="B60">
        <v>56622523</v>
      </c>
      <c r="C60">
        <v>56612049</v>
      </c>
      <c r="D60">
        <v>47766545</v>
      </c>
      <c r="E60">
        <v>1</v>
      </c>
      <c r="F60">
        <v>1</v>
      </c>
      <c r="G60">
        <v>27786564</v>
      </c>
      <c r="H60">
        <v>2</v>
      </c>
      <c r="I60" t="s">
        <v>466</v>
      </c>
      <c r="J60" t="s">
        <v>467</v>
      </c>
      <c r="K60" t="s">
        <v>468</v>
      </c>
      <c r="L60">
        <v>1368</v>
      </c>
      <c r="N60">
        <v>1011</v>
      </c>
      <c r="O60" t="s">
        <v>444</v>
      </c>
      <c r="P60" t="s">
        <v>444</v>
      </c>
      <c r="Q60">
        <v>1</v>
      </c>
      <c r="W60">
        <v>0</v>
      </c>
      <c r="X60">
        <v>1766156404</v>
      </c>
      <c r="Y60">
        <f>((AT60*1.1)*1.2)</f>
        <v>4.8443999999999994</v>
      </c>
      <c r="AA60">
        <v>0</v>
      </c>
      <c r="AB60">
        <v>0.73</v>
      </c>
      <c r="AC60">
        <v>0</v>
      </c>
      <c r="AD60">
        <v>0</v>
      </c>
      <c r="AE60">
        <v>0</v>
      </c>
      <c r="AF60">
        <v>0.73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3.67</v>
      </c>
      <c r="AU60" t="s">
        <v>70</v>
      </c>
      <c r="AV60">
        <v>0</v>
      </c>
      <c r="AW60">
        <v>2</v>
      </c>
      <c r="AX60">
        <v>56612064</v>
      </c>
      <c r="AY60">
        <v>1</v>
      </c>
      <c r="AZ60">
        <v>0</v>
      </c>
      <c r="BA60">
        <v>96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ROUND(Y60*Source!I97*DO60,9)</f>
        <v>0</v>
      </c>
      <c r="CX60">
        <f>ROUND(Y60*Source!I97,9)</f>
        <v>0.53365910400000005</v>
      </c>
      <c r="CY60">
        <f>AB60</f>
        <v>0.73</v>
      </c>
      <c r="CZ60">
        <f>AF60</f>
        <v>0.73</v>
      </c>
      <c r="DA60">
        <f>AJ60</f>
        <v>1</v>
      </c>
      <c r="DB60">
        <f>ROUND(((ROUND(AT60*CZ60,2)*1.1)*1.2),6)</f>
        <v>3.5375999999999999</v>
      </c>
      <c r="DC60">
        <f>ROUND(((ROUND(AT60*AG60,2)*1.1)*1.2),6)</f>
        <v>0</v>
      </c>
      <c r="DD60" t="s">
        <v>3</v>
      </c>
      <c r="DE60" t="s">
        <v>3</v>
      </c>
      <c r="DF60">
        <f t="shared" si="13"/>
        <v>0</v>
      </c>
      <c r="DG60">
        <f t="shared" si="24"/>
        <v>0.39</v>
      </c>
      <c r="DH60">
        <f t="shared" si="25"/>
        <v>0</v>
      </c>
      <c r="DI60">
        <f t="shared" si="6"/>
        <v>0</v>
      </c>
      <c r="DJ60">
        <f>DG60</f>
        <v>0.39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ROW(Source!A97)</f>
        <v>97</v>
      </c>
      <c r="B61">
        <v>56622523</v>
      </c>
      <c r="C61">
        <v>56612049</v>
      </c>
      <c r="D61">
        <v>46723498</v>
      </c>
      <c r="E61">
        <v>1</v>
      </c>
      <c r="F61">
        <v>1</v>
      </c>
      <c r="G61">
        <v>27786564</v>
      </c>
      <c r="H61">
        <v>3</v>
      </c>
      <c r="I61" t="s">
        <v>469</v>
      </c>
      <c r="J61" t="s">
        <v>470</v>
      </c>
      <c r="K61" t="s">
        <v>471</v>
      </c>
      <c r="L61">
        <v>1348</v>
      </c>
      <c r="N61">
        <v>1009</v>
      </c>
      <c r="O61" t="s">
        <v>330</v>
      </c>
      <c r="P61" t="s">
        <v>330</v>
      </c>
      <c r="Q61">
        <v>1000</v>
      </c>
      <c r="W61">
        <v>0</v>
      </c>
      <c r="X61">
        <v>975641442</v>
      </c>
      <c r="Y61">
        <f t="shared" ref="Y61:Y67" si="26">(AT61*1)</f>
        <v>6.0000000000000002E-5</v>
      </c>
      <c r="AA61">
        <v>11242.42</v>
      </c>
      <c r="AB61">
        <v>0</v>
      </c>
      <c r="AC61">
        <v>0</v>
      </c>
      <c r="AD61">
        <v>0</v>
      </c>
      <c r="AE61">
        <v>11242.42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6.0000000000000002E-5</v>
      </c>
      <c r="AU61" t="s">
        <v>42</v>
      </c>
      <c r="AV61">
        <v>0</v>
      </c>
      <c r="AW61">
        <v>2</v>
      </c>
      <c r="AX61">
        <v>56612065</v>
      </c>
      <c r="AY61">
        <v>1</v>
      </c>
      <c r="AZ61">
        <v>0</v>
      </c>
      <c r="BA61">
        <v>97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ROUND(Y61*Source!I97,9)</f>
        <v>6.6100000000000002E-6</v>
      </c>
      <c r="CY61">
        <f t="shared" ref="CY61:CY67" si="27">AA61</f>
        <v>11242.42</v>
      </c>
      <c r="CZ61">
        <f t="shared" ref="CZ61:CZ67" si="28">AE61</f>
        <v>11242.42</v>
      </c>
      <c r="DA61">
        <f t="shared" ref="DA61:DA67" si="29">AI61</f>
        <v>1</v>
      </c>
      <c r="DB61">
        <f t="shared" ref="DB61:DB67" si="30">ROUND((ROUND(AT61*CZ61,2)*1),6)</f>
        <v>0.67</v>
      </c>
      <c r="DC61">
        <f t="shared" ref="DC61:DC67" si="31">ROUND((ROUND(AT61*AG61,2)*1),6)</f>
        <v>0</v>
      </c>
      <c r="DD61" t="s">
        <v>3</v>
      </c>
      <c r="DE61" t="s">
        <v>3</v>
      </c>
      <c r="DF61">
        <f t="shared" si="13"/>
        <v>7.0000000000000007E-2</v>
      </c>
      <c r="DG61">
        <f t="shared" si="24"/>
        <v>0</v>
      </c>
      <c r="DH61">
        <f t="shared" si="25"/>
        <v>0</v>
      </c>
      <c r="DI61">
        <f t="shared" si="6"/>
        <v>0</v>
      </c>
      <c r="DJ61">
        <f t="shared" ref="DJ61:DJ67" si="32">DF61</f>
        <v>7.0000000000000007E-2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ROW(Source!A97)</f>
        <v>97</v>
      </c>
      <c r="B62">
        <v>56622523</v>
      </c>
      <c r="C62">
        <v>56612049</v>
      </c>
      <c r="D62">
        <v>45796980</v>
      </c>
      <c r="E62">
        <v>1</v>
      </c>
      <c r="F62">
        <v>1</v>
      </c>
      <c r="G62">
        <v>27786564</v>
      </c>
      <c r="H62">
        <v>3</v>
      </c>
      <c r="I62" t="s">
        <v>472</v>
      </c>
      <c r="J62" t="s">
        <v>473</v>
      </c>
      <c r="K62" t="s">
        <v>474</v>
      </c>
      <c r="L62">
        <v>1346</v>
      </c>
      <c r="N62">
        <v>1009</v>
      </c>
      <c r="O62" t="s">
        <v>104</v>
      </c>
      <c r="P62" t="s">
        <v>104</v>
      </c>
      <c r="Q62">
        <v>1</v>
      </c>
      <c r="W62">
        <v>0</v>
      </c>
      <c r="X62">
        <v>1533725368</v>
      </c>
      <c r="Y62">
        <f t="shared" si="26"/>
        <v>0.8</v>
      </c>
      <c r="AA62">
        <v>25.8</v>
      </c>
      <c r="AB62">
        <v>0</v>
      </c>
      <c r="AC62">
        <v>0</v>
      </c>
      <c r="AD62">
        <v>0</v>
      </c>
      <c r="AE62">
        <v>25.8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0.8</v>
      </c>
      <c r="AU62" t="s">
        <v>42</v>
      </c>
      <c r="AV62">
        <v>0</v>
      </c>
      <c r="AW62">
        <v>2</v>
      </c>
      <c r="AX62">
        <v>56612066</v>
      </c>
      <c r="AY62">
        <v>1</v>
      </c>
      <c r="AZ62">
        <v>0</v>
      </c>
      <c r="BA62">
        <v>98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ROUND(Y62*Source!I97,9)</f>
        <v>8.8127999999999998E-2</v>
      </c>
      <c r="CY62">
        <f t="shared" si="27"/>
        <v>25.8</v>
      </c>
      <c r="CZ62">
        <f t="shared" si="28"/>
        <v>25.8</v>
      </c>
      <c r="DA62">
        <f t="shared" si="29"/>
        <v>1</v>
      </c>
      <c r="DB62">
        <f t="shared" si="30"/>
        <v>20.64</v>
      </c>
      <c r="DC62">
        <f t="shared" si="31"/>
        <v>0</v>
      </c>
      <c r="DD62" t="s">
        <v>3</v>
      </c>
      <c r="DE62" t="s">
        <v>3</v>
      </c>
      <c r="DF62">
        <f t="shared" si="13"/>
        <v>2.27</v>
      </c>
      <c r="DG62">
        <f t="shared" si="24"/>
        <v>0</v>
      </c>
      <c r="DH62">
        <f t="shared" si="25"/>
        <v>0</v>
      </c>
      <c r="DI62">
        <f t="shared" si="6"/>
        <v>0</v>
      </c>
      <c r="DJ62">
        <f t="shared" si="32"/>
        <v>2.27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ROW(Source!A97)</f>
        <v>97</v>
      </c>
      <c r="B63">
        <v>56622523</v>
      </c>
      <c r="C63">
        <v>56612049</v>
      </c>
      <c r="D63">
        <v>46723689</v>
      </c>
      <c r="E63">
        <v>1</v>
      </c>
      <c r="F63">
        <v>1</v>
      </c>
      <c r="G63">
        <v>27786564</v>
      </c>
      <c r="H63">
        <v>3</v>
      </c>
      <c r="I63" t="s">
        <v>475</v>
      </c>
      <c r="J63" t="s">
        <v>476</v>
      </c>
      <c r="K63" t="s">
        <v>477</v>
      </c>
      <c r="L63">
        <v>1348</v>
      </c>
      <c r="N63">
        <v>1009</v>
      </c>
      <c r="O63" t="s">
        <v>330</v>
      </c>
      <c r="P63" t="s">
        <v>330</v>
      </c>
      <c r="Q63">
        <v>1000</v>
      </c>
      <c r="W63">
        <v>0</v>
      </c>
      <c r="X63">
        <v>-1817633629</v>
      </c>
      <c r="Y63">
        <f t="shared" si="26"/>
        <v>5.0000000000000001E-4</v>
      </c>
      <c r="AA63">
        <v>60966</v>
      </c>
      <c r="AB63">
        <v>0</v>
      </c>
      <c r="AC63">
        <v>0</v>
      </c>
      <c r="AD63">
        <v>0</v>
      </c>
      <c r="AE63">
        <v>60966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5.0000000000000001E-4</v>
      </c>
      <c r="AU63" t="s">
        <v>42</v>
      </c>
      <c r="AV63">
        <v>0</v>
      </c>
      <c r="AW63">
        <v>2</v>
      </c>
      <c r="AX63">
        <v>56612067</v>
      </c>
      <c r="AY63">
        <v>1</v>
      </c>
      <c r="AZ63">
        <v>0</v>
      </c>
      <c r="BA63">
        <v>99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ROUND(Y63*Source!I97,9)</f>
        <v>5.5080000000000001E-5</v>
      </c>
      <c r="CY63">
        <f t="shared" si="27"/>
        <v>60966</v>
      </c>
      <c r="CZ63">
        <f t="shared" si="28"/>
        <v>60966</v>
      </c>
      <c r="DA63">
        <f t="shared" si="29"/>
        <v>1</v>
      </c>
      <c r="DB63">
        <f t="shared" si="30"/>
        <v>30.48</v>
      </c>
      <c r="DC63">
        <f t="shared" si="31"/>
        <v>0</v>
      </c>
      <c r="DD63" t="s">
        <v>3</v>
      </c>
      <c r="DE63" t="s">
        <v>3</v>
      </c>
      <c r="DF63">
        <f t="shared" si="13"/>
        <v>3.36</v>
      </c>
      <c r="DG63">
        <f t="shared" si="24"/>
        <v>0</v>
      </c>
      <c r="DH63">
        <f t="shared" si="25"/>
        <v>0</v>
      </c>
      <c r="DI63">
        <f t="shared" si="6"/>
        <v>0</v>
      </c>
      <c r="DJ63">
        <f t="shared" si="32"/>
        <v>3.36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ROW(Source!A97)</f>
        <v>97</v>
      </c>
      <c r="B64">
        <v>56622523</v>
      </c>
      <c r="C64">
        <v>56612049</v>
      </c>
      <c r="D64">
        <v>46723704</v>
      </c>
      <c r="E64">
        <v>1</v>
      </c>
      <c r="F64">
        <v>1</v>
      </c>
      <c r="G64">
        <v>27786564</v>
      </c>
      <c r="H64">
        <v>3</v>
      </c>
      <c r="I64" t="s">
        <v>478</v>
      </c>
      <c r="J64" t="s">
        <v>479</v>
      </c>
      <c r="K64" t="s">
        <v>480</v>
      </c>
      <c r="L64">
        <v>1348</v>
      </c>
      <c r="N64">
        <v>1009</v>
      </c>
      <c r="O64" t="s">
        <v>330</v>
      </c>
      <c r="P64" t="s">
        <v>330</v>
      </c>
      <c r="Q64">
        <v>1000</v>
      </c>
      <c r="W64">
        <v>0</v>
      </c>
      <c r="X64">
        <v>1862018911</v>
      </c>
      <c r="Y64">
        <f t="shared" si="26"/>
        <v>4.0000000000000003E-5</v>
      </c>
      <c r="AA64">
        <v>7982.5</v>
      </c>
      <c r="AB64">
        <v>0</v>
      </c>
      <c r="AC64">
        <v>0</v>
      </c>
      <c r="AD64">
        <v>0</v>
      </c>
      <c r="AE64">
        <v>7982.5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4.0000000000000003E-5</v>
      </c>
      <c r="AU64" t="s">
        <v>42</v>
      </c>
      <c r="AV64">
        <v>0</v>
      </c>
      <c r="AW64">
        <v>2</v>
      </c>
      <c r="AX64">
        <v>56612068</v>
      </c>
      <c r="AY64">
        <v>1</v>
      </c>
      <c r="AZ64">
        <v>0</v>
      </c>
      <c r="BA64">
        <v>100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ROUND(Y64*Source!I97,9)</f>
        <v>4.4059999999999998E-6</v>
      </c>
      <c r="CY64">
        <f t="shared" si="27"/>
        <v>7982.5</v>
      </c>
      <c r="CZ64">
        <f t="shared" si="28"/>
        <v>7982.5</v>
      </c>
      <c r="DA64">
        <f t="shared" si="29"/>
        <v>1</v>
      </c>
      <c r="DB64">
        <f t="shared" si="30"/>
        <v>0.32</v>
      </c>
      <c r="DC64">
        <f t="shared" si="31"/>
        <v>0</v>
      </c>
      <c r="DD64" t="s">
        <v>3</v>
      </c>
      <c r="DE64" t="s">
        <v>3</v>
      </c>
      <c r="DF64">
        <f t="shared" si="13"/>
        <v>0.04</v>
      </c>
      <c r="DG64">
        <f t="shared" si="24"/>
        <v>0</v>
      </c>
      <c r="DH64">
        <f t="shared" si="25"/>
        <v>0</v>
      </c>
      <c r="DI64">
        <f t="shared" si="6"/>
        <v>0</v>
      </c>
      <c r="DJ64">
        <f t="shared" si="32"/>
        <v>0.04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ROW(Source!A97)</f>
        <v>97</v>
      </c>
      <c r="B65">
        <v>56622523</v>
      </c>
      <c r="C65">
        <v>56612049</v>
      </c>
      <c r="D65">
        <v>52048144</v>
      </c>
      <c r="E65">
        <v>1</v>
      </c>
      <c r="F65">
        <v>1</v>
      </c>
      <c r="G65">
        <v>27786564</v>
      </c>
      <c r="H65">
        <v>3</v>
      </c>
      <c r="I65" t="s">
        <v>481</v>
      </c>
      <c r="J65" t="s">
        <v>482</v>
      </c>
      <c r="K65" t="s">
        <v>483</v>
      </c>
      <c r="L65">
        <v>1356</v>
      </c>
      <c r="N65">
        <v>1010</v>
      </c>
      <c r="O65" t="s">
        <v>484</v>
      </c>
      <c r="P65" t="s">
        <v>484</v>
      </c>
      <c r="Q65">
        <v>1000</v>
      </c>
      <c r="W65">
        <v>0</v>
      </c>
      <c r="X65">
        <v>1183006993</v>
      </c>
      <c r="Y65">
        <f t="shared" si="26"/>
        <v>4.0999999999999999E-4</v>
      </c>
      <c r="AA65">
        <v>226.68</v>
      </c>
      <c r="AB65">
        <v>0</v>
      </c>
      <c r="AC65">
        <v>0</v>
      </c>
      <c r="AD65">
        <v>0</v>
      </c>
      <c r="AE65">
        <v>226.68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4.0999999999999999E-4</v>
      </c>
      <c r="AU65" t="s">
        <v>42</v>
      </c>
      <c r="AV65">
        <v>0</v>
      </c>
      <c r="AW65">
        <v>2</v>
      </c>
      <c r="AX65">
        <v>56612069</v>
      </c>
      <c r="AY65">
        <v>1</v>
      </c>
      <c r="AZ65">
        <v>0</v>
      </c>
      <c r="BA65">
        <v>101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ROUND(Y65*Source!I97,9)</f>
        <v>4.5166000000000001E-5</v>
      </c>
      <c r="CY65">
        <f t="shared" si="27"/>
        <v>226.68</v>
      </c>
      <c r="CZ65">
        <f t="shared" si="28"/>
        <v>226.68</v>
      </c>
      <c r="DA65">
        <f t="shared" si="29"/>
        <v>1</v>
      </c>
      <c r="DB65">
        <f t="shared" si="30"/>
        <v>0.09</v>
      </c>
      <c r="DC65">
        <f t="shared" si="31"/>
        <v>0</v>
      </c>
      <c r="DD65" t="s">
        <v>3</v>
      </c>
      <c r="DE65" t="s">
        <v>3</v>
      </c>
      <c r="DF65">
        <f t="shared" ref="DF65:DF71" si="33">ROUND(ROUND(AE65,2)*CX65,2)</f>
        <v>0.01</v>
      </c>
      <c r="DG65">
        <f t="shared" si="24"/>
        <v>0</v>
      </c>
      <c r="DH65">
        <f t="shared" si="25"/>
        <v>0</v>
      </c>
      <c r="DI65">
        <f t="shared" ref="DI65:DI128" si="34">ROUND(ROUND(AH65,2)*CX65,2)</f>
        <v>0</v>
      </c>
      <c r="DJ65">
        <f t="shared" si="32"/>
        <v>0.01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ROW(Source!A97)</f>
        <v>97</v>
      </c>
      <c r="B66">
        <v>56622523</v>
      </c>
      <c r="C66">
        <v>56612049</v>
      </c>
      <c r="D66">
        <v>46735506</v>
      </c>
      <c r="E66">
        <v>1</v>
      </c>
      <c r="F66">
        <v>1</v>
      </c>
      <c r="G66">
        <v>27786564</v>
      </c>
      <c r="H66">
        <v>3</v>
      </c>
      <c r="I66" t="s">
        <v>485</v>
      </c>
      <c r="J66" t="s">
        <v>486</v>
      </c>
      <c r="K66" t="s">
        <v>487</v>
      </c>
      <c r="L66">
        <v>1301</v>
      </c>
      <c r="N66">
        <v>1003</v>
      </c>
      <c r="O66" t="s">
        <v>56</v>
      </c>
      <c r="P66" t="s">
        <v>56</v>
      </c>
      <c r="Q66">
        <v>1</v>
      </c>
      <c r="W66">
        <v>0</v>
      </c>
      <c r="X66">
        <v>1159735927</v>
      </c>
      <c r="Y66">
        <f t="shared" si="26"/>
        <v>0.96</v>
      </c>
      <c r="AA66">
        <v>0.7</v>
      </c>
      <c r="AB66">
        <v>0</v>
      </c>
      <c r="AC66">
        <v>0</v>
      </c>
      <c r="AD66">
        <v>0</v>
      </c>
      <c r="AE66">
        <v>0.7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0.96</v>
      </c>
      <c r="AU66" t="s">
        <v>42</v>
      </c>
      <c r="AV66">
        <v>0</v>
      </c>
      <c r="AW66">
        <v>2</v>
      </c>
      <c r="AX66">
        <v>56612070</v>
      </c>
      <c r="AY66">
        <v>1</v>
      </c>
      <c r="AZ66">
        <v>0</v>
      </c>
      <c r="BA66">
        <v>102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ROUND(Y66*Source!I97,9)</f>
        <v>0.1057536</v>
      </c>
      <c r="CY66">
        <f t="shared" si="27"/>
        <v>0.7</v>
      </c>
      <c r="CZ66">
        <f t="shared" si="28"/>
        <v>0.7</v>
      </c>
      <c r="DA66">
        <f t="shared" si="29"/>
        <v>1</v>
      </c>
      <c r="DB66">
        <f t="shared" si="30"/>
        <v>0.67</v>
      </c>
      <c r="DC66">
        <f t="shared" si="31"/>
        <v>0</v>
      </c>
      <c r="DD66" t="s">
        <v>3</v>
      </c>
      <c r="DE66" t="s">
        <v>3</v>
      </c>
      <c r="DF66">
        <f t="shared" si="33"/>
        <v>7.0000000000000007E-2</v>
      </c>
      <c r="DG66">
        <f t="shared" si="24"/>
        <v>0</v>
      </c>
      <c r="DH66">
        <f t="shared" si="25"/>
        <v>0</v>
      </c>
      <c r="DI66">
        <f t="shared" si="34"/>
        <v>0</v>
      </c>
      <c r="DJ66">
        <f t="shared" si="32"/>
        <v>7.0000000000000007E-2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ROW(Source!A97)</f>
        <v>97</v>
      </c>
      <c r="B67">
        <v>56622523</v>
      </c>
      <c r="C67">
        <v>56612049</v>
      </c>
      <c r="D67">
        <v>46735508</v>
      </c>
      <c r="E67">
        <v>1</v>
      </c>
      <c r="F67">
        <v>1</v>
      </c>
      <c r="G67">
        <v>27786564</v>
      </c>
      <c r="H67">
        <v>3</v>
      </c>
      <c r="I67" t="s">
        <v>488</v>
      </c>
      <c r="J67" t="s">
        <v>489</v>
      </c>
      <c r="K67" t="s">
        <v>490</v>
      </c>
      <c r="L67">
        <v>1356</v>
      </c>
      <c r="N67">
        <v>1010</v>
      </c>
      <c r="O67" t="s">
        <v>484</v>
      </c>
      <c r="P67" t="s">
        <v>484</v>
      </c>
      <c r="Q67">
        <v>1000</v>
      </c>
      <c r="W67">
        <v>0</v>
      </c>
      <c r="X67">
        <v>1674776227</v>
      </c>
      <c r="Y67">
        <f t="shared" si="26"/>
        <v>8.3199999999999993E-3</v>
      </c>
      <c r="AA67">
        <v>6.44</v>
      </c>
      <c r="AB67">
        <v>0</v>
      </c>
      <c r="AC67">
        <v>0</v>
      </c>
      <c r="AD67">
        <v>0</v>
      </c>
      <c r="AE67">
        <v>6.44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8.3199999999999993E-3</v>
      </c>
      <c r="AU67" t="s">
        <v>42</v>
      </c>
      <c r="AV67">
        <v>0</v>
      </c>
      <c r="AW67">
        <v>2</v>
      </c>
      <c r="AX67">
        <v>56612071</v>
      </c>
      <c r="AY67">
        <v>1</v>
      </c>
      <c r="AZ67">
        <v>0</v>
      </c>
      <c r="BA67">
        <v>103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ROUND(Y67*Source!I97,9)</f>
        <v>9.1653100000000005E-4</v>
      </c>
      <c r="CY67">
        <f t="shared" si="27"/>
        <v>6.44</v>
      </c>
      <c r="CZ67">
        <f t="shared" si="28"/>
        <v>6.44</v>
      </c>
      <c r="DA67">
        <f t="shared" si="29"/>
        <v>1</v>
      </c>
      <c r="DB67">
        <f t="shared" si="30"/>
        <v>0.05</v>
      </c>
      <c r="DC67">
        <f t="shared" si="31"/>
        <v>0</v>
      </c>
      <c r="DD67" t="s">
        <v>3</v>
      </c>
      <c r="DE67" t="s">
        <v>3</v>
      </c>
      <c r="DF67">
        <f t="shared" si="33"/>
        <v>0.01</v>
      </c>
      <c r="DG67">
        <f t="shared" si="24"/>
        <v>0</v>
      </c>
      <c r="DH67">
        <f t="shared" si="25"/>
        <v>0</v>
      </c>
      <c r="DI67">
        <f t="shared" si="34"/>
        <v>0</v>
      </c>
      <c r="DJ67">
        <f t="shared" si="32"/>
        <v>0.01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ROW(Source!A98)</f>
        <v>98</v>
      </c>
      <c r="B68">
        <v>56611490</v>
      </c>
      <c r="C68">
        <v>56612049</v>
      </c>
      <c r="D68">
        <v>47634407</v>
      </c>
      <c r="E68">
        <v>27786564</v>
      </c>
      <c r="F68">
        <v>1</v>
      </c>
      <c r="G68">
        <v>27786564</v>
      </c>
      <c r="H68">
        <v>1</v>
      </c>
      <c r="I68" t="s">
        <v>438</v>
      </c>
      <c r="J68" t="s">
        <v>3</v>
      </c>
      <c r="K68" t="s">
        <v>439</v>
      </c>
      <c r="L68">
        <v>1191</v>
      </c>
      <c r="N68">
        <v>1013</v>
      </c>
      <c r="O68" t="s">
        <v>440</v>
      </c>
      <c r="P68" t="s">
        <v>440</v>
      </c>
      <c r="Q68">
        <v>1</v>
      </c>
      <c r="W68">
        <v>0</v>
      </c>
      <c r="X68">
        <v>476480486</v>
      </c>
      <c r="Y68">
        <f>((AT68*1.1)*1.2)</f>
        <v>20.856000000000002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15.8</v>
      </c>
      <c r="AU68" t="s">
        <v>70</v>
      </c>
      <c r="AV68">
        <v>1</v>
      </c>
      <c r="AW68">
        <v>2</v>
      </c>
      <c r="AX68">
        <v>56612061</v>
      </c>
      <c r="AY68">
        <v>1</v>
      </c>
      <c r="AZ68">
        <v>0</v>
      </c>
      <c r="BA68">
        <v>106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U68">
        <f>ROUND(AT68*Source!I98*AH68*AL68,2)</f>
        <v>0</v>
      </c>
      <c r="CV68">
        <f>ROUND(Y68*Source!I98,9)</f>
        <v>2.2974969600000001</v>
      </c>
      <c r="CW68">
        <v>0</v>
      </c>
      <c r="CX68">
        <f>ROUND(Y68*Source!I98,9)</f>
        <v>2.2974969600000001</v>
      </c>
      <c r="CY68">
        <f>AD68</f>
        <v>0</v>
      </c>
      <c r="CZ68">
        <f>AH68</f>
        <v>0</v>
      </c>
      <c r="DA68">
        <f>AL68</f>
        <v>1</v>
      </c>
      <c r="DB68">
        <f>ROUND(((ROUND(AT68*CZ68,2)*1.1)*1.2),6)</f>
        <v>0</v>
      </c>
      <c r="DC68">
        <f>ROUND(((ROUND(AT68*AG68,2)*1.1)*1.2),6)</f>
        <v>0</v>
      </c>
      <c r="DD68" t="s">
        <v>3</v>
      </c>
      <c r="DE68" t="s">
        <v>3</v>
      </c>
      <c r="DF68">
        <f t="shared" si="33"/>
        <v>0</v>
      </c>
      <c r="DG68">
        <f t="shared" si="24"/>
        <v>0</v>
      </c>
      <c r="DH68">
        <f t="shared" si="25"/>
        <v>0</v>
      </c>
      <c r="DI68">
        <f t="shared" si="34"/>
        <v>0</v>
      </c>
      <c r="DJ68">
        <f>DI68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ROW(Source!A98)</f>
        <v>98</v>
      </c>
      <c r="B69">
        <v>56611490</v>
      </c>
      <c r="C69">
        <v>56612049</v>
      </c>
      <c r="D69">
        <v>47767106</v>
      </c>
      <c r="E69">
        <v>1</v>
      </c>
      <c r="F69">
        <v>1</v>
      </c>
      <c r="G69">
        <v>27786564</v>
      </c>
      <c r="H69">
        <v>2</v>
      </c>
      <c r="I69" t="s">
        <v>460</v>
      </c>
      <c r="J69" t="s">
        <v>461</v>
      </c>
      <c r="K69" t="s">
        <v>462</v>
      </c>
      <c r="L69">
        <v>1368</v>
      </c>
      <c r="N69">
        <v>1011</v>
      </c>
      <c r="O69" t="s">
        <v>444</v>
      </c>
      <c r="P69" t="s">
        <v>444</v>
      </c>
      <c r="Q69">
        <v>1</v>
      </c>
      <c r="W69">
        <v>0</v>
      </c>
      <c r="X69">
        <v>-7781208</v>
      </c>
      <c r="Y69">
        <f>((AT69*1.1)*1.2)</f>
        <v>0.67320000000000002</v>
      </c>
      <c r="AA69">
        <v>0</v>
      </c>
      <c r="AB69">
        <v>1140.27</v>
      </c>
      <c r="AC69">
        <v>464.7</v>
      </c>
      <c r="AD69">
        <v>0</v>
      </c>
      <c r="AE69">
        <v>0</v>
      </c>
      <c r="AF69">
        <v>83.1</v>
      </c>
      <c r="AG69">
        <v>12.62</v>
      </c>
      <c r="AH69">
        <v>0</v>
      </c>
      <c r="AI69">
        <v>1</v>
      </c>
      <c r="AJ69">
        <v>12.86</v>
      </c>
      <c r="AK69">
        <v>34.51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0.51</v>
      </c>
      <c r="AU69" t="s">
        <v>70</v>
      </c>
      <c r="AV69">
        <v>0</v>
      </c>
      <c r="AW69">
        <v>2</v>
      </c>
      <c r="AX69">
        <v>56612062</v>
      </c>
      <c r="AY69">
        <v>1</v>
      </c>
      <c r="AZ69">
        <v>0</v>
      </c>
      <c r="BA69">
        <v>107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ROUND(Y69*Source!I98*DO69,9)</f>
        <v>0</v>
      </c>
      <c r="CX69">
        <f>ROUND(Y69*Source!I98,9)</f>
        <v>7.4159712000000003E-2</v>
      </c>
      <c r="CY69">
        <f>AB69</f>
        <v>1140.27</v>
      </c>
      <c r="CZ69">
        <f>AF69</f>
        <v>83.1</v>
      </c>
      <c r="DA69">
        <f>AJ69</f>
        <v>12.86</v>
      </c>
      <c r="DB69">
        <f>ROUND(((ROUND(AT69*CZ69,2)*1.1)*1.2),6)</f>
        <v>55.941600000000001</v>
      </c>
      <c r="DC69">
        <f>ROUND(((ROUND(AT69*AG69,2)*1.1)*1.2),6)</f>
        <v>8.5007999999999999</v>
      </c>
      <c r="DD69" t="s">
        <v>3</v>
      </c>
      <c r="DE69" t="s">
        <v>3</v>
      </c>
      <c r="DF69">
        <f t="shared" si="33"/>
        <v>0</v>
      </c>
      <c r="DG69">
        <f>ROUND(ROUND(AF69*AJ69,2)*CX69,2)</f>
        <v>79.25</v>
      </c>
      <c r="DH69">
        <f>ROUND(ROUND(AG69*AK69,2)*CX69,2)</f>
        <v>32.299999999999997</v>
      </c>
      <c r="DI69">
        <f t="shared" si="34"/>
        <v>0</v>
      </c>
      <c r="DJ69">
        <f>DG69</f>
        <v>79.25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ROW(Source!A98)</f>
        <v>98</v>
      </c>
      <c r="B70">
        <v>56611490</v>
      </c>
      <c r="C70">
        <v>56612049</v>
      </c>
      <c r="D70">
        <v>47766535</v>
      </c>
      <c r="E70">
        <v>1</v>
      </c>
      <c r="F70">
        <v>1</v>
      </c>
      <c r="G70">
        <v>27786564</v>
      </c>
      <c r="H70">
        <v>2</v>
      </c>
      <c r="I70" t="s">
        <v>463</v>
      </c>
      <c r="J70" t="s">
        <v>464</v>
      </c>
      <c r="K70" t="s">
        <v>465</v>
      </c>
      <c r="L70">
        <v>1368</v>
      </c>
      <c r="N70">
        <v>1011</v>
      </c>
      <c r="O70" t="s">
        <v>444</v>
      </c>
      <c r="P70" t="s">
        <v>444</v>
      </c>
      <c r="Q70">
        <v>1</v>
      </c>
      <c r="W70">
        <v>0</v>
      </c>
      <c r="X70">
        <v>-1386352920</v>
      </c>
      <c r="Y70">
        <f>((AT70*1.1)*1.2)</f>
        <v>4.5011999999999999</v>
      </c>
      <c r="AA70">
        <v>0</v>
      </c>
      <c r="AB70">
        <v>21.34</v>
      </c>
      <c r="AC70">
        <v>0</v>
      </c>
      <c r="AD70">
        <v>0</v>
      </c>
      <c r="AE70">
        <v>0</v>
      </c>
      <c r="AF70">
        <v>2.27</v>
      </c>
      <c r="AG70">
        <v>0</v>
      </c>
      <c r="AH70">
        <v>0</v>
      </c>
      <c r="AI70">
        <v>1</v>
      </c>
      <c r="AJ70">
        <v>8.81</v>
      </c>
      <c r="AK70">
        <v>34.51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3.41</v>
      </c>
      <c r="AU70" t="s">
        <v>70</v>
      </c>
      <c r="AV70">
        <v>0</v>
      </c>
      <c r="AW70">
        <v>2</v>
      </c>
      <c r="AX70">
        <v>56612063</v>
      </c>
      <c r="AY70">
        <v>1</v>
      </c>
      <c r="AZ70">
        <v>0</v>
      </c>
      <c r="BA70">
        <v>108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ROUND(Y70*Source!I98*DO70,9)</f>
        <v>0</v>
      </c>
      <c r="CX70">
        <f>ROUND(Y70*Source!I98,9)</f>
        <v>0.49585219200000002</v>
      </c>
      <c r="CY70">
        <f>AB70</f>
        <v>21.34</v>
      </c>
      <c r="CZ70">
        <f>AF70</f>
        <v>2.27</v>
      </c>
      <c r="DA70">
        <f>AJ70</f>
        <v>8.81</v>
      </c>
      <c r="DB70">
        <f>ROUND(((ROUND(AT70*CZ70,2)*1.1)*1.2),6)</f>
        <v>10.216799999999999</v>
      </c>
      <c r="DC70">
        <f>ROUND(((ROUND(AT70*AG70,2)*1.1)*1.2),6)</f>
        <v>0</v>
      </c>
      <c r="DD70" t="s">
        <v>3</v>
      </c>
      <c r="DE70" t="s">
        <v>3</v>
      </c>
      <c r="DF70">
        <f t="shared" si="33"/>
        <v>0</v>
      </c>
      <c r="DG70">
        <f>ROUND(ROUND(AF70*AJ70,2)*CX70,2)</f>
        <v>9.92</v>
      </c>
      <c r="DH70">
        <f>ROUND(ROUND(AG70*AK70,2)*CX70,2)</f>
        <v>0</v>
      </c>
      <c r="DI70">
        <f t="shared" si="34"/>
        <v>0</v>
      </c>
      <c r="DJ70">
        <f>DG70</f>
        <v>9.92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ROW(Source!A98)</f>
        <v>98</v>
      </c>
      <c r="B71">
        <v>56611490</v>
      </c>
      <c r="C71">
        <v>56612049</v>
      </c>
      <c r="D71">
        <v>47766545</v>
      </c>
      <c r="E71">
        <v>1</v>
      </c>
      <c r="F71">
        <v>1</v>
      </c>
      <c r="G71">
        <v>27786564</v>
      </c>
      <c r="H71">
        <v>2</v>
      </c>
      <c r="I71" t="s">
        <v>466</v>
      </c>
      <c r="J71" t="s">
        <v>467</v>
      </c>
      <c r="K71" t="s">
        <v>468</v>
      </c>
      <c r="L71">
        <v>1368</v>
      </c>
      <c r="N71">
        <v>1011</v>
      </c>
      <c r="O71" t="s">
        <v>444</v>
      </c>
      <c r="P71" t="s">
        <v>444</v>
      </c>
      <c r="Q71">
        <v>1</v>
      </c>
      <c r="W71">
        <v>0</v>
      </c>
      <c r="X71">
        <v>1766156404</v>
      </c>
      <c r="Y71">
        <f>((AT71*1.1)*1.2)</f>
        <v>4.8443999999999994</v>
      </c>
      <c r="AA71">
        <v>0</v>
      </c>
      <c r="AB71">
        <v>6.51</v>
      </c>
      <c r="AC71">
        <v>0</v>
      </c>
      <c r="AD71">
        <v>0</v>
      </c>
      <c r="AE71">
        <v>0</v>
      </c>
      <c r="AF71">
        <v>0.73</v>
      </c>
      <c r="AG71">
        <v>0</v>
      </c>
      <c r="AH71">
        <v>0</v>
      </c>
      <c r="AI71">
        <v>1</v>
      </c>
      <c r="AJ71">
        <v>8.36</v>
      </c>
      <c r="AK71">
        <v>34.51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3.67</v>
      </c>
      <c r="AU71" t="s">
        <v>70</v>
      </c>
      <c r="AV71">
        <v>0</v>
      </c>
      <c r="AW71">
        <v>2</v>
      </c>
      <c r="AX71">
        <v>56612064</v>
      </c>
      <c r="AY71">
        <v>1</v>
      </c>
      <c r="AZ71">
        <v>0</v>
      </c>
      <c r="BA71">
        <v>109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ROUND(Y71*Source!I98*DO71,9)</f>
        <v>0</v>
      </c>
      <c r="CX71">
        <f>ROUND(Y71*Source!I98,9)</f>
        <v>0.53365910400000005</v>
      </c>
      <c r="CY71">
        <f>AB71</f>
        <v>6.51</v>
      </c>
      <c r="CZ71">
        <f>AF71</f>
        <v>0.73</v>
      </c>
      <c r="DA71">
        <f>AJ71</f>
        <v>8.36</v>
      </c>
      <c r="DB71">
        <f>ROUND(((ROUND(AT71*CZ71,2)*1.1)*1.2),6)</f>
        <v>3.5375999999999999</v>
      </c>
      <c r="DC71">
        <f>ROUND(((ROUND(AT71*AG71,2)*1.1)*1.2),6)</f>
        <v>0</v>
      </c>
      <c r="DD71" t="s">
        <v>3</v>
      </c>
      <c r="DE71" t="s">
        <v>3</v>
      </c>
      <c r="DF71">
        <f t="shared" si="33"/>
        <v>0</v>
      </c>
      <c r="DG71">
        <f>ROUND(ROUND(AF71*AJ71,2)*CX71,2)</f>
        <v>3.26</v>
      </c>
      <c r="DH71">
        <f>ROUND(ROUND(AG71*AK71,2)*CX71,2)</f>
        <v>0</v>
      </c>
      <c r="DI71">
        <f t="shared" si="34"/>
        <v>0</v>
      </c>
      <c r="DJ71">
        <f>DG71</f>
        <v>3.26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ROW(Source!A98)</f>
        <v>98</v>
      </c>
      <c r="B72">
        <v>56611490</v>
      </c>
      <c r="C72">
        <v>56612049</v>
      </c>
      <c r="D72">
        <v>46723498</v>
      </c>
      <c r="E72">
        <v>1</v>
      </c>
      <c r="F72">
        <v>1</v>
      </c>
      <c r="G72">
        <v>27786564</v>
      </c>
      <c r="H72">
        <v>3</v>
      </c>
      <c r="I72" t="s">
        <v>469</v>
      </c>
      <c r="J72" t="s">
        <v>470</v>
      </c>
      <c r="K72" t="s">
        <v>471</v>
      </c>
      <c r="L72">
        <v>1348</v>
      </c>
      <c r="N72">
        <v>1009</v>
      </c>
      <c r="O72" t="s">
        <v>330</v>
      </c>
      <c r="P72" t="s">
        <v>330</v>
      </c>
      <c r="Q72">
        <v>1000</v>
      </c>
      <c r="W72">
        <v>0</v>
      </c>
      <c r="X72">
        <v>975641442</v>
      </c>
      <c r="Y72">
        <f t="shared" ref="Y72:Y78" si="35">(AT72*1)</f>
        <v>6.0000000000000002E-5</v>
      </c>
      <c r="AA72">
        <v>83856.09</v>
      </c>
      <c r="AB72">
        <v>0</v>
      </c>
      <c r="AC72">
        <v>0</v>
      </c>
      <c r="AD72">
        <v>0</v>
      </c>
      <c r="AE72">
        <v>11242.42</v>
      </c>
      <c r="AF72">
        <v>0</v>
      </c>
      <c r="AG72">
        <v>0</v>
      </c>
      <c r="AH72">
        <v>0</v>
      </c>
      <c r="AI72">
        <v>6.9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6.0000000000000002E-5</v>
      </c>
      <c r="AU72" t="s">
        <v>42</v>
      </c>
      <c r="AV72">
        <v>0</v>
      </c>
      <c r="AW72">
        <v>2</v>
      </c>
      <c r="AX72">
        <v>56612065</v>
      </c>
      <c r="AY72">
        <v>1</v>
      </c>
      <c r="AZ72">
        <v>0</v>
      </c>
      <c r="BA72">
        <v>110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ROUND(Y72*Source!I98,9)</f>
        <v>6.6100000000000002E-6</v>
      </c>
      <c r="CY72">
        <f t="shared" ref="CY72:CY78" si="36">AA72</f>
        <v>83856.09</v>
      </c>
      <c r="CZ72">
        <f t="shared" ref="CZ72:CZ78" si="37">AE72</f>
        <v>11242.42</v>
      </c>
      <c r="DA72">
        <f t="shared" ref="DA72:DA78" si="38">AI72</f>
        <v>6.9</v>
      </c>
      <c r="DB72">
        <f t="shared" ref="DB72:DB78" si="39">ROUND((ROUND(AT72*CZ72,2)*1),6)</f>
        <v>0.67</v>
      </c>
      <c r="DC72">
        <f t="shared" ref="DC72:DC78" si="40">ROUND((ROUND(AT72*AG72,2)*1),6)</f>
        <v>0</v>
      </c>
      <c r="DD72" t="s">
        <v>3</v>
      </c>
      <c r="DE72" t="s">
        <v>3</v>
      </c>
      <c r="DF72">
        <f t="shared" ref="DF72:DF78" si="41">ROUND(ROUND(AE72*AI72,2)*CX72,2)</f>
        <v>0.51</v>
      </c>
      <c r="DG72">
        <f t="shared" ref="DG72:DG90" si="42">ROUND(ROUND(AF72,2)*CX72,2)</f>
        <v>0</v>
      </c>
      <c r="DH72">
        <f t="shared" ref="DH72:DH90" si="43">ROUND(ROUND(AG72,2)*CX72,2)</f>
        <v>0</v>
      </c>
      <c r="DI72">
        <f t="shared" si="34"/>
        <v>0</v>
      </c>
      <c r="DJ72">
        <f t="shared" ref="DJ72:DJ78" si="44">DF72</f>
        <v>0.51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ROW(Source!A98)</f>
        <v>98</v>
      </c>
      <c r="B73">
        <v>56611490</v>
      </c>
      <c r="C73">
        <v>56612049</v>
      </c>
      <c r="D73">
        <v>45796980</v>
      </c>
      <c r="E73">
        <v>1</v>
      </c>
      <c r="F73">
        <v>1</v>
      </c>
      <c r="G73">
        <v>27786564</v>
      </c>
      <c r="H73">
        <v>3</v>
      </c>
      <c r="I73" t="s">
        <v>472</v>
      </c>
      <c r="J73" t="s">
        <v>473</v>
      </c>
      <c r="K73" t="s">
        <v>474</v>
      </c>
      <c r="L73">
        <v>1346</v>
      </c>
      <c r="N73">
        <v>1009</v>
      </c>
      <c r="O73" t="s">
        <v>104</v>
      </c>
      <c r="P73" t="s">
        <v>104</v>
      </c>
      <c r="Q73">
        <v>1</v>
      </c>
      <c r="W73">
        <v>0</v>
      </c>
      <c r="X73">
        <v>1533725368</v>
      </c>
      <c r="Y73">
        <f t="shared" si="35"/>
        <v>0.8</v>
      </c>
      <c r="AA73">
        <v>211.96</v>
      </c>
      <c r="AB73">
        <v>0</v>
      </c>
      <c r="AC73">
        <v>0</v>
      </c>
      <c r="AD73">
        <v>0</v>
      </c>
      <c r="AE73">
        <v>25.8</v>
      </c>
      <c r="AF73">
        <v>0</v>
      </c>
      <c r="AG73">
        <v>0</v>
      </c>
      <c r="AH73">
        <v>0</v>
      </c>
      <c r="AI73">
        <v>7.6</v>
      </c>
      <c r="AJ73">
        <v>1</v>
      </c>
      <c r="AK73">
        <v>1</v>
      </c>
      <c r="AL73">
        <v>1</v>
      </c>
      <c r="AM73">
        <v>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0.8</v>
      </c>
      <c r="AU73" t="s">
        <v>42</v>
      </c>
      <c r="AV73">
        <v>0</v>
      </c>
      <c r="AW73">
        <v>2</v>
      </c>
      <c r="AX73">
        <v>56612066</v>
      </c>
      <c r="AY73">
        <v>1</v>
      </c>
      <c r="AZ73">
        <v>0</v>
      </c>
      <c r="BA73">
        <v>111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ROUND(Y73*Source!I98,9)</f>
        <v>8.8127999999999998E-2</v>
      </c>
      <c r="CY73">
        <f t="shared" si="36"/>
        <v>211.96</v>
      </c>
      <c r="CZ73">
        <f t="shared" si="37"/>
        <v>25.8</v>
      </c>
      <c r="DA73">
        <f t="shared" si="38"/>
        <v>7.6</v>
      </c>
      <c r="DB73">
        <f t="shared" si="39"/>
        <v>20.64</v>
      </c>
      <c r="DC73">
        <f t="shared" si="40"/>
        <v>0</v>
      </c>
      <c r="DD73" t="s">
        <v>3</v>
      </c>
      <c r="DE73" t="s">
        <v>3</v>
      </c>
      <c r="DF73">
        <f t="shared" si="41"/>
        <v>17.28</v>
      </c>
      <c r="DG73">
        <f t="shared" si="42"/>
        <v>0</v>
      </c>
      <c r="DH73">
        <f t="shared" si="43"/>
        <v>0</v>
      </c>
      <c r="DI73">
        <f t="shared" si="34"/>
        <v>0</v>
      </c>
      <c r="DJ73">
        <f t="shared" si="44"/>
        <v>17.28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ROW(Source!A98)</f>
        <v>98</v>
      </c>
      <c r="B74">
        <v>56611490</v>
      </c>
      <c r="C74">
        <v>56612049</v>
      </c>
      <c r="D74">
        <v>46723689</v>
      </c>
      <c r="E74">
        <v>1</v>
      </c>
      <c r="F74">
        <v>1</v>
      </c>
      <c r="G74">
        <v>27786564</v>
      </c>
      <c r="H74">
        <v>3</v>
      </c>
      <c r="I74" t="s">
        <v>475</v>
      </c>
      <c r="J74" t="s">
        <v>476</v>
      </c>
      <c r="K74" t="s">
        <v>477</v>
      </c>
      <c r="L74">
        <v>1348</v>
      </c>
      <c r="N74">
        <v>1009</v>
      </c>
      <c r="O74" t="s">
        <v>330</v>
      </c>
      <c r="P74" t="s">
        <v>330</v>
      </c>
      <c r="Q74">
        <v>1000</v>
      </c>
      <c r="W74">
        <v>0</v>
      </c>
      <c r="X74">
        <v>-1817633629</v>
      </c>
      <c r="Y74">
        <f t="shared" si="35"/>
        <v>5.0000000000000001E-4</v>
      </c>
      <c r="AA74">
        <v>1617949.24</v>
      </c>
      <c r="AB74">
        <v>0</v>
      </c>
      <c r="AC74">
        <v>0</v>
      </c>
      <c r="AD74">
        <v>0</v>
      </c>
      <c r="AE74">
        <v>60966</v>
      </c>
      <c r="AF74">
        <v>0</v>
      </c>
      <c r="AG74">
        <v>0</v>
      </c>
      <c r="AH74">
        <v>0</v>
      </c>
      <c r="AI74">
        <v>24.55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5.0000000000000001E-4</v>
      </c>
      <c r="AU74" t="s">
        <v>42</v>
      </c>
      <c r="AV74">
        <v>0</v>
      </c>
      <c r="AW74">
        <v>2</v>
      </c>
      <c r="AX74">
        <v>56612067</v>
      </c>
      <c r="AY74">
        <v>1</v>
      </c>
      <c r="AZ74">
        <v>0</v>
      </c>
      <c r="BA74">
        <v>112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ROUND(Y74*Source!I98,9)</f>
        <v>5.5080000000000001E-5</v>
      </c>
      <c r="CY74">
        <f t="shared" si="36"/>
        <v>1617949.24</v>
      </c>
      <c r="CZ74">
        <f t="shared" si="37"/>
        <v>60966</v>
      </c>
      <c r="DA74">
        <f t="shared" si="38"/>
        <v>24.55</v>
      </c>
      <c r="DB74">
        <f t="shared" si="39"/>
        <v>30.48</v>
      </c>
      <c r="DC74">
        <f t="shared" si="40"/>
        <v>0</v>
      </c>
      <c r="DD74" t="s">
        <v>3</v>
      </c>
      <c r="DE74" t="s">
        <v>3</v>
      </c>
      <c r="DF74">
        <f t="shared" si="41"/>
        <v>82.44</v>
      </c>
      <c r="DG74">
        <f t="shared" si="42"/>
        <v>0</v>
      </c>
      <c r="DH74">
        <f t="shared" si="43"/>
        <v>0</v>
      </c>
      <c r="DI74">
        <f t="shared" si="34"/>
        <v>0</v>
      </c>
      <c r="DJ74">
        <f t="shared" si="44"/>
        <v>82.44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ROW(Source!A98)</f>
        <v>98</v>
      </c>
      <c r="B75">
        <v>56611490</v>
      </c>
      <c r="C75">
        <v>56612049</v>
      </c>
      <c r="D75">
        <v>46723704</v>
      </c>
      <c r="E75">
        <v>1</v>
      </c>
      <c r="F75">
        <v>1</v>
      </c>
      <c r="G75">
        <v>27786564</v>
      </c>
      <c r="H75">
        <v>3</v>
      </c>
      <c r="I75" t="s">
        <v>478</v>
      </c>
      <c r="J75" t="s">
        <v>479</v>
      </c>
      <c r="K75" t="s">
        <v>480</v>
      </c>
      <c r="L75">
        <v>1348</v>
      </c>
      <c r="N75">
        <v>1009</v>
      </c>
      <c r="O75" t="s">
        <v>330</v>
      </c>
      <c r="P75" t="s">
        <v>330</v>
      </c>
      <c r="Q75">
        <v>1000</v>
      </c>
      <c r="W75">
        <v>0</v>
      </c>
      <c r="X75">
        <v>1862018911</v>
      </c>
      <c r="Y75">
        <f t="shared" si="35"/>
        <v>4.0000000000000003E-5</v>
      </c>
      <c r="AA75">
        <v>94661.04</v>
      </c>
      <c r="AB75">
        <v>0</v>
      </c>
      <c r="AC75">
        <v>0</v>
      </c>
      <c r="AD75">
        <v>0</v>
      </c>
      <c r="AE75">
        <v>7982.5</v>
      </c>
      <c r="AF75">
        <v>0</v>
      </c>
      <c r="AG75">
        <v>0</v>
      </c>
      <c r="AH75">
        <v>0</v>
      </c>
      <c r="AI75">
        <v>10.97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4.0000000000000003E-5</v>
      </c>
      <c r="AU75" t="s">
        <v>42</v>
      </c>
      <c r="AV75">
        <v>0</v>
      </c>
      <c r="AW75">
        <v>2</v>
      </c>
      <c r="AX75">
        <v>56612068</v>
      </c>
      <c r="AY75">
        <v>1</v>
      </c>
      <c r="AZ75">
        <v>0</v>
      </c>
      <c r="BA75">
        <v>113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ROUND(Y75*Source!I98,9)</f>
        <v>4.4059999999999998E-6</v>
      </c>
      <c r="CY75">
        <f t="shared" si="36"/>
        <v>94661.04</v>
      </c>
      <c r="CZ75">
        <f t="shared" si="37"/>
        <v>7982.5</v>
      </c>
      <c r="DA75">
        <f t="shared" si="38"/>
        <v>10.97</v>
      </c>
      <c r="DB75">
        <f t="shared" si="39"/>
        <v>0.32</v>
      </c>
      <c r="DC75">
        <f t="shared" si="40"/>
        <v>0</v>
      </c>
      <c r="DD75" t="s">
        <v>3</v>
      </c>
      <c r="DE75" t="s">
        <v>3</v>
      </c>
      <c r="DF75">
        <f t="shared" si="41"/>
        <v>0.39</v>
      </c>
      <c r="DG75">
        <f t="shared" si="42"/>
        <v>0</v>
      </c>
      <c r="DH75">
        <f t="shared" si="43"/>
        <v>0</v>
      </c>
      <c r="DI75">
        <f t="shared" si="34"/>
        <v>0</v>
      </c>
      <c r="DJ75">
        <f t="shared" si="44"/>
        <v>0.39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ROW(Source!A98)</f>
        <v>98</v>
      </c>
      <c r="B76">
        <v>56611490</v>
      </c>
      <c r="C76">
        <v>56612049</v>
      </c>
      <c r="D76">
        <v>52048144</v>
      </c>
      <c r="E76">
        <v>1</v>
      </c>
      <c r="F76">
        <v>1</v>
      </c>
      <c r="G76">
        <v>27786564</v>
      </c>
      <c r="H76">
        <v>3</v>
      </c>
      <c r="I76" t="s">
        <v>481</v>
      </c>
      <c r="J76" t="s">
        <v>482</v>
      </c>
      <c r="K76" t="s">
        <v>483</v>
      </c>
      <c r="L76">
        <v>1356</v>
      </c>
      <c r="N76">
        <v>1010</v>
      </c>
      <c r="O76" t="s">
        <v>484</v>
      </c>
      <c r="P76" t="s">
        <v>484</v>
      </c>
      <c r="Q76">
        <v>1000</v>
      </c>
      <c r="W76">
        <v>0</v>
      </c>
      <c r="X76">
        <v>1183006993</v>
      </c>
      <c r="Y76">
        <f t="shared" si="35"/>
        <v>4.0999999999999999E-4</v>
      </c>
      <c r="AA76">
        <v>1470.25</v>
      </c>
      <c r="AB76">
        <v>0</v>
      </c>
      <c r="AC76">
        <v>0</v>
      </c>
      <c r="AD76">
        <v>0</v>
      </c>
      <c r="AE76">
        <v>226.68</v>
      </c>
      <c r="AF76">
        <v>0</v>
      </c>
      <c r="AG76">
        <v>0</v>
      </c>
      <c r="AH76">
        <v>0</v>
      </c>
      <c r="AI76">
        <v>6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4.0999999999999999E-4</v>
      </c>
      <c r="AU76" t="s">
        <v>42</v>
      </c>
      <c r="AV76">
        <v>0</v>
      </c>
      <c r="AW76">
        <v>2</v>
      </c>
      <c r="AX76">
        <v>56612069</v>
      </c>
      <c r="AY76">
        <v>1</v>
      </c>
      <c r="AZ76">
        <v>0</v>
      </c>
      <c r="BA76">
        <v>114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ROUND(Y76*Source!I98,9)</f>
        <v>4.5166000000000001E-5</v>
      </c>
      <c r="CY76">
        <f t="shared" si="36"/>
        <v>1470.25</v>
      </c>
      <c r="CZ76">
        <f t="shared" si="37"/>
        <v>226.68</v>
      </c>
      <c r="DA76">
        <f t="shared" si="38"/>
        <v>6</v>
      </c>
      <c r="DB76">
        <f t="shared" si="39"/>
        <v>0.09</v>
      </c>
      <c r="DC76">
        <f t="shared" si="40"/>
        <v>0</v>
      </c>
      <c r="DD76" t="s">
        <v>3</v>
      </c>
      <c r="DE76" t="s">
        <v>3</v>
      </c>
      <c r="DF76">
        <f t="shared" si="41"/>
        <v>0.06</v>
      </c>
      <c r="DG76">
        <f t="shared" si="42"/>
        <v>0</v>
      </c>
      <c r="DH76">
        <f t="shared" si="43"/>
        <v>0</v>
      </c>
      <c r="DI76">
        <f t="shared" si="34"/>
        <v>0</v>
      </c>
      <c r="DJ76">
        <f t="shared" si="44"/>
        <v>0.06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ROW(Source!A98)</f>
        <v>98</v>
      </c>
      <c r="B77">
        <v>56611490</v>
      </c>
      <c r="C77">
        <v>56612049</v>
      </c>
      <c r="D77">
        <v>46735506</v>
      </c>
      <c r="E77">
        <v>1</v>
      </c>
      <c r="F77">
        <v>1</v>
      </c>
      <c r="G77">
        <v>27786564</v>
      </c>
      <c r="H77">
        <v>3</v>
      </c>
      <c r="I77" t="s">
        <v>485</v>
      </c>
      <c r="J77" t="s">
        <v>486</v>
      </c>
      <c r="K77" t="s">
        <v>487</v>
      </c>
      <c r="L77">
        <v>1301</v>
      </c>
      <c r="N77">
        <v>1003</v>
      </c>
      <c r="O77" t="s">
        <v>56</v>
      </c>
      <c r="P77" t="s">
        <v>56</v>
      </c>
      <c r="Q77">
        <v>1</v>
      </c>
      <c r="W77">
        <v>0</v>
      </c>
      <c r="X77">
        <v>1159735927</v>
      </c>
      <c r="Y77">
        <f t="shared" si="35"/>
        <v>0.96</v>
      </c>
      <c r="AA77">
        <v>5.0999999999999996</v>
      </c>
      <c r="AB77">
        <v>0</v>
      </c>
      <c r="AC77">
        <v>0</v>
      </c>
      <c r="AD77">
        <v>0</v>
      </c>
      <c r="AE77">
        <v>0.7</v>
      </c>
      <c r="AF77">
        <v>0</v>
      </c>
      <c r="AG77">
        <v>0</v>
      </c>
      <c r="AH77">
        <v>0</v>
      </c>
      <c r="AI77">
        <v>6.74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0.96</v>
      </c>
      <c r="AU77" t="s">
        <v>42</v>
      </c>
      <c r="AV77">
        <v>0</v>
      </c>
      <c r="AW77">
        <v>2</v>
      </c>
      <c r="AX77">
        <v>56612070</v>
      </c>
      <c r="AY77">
        <v>1</v>
      </c>
      <c r="AZ77">
        <v>0</v>
      </c>
      <c r="BA77">
        <v>115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ROUND(Y77*Source!I98,9)</f>
        <v>0.1057536</v>
      </c>
      <c r="CY77">
        <f t="shared" si="36"/>
        <v>5.0999999999999996</v>
      </c>
      <c r="CZ77">
        <f t="shared" si="37"/>
        <v>0.7</v>
      </c>
      <c r="DA77">
        <f t="shared" si="38"/>
        <v>6.74</v>
      </c>
      <c r="DB77">
        <f t="shared" si="39"/>
        <v>0.67</v>
      </c>
      <c r="DC77">
        <f t="shared" si="40"/>
        <v>0</v>
      </c>
      <c r="DD77" t="s">
        <v>3</v>
      </c>
      <c r="DE77" t="s">
        <v>3</v>
      </c>
      <c r="DF77">
        <f t="shared" si="41"/>
        <v>0.5</v>
      </c>
      <c r="DG77">
        <f t="shared" si="42"/>
        <v>0</v>
      </c>
      <c r="DH77">
        <f t="shared" si="43"/>
        <v>0</v>
      </c>
      <c r="DI77">
        <f t="shared" si="34"/>
        <v>0</v>
      </c>
      <c r="DJ77">
        <f t="shared" si="44"/>
        <v>0.5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ROW(Source!A98)</f>
        <v>98</v>
      </c>
      <c r="B78">
        <v>56611490</v>
      </c>
      <c r="C78">
        <v>56612049</v>
      </c>
      <c r="D78">
        <v>46735508</v>
      </c>
      <c r="E78">
        <v>1</v>
      </c>
      <c r="F78">
        <v>1</v>
      </c>
      <c r="G78">
        <v>27786564</v>
      </c>
      <c r="H78">
        <v>3</v>
      </c>
      <c r="I78" t="s">
        <v>488</v>
      </c>
      <c r="J78" t="s">
        <v>489</v>
      </c>
      <c r="K78" t="s">
        <v>490</v>
      </c>
      <c r="L78">
        <v>1356</v>
      </c>
      <c r="N78">
        <v>1010</v>
      </c>
      <c r="O78" t="s">
        <v>484</v>
      </c>
      <c r="P78" t="s">
        <v>484</v>
      </c>
      <c r="Q78">
        <v>1000</v>
      </c>
      <c r="W78">
        <v>0</v>
      </c>
      <c r="X78">
        <v>1674776227</v>
      </c>
      <c r="Y78">
        <f t="shared" si="35"/>
        <v>8.3199999999999993E-3</v>
      </c>
      <c r="AA78">
        <v>229.8</v>
      </c>
      <c r="AB78">
        <v>0</v>
      </c>
      <c r="AC78">
        <v>0</v>
      </c>
      <c r="AD78">
        <v>0</v>
      </c>
      <c r="AE78">
        <v>6.44</v>
      </c>
      <c r="AF78">
        <v>0</v>
      </c>
      <c r="AG78">
        <v>0</v>
      </c>
      <c r="AH78">
        <v>0</v>
      </c>
      <c r="AI78">
        <v>33.01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8.3199999999999993E-3</v>
      </c>
      <c r="AU78" t="s">
        <v>42</v>
      </c>
      <c r="AV78">
        <v>0</v>
      </c>
      <c r="AW78">
        <v>2</v>
      </c>
      <c r="AX78">
        <v>56612071</v>
      </c>
      <c r="AY78">
        <v>1</v>
      </c>
      <c r="AZ78">
        <v>0</v>
      </c>
      <c r="BA78">
        <v>116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ROUND(Y78*Source!I98,9)</f>
        <v>9.1653100000000005E-4</v>
      </c>
      <c r="CY78">
        <f t="shared" si="36"/>
        <v>229.8</v>
      </c>
      <c r="CZ78">
        <f t="shared" si="37"/>
        <v>6.44</v>
      </c>
      <c r="DA78">
        <f t="shared" si="38"/>
        <v>33.01</v>
      </c>
      <c r="DB78">
        <f t="shared" si="39"/>
        <v>0.05</v>
      </c>
      <c r="DC78">
        <f t="shared" si="40"/>
        <v>0</v>
      </c>
      <c r="DD78" t="s">
        <v>3</v>
      </c>
      <c r="DE78" t="s">
        <v>3</v>
      </c>
      <c r="DF78">
        <f t="shared" si="41"/>
        <v>0.19</v>
      </c>
      <c r="DG78">
        <f t="shared" si="42"/>
        <v>0</v>
      </c>
      <c r="DH78">
        <f t="shared" si="43"/>
        <v>0</v>
      </c>
      <c r="DI78">
        <f t="shared" si="34"/>
        <v>0</v>
      </c>
      <c r="DJ78">
        <f t="shared" si="44"/>
        <v>0.19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ROW(Source!A99)</f>
        <v>99</v>
      </c>
      <c r="B79">
        <v>56622523</v>
      </c>
      <c r="C79">
        <v>56612074</v>
      </c>
      <c r="D79">
        <v>47634407</v>
      </c>
      <c r="E79">
        <v>27786564</v>
      </c>
      <c r="F79">
        <v>1</v>
      </c>
      <c r="G79">
        <v>27786564</v>
      </c>
      <c r="H79">
        <v>1</v>
      </c>
      <c r="I79" t="s">
        <v>438</v>
      </c>
      <c r="J79" t="s">
        <v>3</v>
      </c>
      <c r="K79" t="s">
        <v>439</v>
      </c>
      <c r="L79">
        <v>1191</v>
      </c>
      <c r="N79">
        <v>1013</v>
      </c>
      <c r="O79" t="s">
        <v>440</v>
      </c>
      <c r="P79" t="s">
        <v>440</v>
      </c>
      <c r="Q79">
        <v>1</v>
      </c>
      <c r="W79">
        <v>0</v>
      </c>
      <c r="X79">
        <v>476480486</v>
      </c>
      <c r="Y79">
        <f>(AT79*1.1)</f>
        <v>17.380000000000003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15.8</v>
      </c>
      <c r="AU79" t="s">
        <v>22</v>
      </c>
      <c r="AV79">
        <v>1</v>
      </c>
      <c r="AW79">
        <v>2</v>
      </c>
      <c r="AX79">
        <v>56612086</v>
      </c>
      <c r="AY79">
        <v>1</v>
      </c>
      <c r="AZ79">
        <v>0</v>
      </c>
      <c r="BA79">
        <v>119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ROUND(AT79*Source!I99*AH79*AL79,2)</f>
        <v>0</v>
      </c>
      <c r="CV79">
        <f>ROUND(Y79*Source!I99,9)</f>
        <v>4.4673552000000001</v>
      </c>
      <c r="CW79">
        <v>0</v>
      </c>
      <c r="CX79">
        <f>ROUND(Y79*Source!I99,9)</f>
        <v>4.4673552000000001</v>
      </c>
      <c r="CY79">
        <f>AD79</f>
        <v>0</v>
      </c>
      <c r="CZ79">
        <f>AH79</f>
        <v>0</v>
      </c>
      <c r="DA79">
        <f>AL79</f>
        <v>1</v>
      </c>
      <c r="DB79">
        <f>ROUND((ROUND(AT79*CZ79,2)*1.1),6)</f>
        <v>0</v>
      </c>
      <c r="DC79">
        <f>ROUND((ROUND(AT79*AG79,2)*1.1),6)</f>
        <v>0</v>
      </c>
      <c r="DD79" t="s">
        <v>3</v>
      </c>
      <c r="DE79" t="s">
        <v>3</v>
      </c>
      <c r="DF79">
        <f t="shared" ref="DF79:DF93" si="45">ROUND(ROUND(AE79,2)*CX79,2)</f>
        <v>0</v>
      </c>
      <c r="DG79">
        <f t="shared" si="42"/>
        <v>0</v>
      </c>
      <c r="DH79">
        <f t="shared" si="43"/>
        <v>0</v>
      </c>
      <c r="DI79">
        <f t="shared" si="34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ROW(Source!A99)</f>
        <v>99</v>
      </c>
      <c r="B80">
        <v>56622523</v>
      </c>
      <c r="C80">
        <v>56612074</v>
      </c>
      <c r="D80">
        <v>47767106</v>
      </c>
      <c r="E80">
        <v>1</v>
      </c>
      <c r="F80">
        <v>1</v>
      </c>
      <c r="G80">
        <v>27786564</v>
      </c>
      <c r="H80">
        <v>2</v>
      </c>
      <c r="I80" t="s">
        <v>460</v>
      </c>
      <c r="J80" t="s">
        <v>461</v>
      </c>
      <c r="K80" t="s">
        <v>462</v>
      </c>
      <c r="L80">
        <v>1368</v>
      </c>
      <c r="N80">
        <v>1011</v>
      </c>
      <c r="O80" t="s">
        <v>444</v>
      </c>
      <c r="P80" t="s">
        <v>444</v>
      </c>
      <c r="Q80">
        <v>1</v>
      </c>
      <c r="W80">
        <v>0</v>
      </c>
      <c r="X80">
        <v>-7781208</v>
      </c>
      <c r="Y80">
        <f>(AT80*1.1)</f>
        <v>0.56100000000000005</v>
      </c>
      <c r="AA80">
        <v>0</v>
      </c>
      <c r="AB80">
        <v>83.1</v>
      </c>
      <c r="AC80">
        <v>12.62</v>
      </c>
      <c r="AD80">
        <v>0</v>
      </c>
      <c r="AE80">
        <v>0</v>
      </c>
      <c r="AF80">
        <v>83.1</v>
      </c>
      <c r="AG80">
        <v>12.62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0.51</v>
      </c>
      <c r="AU80" t="s">
        <v>22</v>
      </c>
      <c r="AV80">
        <v>0</v>
      </c>
      <c r="AW80">
        <v>2</v>
      </c>
      <c r="AX80">
        <v>56612087</v>
      </c>
      <c r="AY80">
        <v>1</v>
      </c>
      <c r="AZ80">
        <v>0</v>
      </c>
      <c r="BA80">
        <v>120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ROUND(Y80*Source!I99*DO80,9)</f>
        <v>0</v>
      </c>
      <c r="CX80">
        <f>ROUND(Y80*Source!I99,9)</f>
        <v>0.14419944000000001</v>
      </c>
      <c r="CY80">
        <f>AB80</f>
        <v>83.1</v>
      </c>
      <c r="CZ80">
        <f>AF80</f>
        <v>83.1</v>
      </c>
      <c r="DA80">
        <f>AJ80</f>
        <v>1</v>
      </c>
      <c r="DB80">
        <f>ROUND((ROUND(AT80*CZ80,2)*1.1),6)</f>
        <v>46.618000000000002</v>
      </c>
      <c r="DC80">
        <f>ROUND((ROUND(AT80*AG80,2)*1.1),6)</f>
        <v>7.0839999999999996</v>
      </c>
      <c r="DD80" t="s">
        <v>3</v>
      </c>
      <c r="DE80" t="s">
        <v>3</v>
      </c>
      <c r="DF80">
        <f t="shared" si="45"/>
        <v>0</v>
      </c>
      <c r="DG80">
        <f t="shared" si="42"/>
        <v>11.98</v>
      </c>
      <c r="DH80">
        <f t="shared" si="43"/>
        <v>1.82</v>
      </c>
      <c r="DI80">
        <f t="shared" si="34"/>
        <v>0</v>
      </c>
      <c r="DJ80">
        <f>DG80</f>
        <v>11.98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ROW(Source!A99)</f>
        <v>99</v>
      </c>
      <c r="B81">
        <v>56622523</v>
      </c>
      <c r="C81">
        <v>56612074</v>
      </c>
      <c r="D81">
        <v>47766535</v>
      </c>
      <c r="E81">
        <v>1</v>
      </c>
      <c r="F81">
        <v>1</v>
      </c>
      <c r="G81">
        <v>27786564</v>
      </c>
      <c r="H81">
        <v>2</v>
      </c>
      <c r="I81" t="s">
        <v>463</v>
      </c>
      <c r="J81" t="s">
        <v>464</v>
      </c>
      <c r="K81" t="s">
        <v>465</v>
      </c>
      <c r="L81">
        <v>1368</v>
      </c>
      <c r="N81">
        <v>1011</v>
      </c>
      <c r="O81" t="s">
        <v>444</v>
      </c>
      <c r="P81" t="s">
        <v>444</v>
      </c>
      <c r="Q81">
        <v>1</v>
      </c>
      <c r="W81">
        <v>0</v>
      </c>
      <c r="X81">
        <v>-1386352920</v>
      </c>
      <c r="Y81">
        <f>(AT81*1.1)</f>
        <v>3.7510000000000003</v>
      </c>
      <c r="AA81">
        <v>0</v>
      </c>
      <c r="AB81">
        <v>2.27</v>
      </c>
      <c r="AC81">
        <v>0</v>
      </c>
      <c r="AD81">
        <v>0</v>
      </c>
      <c r="AE81">
        <v>0</v>
      </c>
      <c r="AF81">
        <v>2.27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3.41</v>
      </c>
      <c r="AU81" t="s">
        <v>22</v>
      </c>
      <c r="AV81">
        <v>0</v>
      </c>
      <c r="AW81">
        <v>2</v>
      </c>
      <c r="AX81">
        <v>56612088</v>
      </c>
      <c r="AY81">
        <v>1</v>
      </c>
      <c r="AZ81">
        <v>0</v>
      </c>
      <c r="BA81">
        <v>121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ROUND(Y81*Source!I99*DO81,9)</f>
        <v>0</v>
      </c>
      <c r="CX81">
        <f>ROUND(Y81*Source!I99,9)</f>
        <v>0.96415704000000002</v>
      </c>
      <c r="CY81">
        <f>AB81</f>
        <v>2.27</v>
      </c>
      <c r="CZ81">
        <f>AF81</f>
        <v>2.27</v>
      </c>
      <c r="DA81">
        <f>AJ81</f>
        <v>1</v>
      </c>
      <c r="DB81">
        <f>ROUND((ROUND(AT81*CZ81,2)*1.1),6)</f>
        <v>8.5139999999999993</v>
      </c>
      <c r="DC81">
        <f>ROUND((ROUND(AT81*AG81,2)*1.1),6)</f>
        <v>0</v>
      </c>
      <c r="DD81" t="s">
        <v>3</v>
      </c>
      <c r="DE81" t="s">
        <v>3</v>
      </c>
      <c r="DF81">
        <f t="shared" si="45"/>
        <v>0</v>
      </c>
      <c r="DG81">
        <f t="shared" si="42"/>
        <v>2.19</v>
      </c>
      <c r="DH81">
        <f t="shared" si="43"/>
        <v>0</v>
      </c>
      <c r="DI81">
        <f t="shared" si="34"/>
        <v>0</v>
      </c>
      <c r="DJ81">
        <f>DG81</f>
        <v>2.19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ROW(Source!A99)</f>
        <v>99</v>
      </c>
      <c r="B82">
        <v>56622523</v>
      </c>
      <c r="C82">
        <v>56612074</v>
      </c>
      <c r="D82">
        <v>47766545</v>
      </c>
      <c r="E82">
        <v>1</v>
      </c>
      <c r="F82">
        <v>1</v>
      </c>
      <c r="G82">
        <v>27786564</v>
      </c>
      <c r="H82">
        <v>2</v>
      </c>
      <c r="I82" t="s">
        <v>466</v>
      </c>
      <c r="J82" t="s">
        <v>467</v>
      </c>
      <c r="K82" t="s">
        <v>468</v>
      </c>
      <c r="L82">
        <v>1368</v>
      </c>
      <c r="N82">
        <v>1011</v>
      </c>
      <c r="O82" t="s">
        <v>444</v>
      </c>
      <c r="P82" t="s">
        <v>444</v>
      </c>
      <c r="Q82">
        <v>1</v>
      </c>
      <c r="W82">
        <v>0</v>
      </c>
      <c r="X82">
        <v>1766156404</v>
      </c>
      <c r="Y82">
        <f>(AT82*1.1)</f>
        <v>4.0369999999999999</v>
      </c>
      <c r="AA82">
        <v>0</v>
      </c>
      <c r="AB82">
        <v>0.73</v>
      </c>
      <c r="AC82">
        <v>0</v>
      </c>
      <c r="AD82">
        <v>0</v>
      </c>
      <c r="AE82">
        <v>0</v>
      </c>
      <c r="AF82">
        <v>0.73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3.67</v>
      </c>
      <c r="AU82" t="s">
        <v>22</v>
      </c>
      <c r="AV82">
        <v>0</v>
      </c>
      <c r="AW82">
        <v>2</v>
      </c>
      <c r="AX82">
        <v>56612089</v>
      </c>
      <c r="AY82">
        <v>1</v>
      </c>
      <c r="AZ82">
        <v>0</v>
      </c>
      <c r="BA82">
        <v>122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ROUND(Y82*Source!I99*DO82,9)</f>
        <v>0</v>
      </c>
      <c r="CX82">
        <f>ROUND(Y82*Source!I99,9)</f>
        <v>1.0376704800000001</v>
      </c>
      <c r="CY82">
        <f>AB82</f>
        <v>0.73</v>
      </c>
      <c r="CZ82">
        <f>AF82</f>
        <v>0.73</v>
      </c>
      <c r="DA82">
        <f>AJ82</f>
        <v>1</v>
      </c>
      <c r="DB82">
        <f>ROUND((ROUND(AT82*CZ82,2)*1.1),6)</f>
        <v>2.948</v>
      </c>
      <c r="DC82">
        <f>ROUND((ROUND(AT82*AG82,2)*1.1),6)</f>
        <v>0</v>
      </c>
      <c r="DD82" t="s">
        <v>3</v>
      </c>
      <c r="DE82" t="s">
        <v>3</v>
      </c>
      <c r="DF82">
        <f t="shared" si="45"/>
        <v>0</v>
      </c>
      <c r="DG82">
        <f t="shared" si="42"/>
        <v>0.76</v>
      </c>
      <c r="DH82">
        <f t="shared" si="43"/>
        <v>0</v>
      </c>
      <c r="DI82">
        <f t="shared" si="34"/>
        <v>0</v>
      </c>
      <c r="DJ82">
        <f>DG82</f>
        <v>0.76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ROW(Source!A99)</f>
        <v>99</v>
      </c>
      <c r="B83">
        <v>56622523</v>
      </c>
      <c r="C83">
        <v>56612074</v>
      </c>
      <c r="D83">
        <v>46723498</v>
      </c>
      <c r="E83">
        <v>1</v>
      </c>
      <c r="F83">
        <v>1</v>
      </c>
      <c r="G83">
        <v>27786564</v>
      </c>
      <c r="H83">
        <v>3</v>
      </c>
      <c r="I83" t="s">
        <v>469</v>
      </c>
      <c r="J83" t="s">
        <v>470</v>
      </c>
      <c r="K83" t="s">
        <v>471</v>
      </c>
      <c r="L83">
        <v>1348</v>
      </c>
      <c r="N83">
        <v>1009</v>
      </c>
      <c r="O83" t="s">
        <v>330</v>
      </c>
      <c r="P83" t="s">
        <v>330</v>
      </c>
      <c r="Q83">
        <v>1000</v>
      </c>
      <c r="W83">
        <v>0</v>
      </c>
      <c r="X83">
        <v>975641442</v>
      </c>
      <c r="Y83">
        <f t="shared" ref="Y83:Y89" si="46">AT83</f>
        <v>6.0000000000000002E-5</v>
      </c>
      <c r="AA83">
        <v>11242.42</v>
      </c>
      <c r="AB83">
        <v>0</v>
      </c>
      <c r="AC83">
        <v>0</v>
      </c>
      <c r="AD83">
        <v>0</v>
      </c>
      <c r="AE83">
        <v>11242.42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6.0000000000000002E-5</v>
      </c>
      <c r="AU83" t="s">
        <v>3</v>
      </c>
      <c r="AV83">
        <v>0</v>
      </c>
      <c r="AW83">
        <v>2</v>
      </c>
      <c r="AX83">
        <v>56612090</v>
      </c>
      <c r="AY83">
        <v>1</v>
      </c>
      <c r="AZ83">
        <v>0</v>
      </c>
      <c r="BA83">
        <v>123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ROUND(Y83*Source!I99,9)</f>
        <v>1.5421999999999999E-5</v>
      </c>
      <c r="CY83">
        <f t="shared" ref="CY83:CY89" si="47">AA83</f>
        <v>11242.42</v>
      </c>
      <c r="CZ83">
        <f t="shared" ref="CZ83:CZ89" si="48">AE83</f>
        <v>11242.42</v>
      </c>
      <c r="DA83">
        <f t="shared" ref="DA83:DA89" si="49">AI83</f>
        <v>1</v>
      </c>
      <c r="DB83">
        <f t="shared" ref="DB83:DB89" si="50">ROUND(ROUND(AT83*CZ83,2),6)</f>
        <v>0.67</v>
      </c>
      <c r="DC83">
        <f t="shared" ref="DC83:DC89" si="51">ROUND(ROUND(AT83*AG83,2),6)</f>
        <v>0</v>
      </c>
      <c r="DD83" t="s">
        <v>3</v>
      </c>
      <c r="DE83" t="s">
        <v>3</v>
      </c>
      <c r="DF83">
        <f t="shared" si="45"/>
        <v>0.17</v>
      </c>
      <c r="DG83">
        <f t="shared" si="42"/>
        <v>0</v>
      </c>
      <c r="DH83">
        <f t="shared" si="43"/>
        <v>0</v>
      </c>
      <c r="DI83">
        <f t="shared" si="34"/>
        <v>0</v>
      </c>
      <c r="DJ83">
        <f t="shared" ref="DJ83:DJ89" si="52">DF83</f>
        <v>0.17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ROW(Source!A99)</f>
        <v>99</v>
      </c>
      <c r="B84">
        <v>56622523</v>
      </c>
      <c r="C84">
        <v>56612074</v>
      </c>
      <c r="D84">
        <v>45796980</v>
      </c>
      <c r="E84">
        <v>1</v>
      </c>
      <c r="F84">
        <v>1</v>
      </c>
      <c r="G84">
        <v>27786564</v>
      </c>
      <c r="H84">
        <v>3</v>
      </c>
      <c r="I84" t="s">
        <v>472</v>
      </c>
      <c r="J84" t="s">
        <v>473</v>
      </c>
      <c r="K84" t="s">
        <v>474</v>
      </c>
      <c r="L84">
        <v>1346</v>
      </c>
      <c r="N84">
        <v>1009</v>
      </c>
      <c r="O84" t="s">
        <v>104</v>
      </c>
      <c r="P84" t="s">
        <v>104</v>
      </c>
      <c r="Q84">
        <v>1</v>
      </c>
      <c r="W84">
        <v>0</v>
      </c>
      <c r="X84">
        <v>1533725368</v>
      </c>
      <c r="Y84">
        <f t="shared" si="46"/>
        <v>0.8</v>
      </c>
      <c r="AA84">
        <v>25.8</v>
      </c>
      <c r="AB84">
        <v>0</v>
      </c>
      <c r="AC84">
        <v>0</v>
      </c>
      <c r="AD84">
        <v>0</v>
      </c>
      <c r="AE84">
        <v>25.8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0.8</v>
      </c>
      <c r="AU84" t="s">
        <v>3</v>
      </c>
      <c r="AV84">
        <v>0</v>
      </c>
      <c r="AW84">
        <v>2</v>
      </c>
      <c r="AX84">
        <v>56612091</v>
      </c>
      <c r="AY84">
        <v>1</v>
      </c>
      <c r="AZ84">
        <v>0</v>
      </c>
      <c r="BA84">
        <v>124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ROUND(Y84*Source!I99,9)</f>
        <v>0.20563200000000001</v>
      </c>
      <c r="CY84">
        <f t="shared" si="47"/>
        <v>25.8</v>
      </c>
      <c r="CZ84">
        <f t="shared" si="48"/>
        <v>25.8</v>
      </c>
      <c r="DA84">
        <f t="shared" si="49"/>
        <v>1</v>
      </c>
      <c r="DB84">
        <f t="shared" si="50"/>
        <v>20.64</v>
      </c>
      <c r="DC84">
        <f t="shared" si="51"/>
        <v>0</v>
      </c>
      <c r="DD84" t="s">
        <v>3</v>
      </c>
      <c r="DE84" t="s">
        <v>3</v>
      </c>
      <c r="DF84">
        <f t="shared" si="45"/>
        <v>5.31</v>
      </c>
      <c r="DG84">
        <f t="shared" si="42"/>
        <v>0</v>
      </c>
      <c r="DH84">
        <f t="shared" si="43"/>
        <v>0</v>
      </c>
      <c r="DI84">
        <f t="shared" si="34"/>
        <v>0</v>
      </c>
      <c r="DJ84">
        <f t="shared" si="52"/>
        <v>5.31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ROW(Source!A99)</f>
        <v>99</v>
      </c>
      <c r="B85">
        <v>56622523</v>
      </c>
      <c r="C85">
        <v>56612074</v>
      </c>
      <c r="D85">
        <v>46723689</v>
      </c>
      <c r="E85">
        <v>1</v>
      </c>
      <c r="F85">
        <v>1</v>
      </c>
      <c r="G85">
        <v>27786564</v>
      </c>
      <c r="H85">
        <v>3</v>
      </c>
      <c r="I85" t="s">
        <v>475</v>
      </c>
      <c r="J85" t="s">
        <v>476</v>
      </c>
      <c r="K85" t="s">
        <v>477</v>
      </c>
      <c r="L85">
        <v>1348</v>
      </c>
      <c r="N85">
        <v>1009</v>
      </c>
      <c r="O85" t="s">
        <v>330</v>
      </c>
      <c r="P85" t="s">
        <v>330</v>
      </c>
      <c r="Q85">
        <v>1000</v>
      </c>
      <c r="W85">
        <v>0</v>
      </c>
      <c r="X85">
        <v>-1817633629</v>
      </c>
      <c r="Y85">
        <f t="shared" si="46"/>
        <v>5.0000000000000001E-4</v>
      </c>
      <c r="AA85">
        <v>60966</v>
      </c>
      <c r="AB85">
        <v>0</v>
      </c>
      <c r="AC85">
        <v>0</v>
      </c>
      <c r="AD85">
        <v>0</v>
      </c>
      <c r="AE85">
        <v>60966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5.0000000000000001E-4</v>
      </c>
      <c r="AU85" t="s">
        <v>3</v>
      </c>
      <c r="AV85">
        <v>0</v>
      </c>
      <c r="AW85">
        <v>2</v>
      </c>
      <c r="AX85">
        <v>56612092</v>
      </c>
      <c r="AY85">
        <v>1</v>
      </c>
      <c r="AZ85">
        <v>0</v>
      </c>
      <c r="BA85">
        <v>125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ROUND(Y85*Source!I99,9)</f>
        <v>1.2852E-4</v>
      </c>
      <c r="CY85">
        <f t="shared" si="47"/>
        <v>60966</v>
      </c>
      <c r="CZ85">
        <f t="shared" si="48"/>
        <v>60966</v>
      </c>
      <c r="DA85">
        <f t="shared" si="49"/>
        <v>1</v>
      </c>
      <c r="DB85">
        <f t="shared" si="50"/>
        <v>30.48</v>
      </c>
      <c r="DC85">
        <f t="shared" si="51"/>
        <v>0</v>
      </c>
      <c r="DD85" t="s">
        <v>3</v>
      </c>
      <c r="DE85" t="s">
        <v>3</v>
      </c>
      <c r="DF85">
        <f t="shared" si="45"/>
        <v>7.84</v>
      </c>
      <c r="DG85">
        <f t="shared" si="42"/>
        <v>0</v>
      </c>
      <c r="DH85">
        <f t="shared" si="43"/>
        <v>0</v>
      </c>
      <c r="DI85">
        <f t="shared" si="34"/>
        <v>0</v>
      </c>
      <c r="DJ85">
        <f t="shared" si="52"/>
        <v>7.84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ROW(Source!A99)</f>
        <v>99</v>
      </c>
      <c r="B86">
        <v>56622523</v>
      </c>
      <c r="C86">
        <v>56612074</v>
      </c>
      <c r="D86">
        <v>46723704</v>
      </c>
      <c r="E86">
        <v>1</v>
      </c>
      <c r="F86">
        <v>1</v>
      </c>
      <c r="G86">
        <v>27786564</v>
      </c>
      <c r="H86">
        <v>3</v>
      </c>
      <c r="I86" t="s">
        <v>478</v>
      </c>
      <c r="J86" t="s">
        <v>479</v>
      </c>
      <c r="K86" t="s">
        <v>480</v>
      </c>
      <c r="L86">
        <v>1348</v>
      </c>
      <c r="N86">
        <v>1009</v>
      </c>
      <c r="O86" t="s">
        <v>330</v>
      </c>
      <c r="P86" t="s">
        <v>330</v>
      </c>
      <c r="Q86">
        <v>1000</v>
      </c>
      <c r="W86">
        <v>0</v>
      </c>
      <c r="X86">
        <v>1862018911</v>
      </c>
      <c r="Y86">
        <f t="shared" si="46"/>
        <v>4.0000000000000003E-5</v>
      </c>
      <c r="AA86">
        <v>7982.5</v>
      </c>
      <c r="AB86">
        <v>0</v>
      </c>
      <c r="AC86">
        <v>0</v>
      </c>
      <c r="AD86">
        <v>0</v>
      </c>
      <c r="AE86">
        <v>7982.5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4.0000000000000003E-5</v>
      </c>
      <c r="AU86" t="s">
        <v>3</v>
      </c>
      <c r="AV86">
        <v>0</v>
      </c>
      <c r="AW86">
        <v>2</v>
      </c>
      <c r="AX86">
        <v>56612093</v>
      </c>
      <c r="AY86">
        <v>1</v>
      </c>
      <c r="AZ86">
        <v>0</v>
      </c>
      <c r="BA86">
        <v>126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ROUND(Y86*Source!I99,9)</f>
        <v>1.0282000000000001E-5</v>
      </c>
      <c r="CY86">
        <f t="shared" si="47"/>
        <v>7982.5</v>
      </c>
      <c r="CZ86">
        <f t="shared" si="48"/>
        <v>7982.5</v>
      </c>
      <c r="DA86">
        <f t="shared" si="49"/>
        <v>1</v>
      </c>
      <c r="DB86">
        <f t="shared" si="50"/>
        <v>0.32</v>
      </c>
      <c r="DC86">
        <f t="shared" si="51"/>
        <v>0</v>
      </c>
      <c r="DD86" t="s">
        <v>3</v>
      </c>
      <c r="DE86" t="s">
        <v>3</v>
      </c>
      <c r="DF86">
        <f t="shared" si="45"/>
        <v>0.08</v>
      </c>
      <c r="DG86">
        <f t="shared" si="42"/>
        <v>0</v>
      </c>
      <c r="DH86">
        <f t="shared" si="43"/>
        <v>0</v>
      </c>
      <c r="DI86">
        <f t="shared" si="34"/>
        <v>0</v>
      </c>
      <c r="DJ86">
        <f t="shared" si="52"/>
        <v>0.08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ROW(Source!A99)</f>
        <v>99</v>
      </c>
      <c r="B87">
        <v>56622523</v>
      </c>
      <c r="C87">
        <v>56612074</v>
      </c>
      <c r="D87">
        <v>52048144</v>
      </c>
      <c r="E87">
        <v>1</v>
      </c>
      <c r="F87">
        <v>1</v>
      </c>
      <c r="G87">
        <v>27786564</v>
      </c>
      <c r="H87">
        <v>3</v>
      </c>
      <c r="I87" t="s">
        <v>481</v>
      </c>
      <c r="J87" t="s">
        <v>482</v>
      </c>
      <c r="K87" t="s">
        <v>483</v>
      </c>
      <c r="L87">
        <v>1356</v>
      </c>
      <c r="N87">
        <v>1010</v>
      </c>
      <c r="O87" t="s">
        <v>484</v>
      </c>
      <c r="P87" t="s">
        <v>484</v>
      </c>
      <c r="Q87">
        <v>1000</v>
      </c>
      <c r="W87">
        <v>0</v>
      </c>
      <c r="X87">
        <v>1183006993</v>
      </c>
      <c r="Y87">
        <f t="shared" si="46"/>
        <v>4.0999999999999999E-4</v>
      </c>
      <c r="AA87">
        <v>226.68</v>
      </c>
      <c r="AB87">
        <v>0</v>
      </c>
      <c r="AC87">
        <v>0</v>
      </c>
      <c r="AD87">
        <v>0</v>
      </c>
      <c r="AE87">
        <v>226.68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4.0999999999999999E-4</v>
      </c>
      <c r="AU87" t="s">
        <v>3</v>
      </c>
      <c r="AV87">
        <v>0</v>
      </c>
      <c r="AW87">
        <v>2</v>
      </c>
      <c r="AX87">
        <v>56612094</v>
      </c>
      <c r="AY87">
        <v>1</v>
      </c>
      <c r="AZ87">
        <v>0</v>
      </c>
      <c r="BA87">
        <v>127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ROUND(Y87*Source!I99,9)</f>
        <v>1.05386E-4</v>
      </c>
      <c r="CY87">
        <f t="shared" si="47"/>
        <v>226.68</v>
      </c>
      <c r="CZ87">
        <f t="shared" si="48"/>
        <v>226.68</v>
      </c>
      <c r="DA87">
        <f t="shared" si="49"/>
        <v>1</v>
      </c>
      <c r="DB87">
        <f t="shared" si="50"/>
        <v>0.09</v>
      </c>
      <c r="DC87">
        <f t="shared" si="51"/>
        <v>0</v>
      </c>
      <c r="DD87" t="s">
        <v>3</v>
      </c>
      <c r="DE87" t="s">
        <v>3</v>
      </c>
      <c r="DF87">
        <f t="shared" si="45"/>
        <v>0.02</v>
      </c>
      <c r="DG87">
        <f t="shared" si="42"/>
        <v>0</v>
      </c>
      <c r="DH87">
        <f t="shared" si="43"/>
        <v>0</v>
      </c>
      <c r="DI87">
        <f t="shared" si="34"/>
        <v>0</v>
      </c>
      <c r="DJ87">
        <f t="shared" si="52"/>
        <v>0.02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ROW(Source!A99)</f>
        <v>99</v>
      </c>
      <c r="B88">
        <v>56622523</v>
      </c>
      <c r="C88">
        <v>56612074</v>
      </c>
      <c r="D88">
        <v>46735506</v>
      </c>
      <c r="E88">
        <v>1</v>
      </c>
      <c r="F88">
        <v>1</v>
      </c>
      <c r="G88">
        <v>27786564</v>
      </c>
      <c r="H88">
        <v>3</v>
      </c>
      <c r="I88" t="s">
        <v>485</v>
      </c>
      <c r="J88" t="s">
        <v>486</v>
      </c>
      <c r="K88" t="s">
        <v>487</v>
      </c>
      <c r="L88">
        <v>1301</v>
      </c>
      <c r="N88">
        <v>1003</v>
      </c>
      <c r="O88" t="s">
        <v>56</v>
      </c>
      <c r="P88" t="s">
        <v>56</v>
      </c>
      <c r="Q88">
        <v>1</v>
      </c>
      <c r="W88">
        <v>0</v>
      </c>
      <c r="X88">
        <v>1159735927</v>
      </c>
      <c r="Y88">
        <f t="shared" si="46"/>
        <v>0.96</v>
      </c>
      <c r="AA88">
        <v>0.7</v>
      </c>
      <c r="AB88">
        <v>0</v>
      </c>
      <c r="AC88">
        <v>0</v>
      </c>
      <c r="AD88">
        <v>0</v>
      </c>
      <c r="AE88">
        <v>0.7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0.96</v>
      </c>
      <c r="AU88" t="s">
        <v>3</v>
      </c>
      <c r="AV88">
        <v>0</v>
      </c>
      <c r="AW88">
        <v>2</v>
      </c>
      <c r="AX88">
        <v>56612095</v>
      </c>
      <c r="AY88">
        <v>1</v>
      </c>
      <c r="AZ88">
        <v>0</v>
      </c>
      <c r="BA88">
        <v>128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ROUND(Y88*Source!I99,9)</f>
        <v>0.24675839999999999</v>
      </c>
      <c r="CY88">
        <f t="shared" si="47"/>
        <v>0.7</v>
      </c>
      <c r="CZ88">
        <f t="shared" si="48"/>
        <v>0.7</v>
      </c>
      <c r="DA88">
        <f t="shared" si="49"/>
        <v>1</v>
      </c>
      <c r="DB88">
        <f t="shared" si="50"/>
        <v>0.67</v>
      </c>
      <c r="DC88">
        <f t="shared" si="51"/>
        <v>0</v>
      </c>
      <c r="DD88" t="s">
        <v>3</v>
      </c>
      <c r="DE88" t="s">
        <v>3</v>
      </c>
      <c r="DF88">
        <f t="shared" si="45"/>
        <v>0.17</v>
      </c>
      <c r="DG88">
        <f t="shared" si="42"/>
        <v>0</v>
      </c>
      <c r="DH88">
        <f t="shared" si="43"/>
        <v>0</v>
      </c>
      <c r="DI88">
        <f t="shared" si="34"/>
        <v>0</v>
      </c>
      <c r="DJ88">
        <f t="shared" si="52"/>
        <v>0.17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ROW(Source!A99)</f>
        <v>99</v>
      </c>
      <c r="B89">
        <v>56622523</v>
      </c>
      <c r="C89">
        <v>56612074</v>
      </c>
      <c r="D89">
        <v>46735508</v>
      </c>
      <c r="E89">
        <v>1</v>
      </c>
      <c r="F89">
        <v>1</v>
      </c>
      <c r="G89">
        <v>27786564</v>
      </c>
      <c r="H89">
        <v>3</v>
      </c>
      <c r="I89" t="s">
        <v>488</v>
      </c>
      <c r="J89" t="s">
        <v>489</v>
      </c>
      <c r="K89" t="s">
        <v>490</v>
      </c>
      <c r="L89">
        <v>1356</v>
      </c>
      <c r="N89">
        <v>1010</v>
      </c>
      <c r="O89" t="s">
        <v>484</v>
      </c>
      <c r="P89" t="s">
        <v>484</v>
      </c>
      <c r="Q89">
        <v>1000</v>
      </c>
      <c r="W89">
        <v>0</v>
      </c>
      <c r="X89">
        <v>1674776227</v>
      </c>
      <c r="Y89">
        <f t="shared" si="46"/>
        <v>8.3199999999999993E-3</v>
      </c>
      <c r="AA89">
        <v>6.44</v>
      </c>
      <c r="AB89">
        <v>0</v>
      </c>
      <c r="AC89">
        <v>0</v>
      </c>
      <c r="AD89">
        <v>0</v>
      </c>
      <c r="AE89">
        <v>6.44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8.3199999999999993E-3</v>
      </c>
      <c r="AU89" t="s">
        <v>3</v>
      </c>
      <c r="AV89">
        <v>0</v>
      </c>
      <c r="AW89">
        <v>2</v>
      </c>
      <c r="AX89">
        <v>56612096</v>
      </c>
      <c r="AY89">
        <v>1</v>
      </c>
      <c r="AZ89">
        <v>0</v>
      </c>
      <c r="BA89">
        <v>129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ROUND(Y89*Source!I99,9)</f>
        <v>2.1385729999999999E-3</v>
      </c>
      <c r="CY89">
        <f t="shared" si="47"/>
        <v>6.44</v>
      </c>
      <c r="CZ89">
        <f t="shared" si="48"/>
        <v>6.44</v>
      </c>
      <c r="DA89">
        <f t="shared" si="49"/>
        <v>1</v>
      </c>
      <c r="DB89">
        <f t="shared" si="50"/>
        <v>0.05</v>
      </c>
      <c r="DC89">
        <f t="shared" si="51"/>
        <v>0</v>
      </c>
      <c r="DD89" t="s">
        <v>3</v>
      </c>
      <c r="DE89" t="s">
        <v>3</v>
      </c>
      <c r="DF89">
        <f t="shared" si="45"/>
        <v>0.01</v>
      </c>
      <c r="DG89">
        <f t="shared" si="42"/>
        <v>0</v>
      </c>
      <c r="DH89">
        <f t="shared" si="43"/>
        <v>0</v>
      </c>
      <c r="DI89">
        <f t="shared" si="34"/>
        <v>0</v>
      </c>
      <c r="DJ89">
        <f t="shared" si="52"/>
        <v>0.01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ROW(Source!A100)</f>
        <v>100</v>
      </c>
      <c r="B90">
        <v>56611490</v>
      </c>
      <c r="C90">
        <v>56612074</v>
      </c>
      <c r="D90">
        <v>47634407</v>
      </c>
      <c r="E90">
        <v>27786564</v>
      </c>
      <c r="F90">
        <v>1</v>
      </c>
      <c r="G90">
        <v>27786564</v>
      </c>
      <c r="H90">
        <v>1</v>
      </c>
      <c r="I90" t="s">
        <v>438</v>
      </c>
      <c r="J90" t="s">
        <v>3</v>
      </c>
      <c r="K90" t="s">
        <v>439</v>
      </c>
      <c r="L90">
        <v>1191</v>
      </c>
      <c r="N90">
        <v>1013</v>
      </c>
      <c r="O90" t="s">
        <v>440</v>
      </c>
      <c r="P90" t="s">
        <v>440</v>
      </c>
      <c r="Q90">
        <v>1</v>
      </c>
      <c r="W90">
        <v>0</v>
      </c>
      <c r="X90">
        <v>476480486</v>
      </c>
      <c r="Y90">
        <f>(AT90*1.1)</f>
        <v>17.380000000000003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15.8</v>
      </c>
      <c r="AU90" t="s">
        <v>22</v>
      </c>
      <c r="AV90">
        <v>1</v>
      </c>
      <c r="AW90">
        <v>2</v>
      </c>
      <c r="AX90">
        <v>56612086</v>
      </c>
      <c r="AY90">
        <v>1</v>
      </c>
      <c r="AZ90">
        <v>0</v>
      </c>
      <c r="BA90">
        <v>132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U90">
        <f>ROUND(AT90*Source!I100*AH90*AL90,2)</f>
        <v>0</v>
      </c>
      <c r="CV90">
        <f>ROUND(Y90*Source!I100,9)</f>
        <v>4.4673552000000001</v>
      </c>
      <c r="CW90">
        <v>0</v>
      </c>
      <c r="CX90">
        <f>ROUND(Y90*Source!I100,9)</f>
        <v>4.4673552000000001</v>
      </c>
      <c r="CY90">
        <f>AD90</f>
        <v>0</v>
      </c>
      <c r="CZ90">
        <f>AH90</f>
        <v>0</v>
      </c>
      <c r="DA90">
        <f>AL90</f>
        <v>1</v>
      </c>
      <c r="DB90">
        <f>ROUND((ROUND(AT90*CZ90,2)*1.1),6)</f>
        <v>0</v>
      </c>
      <c r="DC90">
        <f>ROUND((ROUND(AT90*AG90,2)*1.1),6)</f>
        <v>0</v>
      </c>
      <c r="DD90" t="s">
        <v>3</v>
      </c>
      <c r="DE90" t="s">
        <v>3</v>
      </c>
      <c r="DF90">
        <f t="shared" si="45"/>
        <v>0</v>
      </c>
      <c r="DG90">
        <f t="shared" si="42"/>
        <v>0</v>
      </c>
      <c r="DH90">
        <f t="shared" si="43"/>
        <v>0</v>
      </c>
      <c r="DI90">
        <f t="shared" si="34"/>
        <v>0</v>
      </c>
      <c r="DJ90">
        <f>DI90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ROW(Source!A100)</f>
        <v>100</v>
      </c>
      <c r="B91">
        <v>56611490</v>
      </c>
      <c r="C91">
        <v>56612074</v>
      </c>
      <c r="D91">
        <v>47767106</v>
      </c>
      <c r="E91">
        <v>1</v>
      </c>
      <c r="F91">
        <v>1</v>
      </c>
      <c r="G91">
        <v>27786564</v>
      </c>
      <c r="H91">
        <v>2</v>
      </c>
      <c r="I91" t="s">
        <v>460</v>
      </c>
      <c r="J91" t="s">
        <v>461</v>
      </c>
      <c r="K91" t="s">
        <v>462</v>
      </c>
      <c r="L91">
        <v>1368</v>
      </c>
      <c r="N91">
        <v>1011</v>
      </c>
      <c r="O91" t="s">
        <v>444</v>
      </c>
      <c r="P91" t="s">
        <v>444</v>
      </c>
      <c r="Q91">
        <v>1</v>
      </c>
      <c r="W91">
        <v>0</v>
      </c>
      <c r="X91">
        <v>-7781208</v>
      </c>
      <c r="Y91">
        <f>(AT91*1.1)</f>
        <v>0.56100000000000005</v>
      </c>
      <c r="AA91">
        <v>0</v>
      </c>
      <c r="AB91">
        <v>1140.27</v>
      </c>
      <c r="AC91">
        <v>464.7</v>
      </c>
      <c r="AD91">
        <v>0</v>
      </c>
      <c r="AE91">
        <v>0</v>
      </c>
      <c r="AF91">
        <v>83.1</v>
      </c>
      <c r="AG91">
        <v>12.62</v>
      </c>
      <c r="AH91">
        <v>0</v>
      </c>
      <c r="AI91">
        <v>1</v>
      </c>
      <c r="AJ91">
        <v>12.86</v>
      </c>
      <c r="AK91">
        <v>34.51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0.51</v>
      </c>
      <c r="AU91" t="s">
        <v>22</v>
      </c>
      <c r="AV91">
        <v>0</v>
      </c>
      <c r="AW91">
        <v>2</v>
      </c>
      <c r="AX91">
        <v>56612087</v>
      </c>
      <c r="AY91">
        <v>1</v>
      </c>
      <c r="AZ91">
        <v>0</v>
      </c>
      <c r="BA91">
        <v>133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ROUND(Y91*Source!I100*DO91,9)</f>
        <v>0</v>
      </c>
      <c r="CX91">
        <f>ROUND(Y91*Source!I100,9)</f>
        <v>0.14419944000000001</v>
      </c>
      <c r="CY91">
        <f>AB91</f>
        <v>1140.27</v>
      </c>
      <c r="CZ91">
        <f>AF91</f>
        <v>83.1</v>
      </c>
      <c r="DA91">
        <f>AJ91</f>
        <v>12.86</v>
      </c>
      <c r="DB91">
        <f>ROUND((ROUND(AT91*CZ91,2)*1.1),6)</f>
        <v>46.618000000000002</v>
      </c>
      <c r="DC91">
        <f>ROUND((ROUND(AT91*AG91,2)*1.1),6)</f>
        <v>7.0839999999999996</v>
      </c>
      <c r="DD91" t="s">
        <v>3</v>
      </c>
      <c r="DE91" t="s">
        <v>3</v>
      </c>
      <c r="DF91">
        <f t="shared" si="45"/>
        <v>0</v>
      </c>
      <c r="DG91">
        <f>ROUND(ROUND(AF91*AJ91,2)*CX91,2)</f>
        <v>154.1</v>
      </c>
      <c r="DH91">
        <f>ROUND(ROUND(AG91*AK91,2)*CX91,2)</f>
        <v>62.8</v>
      </c>
      <c r="DI91">
        <f t="shared" si="34"/>
        <v>0</v>
      </c>
      <c r="DJ91">
        <f>DG91</f>
        <v>154.1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ROW(Source!A100)</f>
        <v>100</v>
      </c>
      <c r="B92">
        <v>56611490</v>
      </c>
      <c r="C92">
        <v>56612074</v>
      </c>
      <c r="D92">
        <v>47766535</v>
      </c>
      <c r="E92">
        <v>1</v>
      </c>
      <c r="F92">
        <v>1</v>
      </c>
      <c r="G92">
        <v>27786564</v>
      </c>
      <c r="H92">
        <v>2</v>
      </c>
      <c r="I92" t="s">
        <v>463</v>
      </c>
      <c r="J92" t="s">
        <v>464</v>
      </c>
      <c r="K92" t="s">
        <v>465</v>
      </c>
      <c r="L92">
        <v>1368</v>
      </c>
      <c r="N92">
        <v>1011</v>
      </c>
      <c r="O92" t="s">
        <v>444</v>
      </c>
      <c r="P92" t="s">
        <v>444</v>
      </c>
      <c r="Q92">
        <v>1</v>
      </c>
      <c r="W92">
        <v>0</v>
      </c>
      <c r="X92">
        <v>-1386352920</v>
      </c>
      <c r="Y92">
        <f>(AT92*1.1)</f>
        <v>3.7510000000000003</v>
      </c>
      <c r="AA92">
        <v>0</v>
      </c>
      <c r="AB92">
        <v>21.34</v>
      </c>
      <c r="AC92">
        <v>0</v>
      </c>
      <c r="AD92">
        <v>0</v>
      </c>
      <c r="AE92">
        <v>0</v>
      </c>
      <c r="AF92">
        <v>2.27</v>
      </c>
      <c r="AG92">
        <v>0</v>
      </c>
      <c r="AH92">
        <v>0</v>
      </c>
      <c r="AI92">
        <v>1</v>
      </c>
      <c r="AJ92">
        <v>8.81</v>
      </c>
      <c r="AK92">
        <v>34.51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3.41</v>
      </c>
      <c r="AU92" t="s">
        <v>22</v>
      </c>
      <c r="AV92">
        <v>0</v>
      </c>
      <c r="AW92">
        <v>2</v>
      </c>
      <c r="AX92">
        <v>56612088</v>
      </c>
      <c r="AY92">
        <v>1</v>
      </c>
      <c r="AZ92">
        <v>0</v>
      </c>
      <c r="BA92">
        <v>134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ROUND(Y92*Source!I100*DO92,9)</f>
        <v>0</v>
      </c>
      <c r="CX92">
        <f>ROUND(Y92*Source!I100,9)</f>
        <v>0.96415704000000002</v>
      </c>
      <c r="CY92">
        <f>AB92</f>
        <v>21.34</v>
      </c>
      <c r="CZ92">
        <f>AF92</f>
        <v>2.27</v>
      </c>
      <c r="DA92">
        <f>AJ92</f>
        <v>8.81</v>
      </c>
      <c r="DB92">
        <f>ROUND((ROUND(AT92*CZ92,2)*1.1),6)</f>
        <v>8.5139999999999993</v>
      </c>
      <c r="DC92">
        <f>ROUND((ROUND(AT92*AG92,2)*1.1),6)</f>
        <v>0</v>
      </c>
      <c r="DD92" t="s">
        <v>3</v>
      </c>
      <c r="DE92" t="s">
        <v>3</v>
      </c>
      <c r="DF92">
        <f t="shared" si="45"/>
        <v>0</v>
      </c>
      <c r="DG92">
        <f>ROUND(ROUND(AF92*AJ92,2)*CX92,2)</f>
        <v>19.28</v>
      </c>
      <c r="DH92">
        <f>ROUND(ROUND(AG92*AK92,2)*CX92,2)</f>
        <v>0</v>
      </c>
      <c r="DI92">
        <f t="shared" si="34"/>
        <v>0</v>
      </c>
      <c r="DJ92">
        <f>DG92</f>
        <v>19.28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ROW(Source!A100)</f>
        <v>100</v>
      </c>
      <c r="B93">
        <v>56611490</v>
      </c>
      <c r="C93">
        <v>56612074</v>
      </c>
      <c r="D93">
        <v>47766545</v>
      </c>
      <c r="E93">
        <v>1</v>
      </c>
      <c r="F93">
        <v>1</v>
      </c>
      <c r="G93">
        <v>27786564</v>
      </c>
      <c r="H93">
        <v>2</v>
      </c>
      <c r="I93" t="s">
        <v>466</v>
      </c>
      <c r="J93" t="s">
        <v>467</v>
      </c>
      <c r="K93" t="s">
        <v>468</v>
      </c>
      <c r="L93">
        <v>1368</v>
      </c>
      <c r="N93">
        <v>1011</v>
      </c>
      <c r="O93" t="s">
        <v>444</v>
      </c>
      <c r="P93" t="s">
        <v>444</v>
      </c>
      <c r="Q93">
        <v>1</v>
      </c>
      <c r="W93">
        <v>0</v>
      </c>
      <c r="X93">
        <v>1766156404</v>
      </c>
      <c r="Y93">
        <f>(AT93*1.1)</f>
        <v>4.0369999999999999</v>
      </c>
      <c r="AA93">
        <v>0</v>
      </c>
      <c r="AB93">
        <v>6.51</v>
      </c>
      <c r="AC93">
        <v>0</v>
      </c>
      <c r="AD93">
        <v>0</v>
      </c>
      <c r="AE93">
        <v>0</v>
      </c>
      <c r="AF93">
        <v>0.73</v>
      </c>
      <c r="AG93">
        <v>0</v>
      </c>
      <c r="AH93">
        <v>0</v>
      </c>
      <c r="AI93">
        <v>1</v>
      </c>
      <c r="AJ93">
        <v>8.36</v>
      </c>
      <c r="AK93">
        <v>34.51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3.67</v>
      </c>
      <c r="AU93" t="s">
        <v>22</v>
      </c>
      <c r="AV93">
        <v>0</v>
      </c>
      <c r="AW93">
        <v>2</v>
      </c>
      <c r="AX93">
        <v>56612089</v>
      </c>
      <c r="AY93">
        <v>1</v>
      </c>
      <c r="AZ93">
        <v>0</v>
      </c>
      <c r="BA93">
        <v>135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f>ROUND(Y93*Source!I100*DO93,9)</f>
        <v>0</v>
      </c>
      <c r="CX93">
        <f>ROUND(Y93*Source!I100,9)</f>
        <v>1.0376704800000001</v>
      </c>
      <c r="CY93">
        <f>AB93</f>
        <v>6.51</v>
      </c>
      <c r="CZ93">
        <f>AF93</f>
        <v>0.73</v>
      </c>
      <c r="DA93">
        <f>AJ93</f>
        <v>8.36</v>
      </c>
      <c r="DB93">
        <f>ROUND((ROUND(AT93*CZ93,2)*1.1),6)</f>
        <v>2.948</v>
      </c>
      <c r="DC93">
        <f>ROUND((ROUND(AT93*AG93,2)*1.1),6)</f>
        <v>0</v>
      </c>
      <c r="DD93" t="s">
        <v>3</v>
      </c>
      <c r="DE93" t="s">
        <v>3</v>
      </c>
      <c r="DF93">
        <f t="shared" si="45"/>
        <v>0</v>
      </c>
      <c r="DG93">
        <f>ROUND(ROUND(AF93*AJ93,2)*CX93,2)</f>
        <v>6.33</v>
      </c>
      <c r="DH93">
        <f>ROUND(ROUND(AG93*AK93,2)*CX93,2)</f>
        <v>0</v>
      </c>
      <c r="DI93">
        <f t="shared" si="34"/>
        <v>0</v>
      </c>
      <c r="DJ93">
        <f>DG93</f>
        <v>6.33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ROW(Source!A100)</f>
        <v>100</v>
      </c>
      <c r="B94">
        <v>56611490</v>
      </c>
      <c r="C94">
        <v>56612074</v>
      </c>
      <c r="D94">
        <v>46723498</v>
      </c>
      <c r="E94">
        <v>1</v>
      </c>
      <c r="F94">
        <v>1</v>
      </c>
      <c r="G94">
        <v>27786564</v>
      </c>
      <c r="H94">
        <v>3</v>
      </c>
      <c r="I94" t="s">
        <v>469</v>
      </c>
      <c r="J94" t="s">
        <v>470</v>
      </c>
      <c r="K94" t="s">
        <v>471</v>
      </c>
      <c r="L94">
        <v>1348</v>
      </c>
      <c r="N94">
        <v>1009</v>
      </c>
      <c r="O94" t="s">
        <v>330</v>
      </c>
      <c r="P94" t="s">
        <v>330</v>
      </c>
      <c r="Q94">
        <v>1000</v>
      </c>
      <c r="W94">
        <v>0</v>
      </c>
      <c r="X94">
        <v>975641442</v>
      </c>
      <c r="Y94">
        <f t="shared" ref="Y94:Y100" si="53">AT94</f>
        <v>6.0000000000000002E-5</v>
      </c>
      <c r="AA94">
        <v>83856.09</v>
      </c>
      <c r="AB94">
        <v>0</v>
      </c>
      <c r="AC94">
        <v>0</v>
      </c>
      <c r="AD94">
        <v>0</v>
      </c>
      <c r="AE94">
        <v>11242.42</v>
      </c>
      <c r="AF94">
        <v>0</v>
      </c>
      <c r="AG94">
        <v>0</v>
      </c>
      <c r="AH94">
        <v>0</v>
      </c>
      <c r="AI94">
        <v>6.9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6.0000000000000002E-5</v>
      </c>
      <c r="AU94" t="s">
        <v>3</v>
      </c>
      <c r="AV94">
        <v>0</v>
      </c>
      <c r="AW94">
        <v>2</v>
      </c>
      <c r="AX94">
        <v>56612090</v>
      </c>
      <c r="AY94">
        <v>1</v>
      </c>
      <c r="AZ94">
        <v>0</v>
      </c>
      <c r="BA94">
        <v>136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ROUND(Y94*Source!I100,9)</f>
        <v>1.5421999999999999E-5</v>
      </c>
      <c r="CY94">
        <f t="shared" ref="CY94:CY100" si="54">AA94</f>
        <v>83856.09</v>
      </c>
      <c r="CZ94">
        <f t="shared" ref="CZ94:CZ100" si="55">AE94</f>
        <v>11242.42</v>
      </c>
      <c r="DA94">
        <f t="shared" ref="DA94:DA100" si="56">AI94</f>
        <v>6.9</v>
      </c>
      <c r="DB94">
        <f t="shared" ref="DB94:DB100" si="57">ROUND(ROUND(AT94*CZ94,2),6)</f>
        <v>0.67</v>
      </c>
      <c r="DC94">
        <f t="shared" ref="DC94:DC100" si="58">ROUND(ROUND(AT94*AG94,2),6)</f>
        <v>0</v>
      </c>
      <c r="DD94" t="s">
        <v>3</v>
      </c>
      <c r="DE94" t="s">
        <v>3</v>
      </c>
      <c r="DF94">
        <f t="shared" ref="DF94:DF100" si="59">ROUND(ROUND(AE94*AI94,2)*CX94,2)</f>
        <v>1.2</v>
      </c>
      <c r="DG94">
        <f t="shared" ref="DG94:DG112" si="60">ROUND(ROUND(AF94,2)*CX94,2)</f>
        <v>0</v>
      </c>
      <c r="DH94">
        <f t="shared" ref="DH94:DH112" si="61">ROUND(ROUND(AG94,2)*CX94,2)</f>
        <v>0</v>
      </c>
      <c r="DI94">
        <f t="shared" si="34"/>
        <v>0</v>
      </c>
      <c r="DJ94">
        <f t="shared" ref="DJ94:DJ100" si="62">DF94</f>
        <v>1.2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ROW(Source!A100)</f>
        <v>100</v>
      </c>
      <c r="B95">
        <v>56611490</v>
      </c>
      <c r="C95">
        <v>56612074</v>
      </c>
      <c r="D95">
        <v>45796980</v>
      </c>
      <c r="E95">
        <v>1</v>
      </c>
      <c r="F95">
        <v>1</v>
      </c>
      <c r="G95">
        <v>27786564</v>
      </c>
      <c r="H95">
        <v>3</v>
      </c>
      <c r="I95" t="s">
        <v>472</v>
      </c>
      <c r="J95" t="s">
        <v>473</v>
      </c>
      <c r="K95" t="s">
        <v>474</v>
      </c>
      <c r="L95">
        <v>1346</v>
      </c>
      <c r="N95">
        <v>1009</v>
      </c>
      <c r="O95" t="s">
        <v>104</v>
      </c>
      <c r="P95" t="s">
        <v>104</v>
      </c>
      <c r="Q95">
        <v>1</v>
      </c>
      <c r="W95">
        <v>0</v>
      </c>
      <c r="X95">
        <v>1533725368</v>
      </c>
      <c r="Y95">
        <f t="shared" si="53"/>
        <v>0.8</v>
      </c>
      <c r="AA95">
        <v>211.96</v>
      </c>
      <c r="AB95">
        <v>0</v>
      </c>
      <c r="AC95">
        <v>0</v>
      </c>
      <c r="AD95">
        <v>0</v>
      </c>
      <c r="AE95">
        <v>25.8</v>
      </c>
      <c r="AF95">
        <v>0</v>
      </c>
      <c r="AG95">
        <v>0</v>
      </c>
      <c r="AH95">
        <v>0</v>
      </c>
      <c r="AI95">
        <v>7.6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0.8</v>
      </c>
      <c r="AU95" t="s">
        <v>3</v>
      </c>
      <c r="AV95">
        <v>0</v>
      </c>
      <c r="AW95">
        <v>2</v>
      </c>
      <c r="AX95">
        <v>56612091</v>
      </c>
      <c r="AY95">
        <v>1</v>
      </c>
      <c r="AZ95">
        <v>0</v>
      </c>
      <c r="BA95">
        <v>137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ROUND(Y95*Source!I100,9)</f>
        <v>0.20563200000000001</v>
      </c>
      <c r="CY95">
        <f t="shared" si="54"/>
        <v>211.96</v>
      </c>
      <c r="CZ95">
        <f t="shared" si="55"/>
        <v>25.8</v>
      </c>
      <c r="DA95">
        <f t="shared" si="56"/>
        <v>7.6</v>
      </c>
      <c r="DB95">
        <f t="shared" si="57"/>
        <v>20.64</v>
      </c>
      <c r="DC95">
        <f t="shared" si="58"/>
        <v>0</v>
      </c>
      <c r="DD95" t="s">
        <v>3</v>
      </c>
      <c r="DE95" t="s">
        <v>3</v>
      </c>
      <c r="DF95">
        <f t="shared" si="59"/>
        <v>40.32</v>
      </c>
      <c r="DG95">
        <f t="shared" si="60"/>
        <v>0</v>
      </c>
      <c r="DH95">
        <f t="shared" si="61"/>
        <v>0</v>
      </c>
      <c r="DI95">
        <f t="shared" si="34"/>
        <v>0</v>
      </c>
      <c r="DJ95">
        <f t="shared" si="62"/>
        <v>40.32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ROW(Source!A100)</f>
        <v>100</v>
      </c>
      <c r="B96">
        <v>56611490</v>
      </c>
      <c r="C96">
        <v>56612074</v>
      </c>
      <c r="D96">
        <v>46723689</v>
      </c>
      <c r="E96">
        <v>1</v>
      </c>
      <c r="F96">
        <v>1</v>
      </c>
      <c r="G96">
        <v>27786564</v>
      </c>
      <c r="H96">
        <v>3</v>
      </c>
      <c r="I96" t="s">
        <v>475</v>
      </c>
      <c r="J96" t="s">
        <v>476</v>
      </c>
      <c r="K96" t="s">
        <v>477</v>
      </c>
      <c r="L96">
        <v>1348</v>
      </c>
      <c r="N96">
        <v>1009</v>
      </c>
      <c r="O96" t="s">
        <v>330</v>
      </c>
      <c r="P96" t="s">
        <v>330</v>
      </c>
      <c r="Q96">
        <v>1000</v>
      </c>
      <c r="W96">
        <v>0</v>
      </c>
      <c r="X96">
        <v>-1817633629</v>
      </c>
      <c r="Y96">
        <f t="shared" si="53"/>
        <v>5.0000000000000001E-4</v>
      </c>
      <c r="AA96">
        <v>1617949.24</v>
      </c>
      <c r="AB96">
        <v>0</v>
      </c>
      <c r="AC96">
        <v>0</v>
      </c>
      <c r="AD96">
        <v>0</v>
      </c>
      <c r="AE96">
        <v>60966</v>
      </c>
      <c r="AF96">
        <v>0</v>
      </c>
      <c r="AG96">
        <v>0</v>
      </c>
      <c r="AH96">
        <v>0</v>
      </c>
      <c r="AI96">
        <v>24.55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5.0000000000000001E-4</v>
      </c>
      <c r="AU96" t="s">
        <v>3</v>
      </c>
      <c r="AV96">
        <v>0</v>
      </c>
      <c r="AW96">
        <v>2</v>
      </c>
      <c r="AX96">
        <v>56612092</v>
      </c>
      <c r="AY96">
        <v>1</v>
      </c>
      <c r="AZ96">
        <v>0</v>
      </c>
      <c r="BA96">
        <v>138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ROUND(Y96*Source!I100,9)</f>
        <v>1.2852E-4</v>
      </c>
      <c r="CY96">
        <f t="shared" si="54"/>
        <v>1617949.24</v>
      </c>
      <c r="CZ96">
        <f t="shared" si="55"/>
        <v>60966</v>
      </c>
      <c r="DA96">
        <f t="shared" si="56"/>
        <v>24.55</v>
      </c>
      <c r="DB96">
        <f t="shared" si="57"/>
        <v>30.48</v>
      </c>
      <c r="DC96">
        <f t="shared" si="58"/>
        <v>0</v>
      </c>
      <c r="DD96" t="s">
        <v>3</v>
      </c>
      <c r="DE96" t="s">
        <v>3</v>
      </c>
      <c r="DF96">
        <f t="shared" si="59"/>
        <v>192.36</v>
      </c>
      <c r="DG96">
        <f t="shared" si="60"/>
        <v>0</v>
      </c>
      <c r="DH96">
        <f t="shared" si="61"/>
        <v>0</v>
      </c>
      <c r="DI96">
        <f t="shared" si="34"/>
        <v>0</v>
      </c>
      <c r="DJ96">
        <f t="shared" si="62"/>
        <v>192.36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ROW(Source!A100)</f>
        <v>100</v>
      </c>
      <c r="B97">
        <v>56611490</v>
      </c>
      <c r="C97">
        <v>56612074</v>
      </c>
      <c r="D97">
        <v>46723704</v>
      </c>
      <c r="E97">
        <v>1</v>
      </c>
      <c r="F97">
        <v>1</v>
      </c>
      <c r="G97">
        <v>27786564</v>
      </c>
      <c r="H97">
        <v>3</v>
      </c>
      <c r="I97" t="s">
        <v>478</v>
      </c>
      <c r="J97" t="s">
        <v>479</v>
      </c>
      <c r="K97" t="s">
        <v>480</v>
      </c>
      <c r="L97">
        <v>1348</v>
      </c>
      <c r="N97">
        <v>1009</v>
      </c>
      <c r="O97" t="s">
        <v>330</v>
      </c>
      <c r="P97" t="s">
        <v>330</v>
      </c>
      <c r="Q97">
        <v>1000</v>
      </c>
      <c r="W97">
        <v>0</v>
      </c>
      <c r="X97">
        <v>1862018911</v>
      </c>
      <c r="Y97">
        <f t="shared" si="53"/>
        <v>4.0000000000000003E-5</v>
      </c>
      <c r="AA97">
        <v>94661.04</v>
      </c>
      <c r="AB97">
        <v>0</v>
      </c>
      <c r="AC97">
        <v>0</v>
      </c>
      <c r="AD97">
        <v>0</v>
      </c>
      <c r="AE97">
        <v>7982.5</v>
      </c>
      <c r="AF97">
        <v>0</v>
      </c>
      <c r="AG97">
        <v>0</v>
      </c>
      <c r="AH97">
        <v>0</v>
      </c>
      <c r="AI97">
        <v>10.97</v>
      </c>
      <c r="AJ97">
        <v>1</v>
      </c>
      <c r="AK97">
        <v>1</v>
      </c>
      <c r="AL97">
        <v>1</v>
      </c>
      <c r="AM97">
        <v>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4.0000000000000003E-5</v>
      </c>
      <c r="AU97" t="s">
        <v>3</v>
      </c>
      <c r="AV97">
        <v>0</v>
      </c>
      <c r="AW97">
        <v>2</v>
      </c>
      <c r="AX97">
        <v>56612093</v>
      </c>
      <c r="AY97">
        <v>1</v>
      </c>
      <c r="AZ97">
        <v>0</v>
      </c>
      <c r="BA97">
        <v>139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ROUND(Y97*Source!I100,9)</f>
        <v>1.0282000000000001E-5</v>
      </c>
      <c r="CY97">
        <f t="shared" si="54"/>
        <v>94661.04</v>
      </c>
      <c r="CZ97">
        <f t="shared" si="55"/>
        <v>7982.5</v>
      </c>
      <c r="DA97">
        <f t="shared" si="56"/>
        <v>10.97</v>
      </c>
      <c r="DB97">
        <f t="shared" si="57"/>
        <v>0.32</v>
      </c>
      <c r="DC97">
        <f t="shared" si="58"/>
        <v>0</v>
      </c>
      <c r="DD97" t="s">
        <v>3</v>
      </c>
      <c r="DE97" t="s">
        <v>3</v>
      </c>
      <c r="DF97">
        <f t="shared" si="59"/>
        <v>0.9</v>
      </c>
      <c r="DG97">
        <f t="shared" si="60"/>
        <v>0</v>
      </c>
      <c r="DH97">
        <f t="shared" si="61"/>
        <v>0</v>
      </c>
      <c r="DI97">
        <f t="shared" si="34"/>
        <v>0</v>
      </c>
      <c r="DJ97">
        <f t="shared" si="62"/>
        <v>0.9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ROW(Source!A100)</f>
        <v>100</v>
      </c>
      <c r="B98">
        <v>56611490</v>
      </c>
      <c r="C98">
        <v>56612074</v>
      </c>
      <c r="D98">
        <v>52048144</v>
      </c>
      <c r="E98">
        <v>1</v>
      </c>
      <c r="F98">
        <v>1</v>
      </c>
      <c r="G98">
        <v>27786564</v>
      </c>
      <c r="H98">
        <v>3</v>
      </c>
      <c r="I98" t="s">
        <v>481</v>
      </c>
      <c r="J98" t="s">
        <v>482</v>
      </c>
      <c r="K98" t="s">
        <v>483</v>
      </c>
      <c r="L98">
        <v>1356</v>
      </c>
      <c r="N98">
        <v>1010</v>
      </c>
      <c r="O98" t="s">
        <v>484</v>
      </c>
      <c r="P98" t="s">
        <v>484</v>
      </c>
      <c r="Q98">
        <v>1000</v>
      </c>
      <c r="W98">
        <v>0</v>
      </c>
      <c r="X98">
        <v>1183006993</v>
      </c>
      <c r="Y98">
        <f t="shared" si="53"/>
        <v>4.0999999999999999E-4</v>
      </c>
      <c r="AA98">
        <v>1470.25</v>
      </c>
      <c r="AB98">
        <v>0</v>
      </c>
      <c r="AC98">
        <v>0</v>
      </c>
      <c r="AD98">
        <v>0</v>
      </c>
      <c r="AE98">
        <v>226.68</v>
      </c>
      <c r="AF98">
        <v>0</v>
      </c>
      <c r="AG98">
        <v>0</v>
      </c>
      <c r="AH98">
        <v>0</v>
      </c>
      <c r="AI98">
        <v>6</v>
      </c>
      <c r="AJ98">
        <v>1</v>
      </c>
      <c r="AK98">
        <v>1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4.0999999999999999E-4</v>
      </c>
      <c r="AU98" t="s">
        <v>3</v>
      </c>
      <c r="AV98">
        <v>0</v>
      </c>
      <c r="AW98">
        <v>2</v>
      </c>
      <c r="AX98">
        <v>56612094</v>
      </c>
      <c r="AY98">
        <v>1</v>
      </c>
      <c r="AZ98">
        <v>0</v>
      </c>
      <c r="BA98">
        <v>140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ROUND(Y98*Source!I100,9)</f>
        <v>1.05386E-4</v>
      </c>
      <c r="CY98">
        <f t="shared" si="54"/>
        <v>1470.25</v>
      </c>
      <c r="CZ98">
        <f t="shared" si="55"/>
        <v>226.68</v>
      </c>
      <c r="DA98">
        <f t="shared" si="56"/>
        <v>6</v>
      </c>
      <c r="DB98">
        <f t="shared" si="57"/>
        <v>0.09</v>
      </c>
      <c r="DC98">
        <f t="shared" si="58"/>
        <v>0</v>
      </c>
      <c r="DD98" t="s">
        <v>3</v>
      </c>
      <c r="DE98" t="s">
        <v>3</v>
      </c>
      <c r="DF98">
        <f t="shared" si="59"/>
        <v>0.14000000000000001</v>
      </c>
      <c r="DG98">
        <f t="shared" si="60"/>
        <v>0</v>
      </c>
      <c r="DH98">
        <f t="shared" si="61"/>
        <v>0</v>
      </c>
      <c r="DI98">
        <f t="shared" si="34"/>
        <v>0</v>
      </c>
      <c r="DJ98">
        <f t="shared" si="62"/>
        <v>0.14000000000000001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ROW(Source!A100)</f>
        <v>100</v>
      </c>
      <c r="B99">
        <v>56611490</v>
      </c>
      <c r="C99">
        <v>56612074</v>
      </c>
      <c r="D99">
        <v>46735506</v>
      </c>
      <c r="E99">
        <v>1</v>
      </c>
      <c r="F99">
        <v>1</v>
      </c>
      <c r="G99">
        <v>27786564</v>
      </c>
      <c r="H99">
        <v>3</v>
      </c>
      <c r="I99" t="s">
        <v>485</v>
      </c>
      <c r="J99" t="s">
        <v>486</v>
      </c>
      <c r="K99" t="s">
        <v>487</v>
      </c>
      <c r="L99">
        <v>1301</v>
      </c>
      <c r="N99">
        <v>1003</v>
      </c>
      <c r="O99" t="s">
        <v>56</v>
      </c>
      <c r="P99" t="s">
        <v>56</v>
      </c>
      <c r="Q99">
        <v>1</v>
      </c>
      <c r="W99">
        <v>0</v>
      </c>
      <c r="X99">
        <v>1159735927</v>
      </c>
      <c r="Y99">
        <f t="shared" si="53"/>
        <v>0.96</v>
      </c>
      <c r="AA99">
        <v>5.0999999999999996</v>
      </c>
      <c r="AB99">
        <v>0</v>
      </c>
      <c r="AC99">
        <v>0</v>
      </c>
      <c r="AD99">
        <v>0</v>
      </c>
      <c r="AE99">
        <v>0.7</v>
      </c>
      <c r="AF99">
        <v>0</v>
      </c>
      <c r="AG99">
        <v>0</v>
      </c>
      <c r="AH99">
        <v>0</v>
      </c>
      <c r="AI99">
        <v>6.74</v>
      </c>
      <c r="AJ99">
        <v>1</v>
      </c>
      <c r="AK99">
        <v>1</v>
      </c>
      <c r="AL99">
        <v>1</v>
      </c>
      <c r="AM99">
        <v>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0.96</v>
      </c>
      <c r="AU99" t="s">
        <v>3</v>
      </c>
      <c r="AV99">
        <v>0</v>
      </c>
      <c r="AW99">
        <v>2</v>
      </c>
      <c r="AX99">
        <v>56612095</v>
      </c>
      <c r="AY99">
        <v>1</v>
      </c>
      <c r="AZ99">
        <v>0</v>
      </c>
      <c r="BA99">
        <v>141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ROUND(Y99*Source!I100,9)</f>
        <v>0.24675839999999999</v>
      </c>
      <c r="CY99">
        <f t="shared" si="54"/>
        <v>5.0999999999999996</v>
      </c>
      <c r="CZ99">
        <f t="shared" si="55"/>
        <v>0.7</v>
      </c>
      <c r="DA99">
        <f t="shared" si="56"/>
        <v>6.74</v>
      </c>
      <c r="DB99">
        <f t="shared" si="57"/>
        <v>0.67</v>
      </c>
      <c r="DC99">
        <f t="shared" si="58"/>
        <v>0</v>
      </c>
      <c r="DD99" t="s">
        <v>3</v>
      </c>
      <c r="DE99" t="s">
        <v>3</v>
      </c>
      <c r="DF99">
        <f t="shared" si="59"/>
        <v>1.1599999999999999</v>
      </c>
      <c r="DG99">
        <f t="shared" si="60"/>
        <v>0</v>
      </c>
      <c r="DH99">
        <f t="shared" si="61"/>
        <v>0</v>
      </c>
      <c r="DI99">
        <f t="shared" si="34"/>
        <v>0</v>
      </c>
      <c r="DJ99">
        <f t="shared" si="62"/>
        <v>1.1599999999999999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ROW(Source!A100)</f>
        <v>100</v>
      </c>
      <c r="B100">
        <v>56611490</v>
      </c>
      <c r="C100">
        <v>56612074</v>
      </c>
      <c r="D100">
        <v>46735508</v>
      </c>
      <c r="E100">
        <v>1</v>
      </c>
      <c r="F100">
        <v>1</v>
      </c>
      <c r="G100">
        <v>27786564</v>
      </c>
      <c r="H100">
        <v>3</v>
      </c>
      <c r="I100" t="s">
        <v>488</v>
      </c>
      <c r="J100" t="s">
        <v>489</v>
      </c>
      <c r="K100" t="s">
        <v>490</v>
      </c>
      <c r="L100">
        <v>1356</v>
      </c>
      <c r="N100">
        <v>1010</v>
      </c>
      <c r="O100" t="s">
        <v>484</v>
      </c>
      <c r="P100" t="s">
        <v>484</v>
      </c>
      <c r="Q100">
        <v>1000</v>
      </c>
      <c r="W100">
        <v>0</v>
      </c>
      <c r="X100">
        <v>1674776227</v>
      </c>
      <c r="Y100">
        <f t="shared" si="53"/>
        <v>8.3199999999999993E-3</v>
      </c>
      <c r="AA100">
        <v>229.8</v>
      </c>
      <c r="AB100">
        <v>0</v>
      </c>
      <c r="AC100">
        <v>0</v>
      </c>
      <c r="AD100">
        <v>0</v>
      </c>
      <c r="AE100">
        <v>6.44</v>
      </c>
      <c r="AF100">
        <v>0</v>
      </c>
      <c r="AG100">
        <v>0</v>
      </c>
      <c r="AH100">
        <v>0</v>
      </c>
      <c r="AI100">
        <v>33.01</v>
      </c>
      <c r="AJ100">
        <v>1</v>
      </c>
      <c r="AK100">
        <v>1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8.3199999999999993E-3</v>
      </c>
      <c r="AU100" t="s">
        <v>3</v>
      </c>
      <c r="AV100">
        <v>0</v>
      </c>
      <c r="AW100">
        <v>2</v>
      </c>
      <c r="AX100">
        <v>56612096</v>
      </c>
      <c r="AY100">
        <v>1</v>
      </c>
      <c r="AZ100">
        <v>0</v>
      </c>
      <c r="BA100">
        <v>142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ROUND(Y100*Source!I100,9)</f>
        <v>2.1385729999999999E-3</v>
      </c>
      <c r="CY100">
        <f t="shared" si="54"/>
        <v>229.8</v>
      </c>
      <c r="CZ100">
        <f t="shared" si="55"/>
        <v>6.44</v>
      </c>
      <c r="DA100">
        <f t="shared" si="56"/>
        <v>33.01</v>
      </c>
      <c r="DB100">
        <f t="shared" si="57"/>
        <v>0.05</v>
      </c>
      <c r="DC100">
        <f t="shared" si="58"/>
        <v>0</v>
      </c>
      <c r="DD100" t="s">
        <v>3</v>
      </c>
      <c r="DE100" t="s">
        <v>3</v>
      </c>
      <c r="DF100">
        <f t="shared" si="59"/>
        <v>0.45</v>
      </c>
      <c r="DG100">
        <f t="shared" si="60"/>
        <v>0</v>
      </c>
      <c r="DH100">
        <f t="shared" si="61"/>
        <v>0</v>
      </c>
      <c r="DI100">
        <f t="shared" si="34"/>
        <v>0</v>
      </c>
      <c r="DJ100">
        <f t="shared" si="62"/>
        <v>0.45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ROW(Source!A101)</f>
        <v>101</v>
      </c>
      <c r="B101">
        <v>56622523</v>
      </c>
      <c r="C101">
        <v>56612099</v>
      </c>
      <c r="D101">
        <v>47634407</v>
      </c>
      <c r="E101">
        <v>27786564</v>
      </c>
      <c r="F101">
        <v>1</v>
      </c>
      <c r="G101">
        <v>27786564</v>
      </c>
      <c r="H101">
        <v>1</v>
      </c>
      <c r="I101" t="s">
        <v>438</v>
      </c>
      <c r="J101" t="s">
        <v>3</v>
      </c>
      <c r="K101" t="s">
        <v>439</v>
      </c>
      <c r="L101">
        <v>1191</v>
      </c>
      <c r="N101">
        <v>1013</v>
      </c>
      <c r="O101" t="s">
        <v>440</v>
      </c>
      <c r="P101" t="s">
        <v>440</v>
      </c>
      <c r="Q101">
        <v>1</v>
      </c>
      <c r="W101">
        <v>0</v>
      </c>
      <c r="X101">
        <v>476480486</v>
      </c>
      <c r="Y101">
        <f>((AT101*1.1)*1.2)</f>
        <v>9.4247999999999994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7.14</v>
      </c>
      <c r="AU101" t="s">
        <v>70</v>
      </c>
      <c r="AV101">
        <v>1</v>
      </c>
      <c r="AW101">
        <v>2</v>
      </c>
      <c r="AX101">
        <v>56612111</v>
      </c>
      <c r="AY101">
        <v>1</v>
      </c>
      <c r="AZ101">
        <v>0</v>
      </c>
      <c r="BA101">
        <v>145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ROUND(AT101*Source!I101*AH101*AL101,2)</f>
        <v>0</v>
      </c>
      <c r="CV101">
        <f>ROUND(Y101*Source!I101,9)</f>
        <v>0</v>
      </c>
      <c r="CW101">
        <v>0</v>
      </c>
      <c r="CX101">
        <f>ROUND(Y101*Source!I101,9)</f>
        <v>0</v>
      </c>
      <c r="CY101">
        <f>AD101</f>
        <v>0</v>
      </c>
      <c r="CZ101">
        <f>AH101</f>
        <v>0</v>
      </c>
      <c r="DA101">
        <f>AL101</f>
        <v>1</v>
      </c>
      <c r="DB101">
        <f>ROUND(((ROUND(AT101*CZ101,2)*1.1)*1.2),6)</f>
        <v>0</v>
      </c>
      <c r="DC101">
        <f>ROUND(((ROUND(AT101*AG101,2)*1.1)*1.2),6)</f>
        <v>0</v>
      </c>
      <c r="DD101" t="s">
        <v>3</v>
      </c>
      <c r="DE101" t="s">
        <v>3</v>
      </c>
      <c r="DF101">
        <f t="shared" ref="DF101:DF115" si="63">ROUND(ROUND(AE101,2)*CX101,2)</f>
        <v>0</v>
      </c>
      <c r="DG101">
        <f t="shared" si="60"/>
        <v>0</v>
      </c>
      <c r="DH101">
        <f t="shared" si="61"/>
        <v>0</v>
      </c>
      <c r="DI101">
        <f t="shared" si="34"/>
        <v>0</v>
      </c>
      <c r="DJ101">
        <f>DI101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ROW(Source!A101)</f>
        <v>101</v>
      </c>
      <c r="B102">
        <v>56622523</v>
      </c>
      <c r="C102">
        <v>56612099</v>
      </c>
      <c r="D102">
        <v>47767106</v>
      </c>
      <c r="E102">
        <v>1</v>
      </c>
      <c r="F102">
        <v>1</v>
      </c>
      <c r="G102">
        <v>27786564</v>
      </c>
      <c r="H102">
        <v>2</v>
      </c>
      <c r="I102" t="s">
        <v>460</v>
      </c>
      <c r="J102" t="s">
        <v>461</v>
      </c>
      <c r="K102" t="s">
        <v>462</v>
      </c>
      <c r="L102">
        <v>1368</v>
      </c>
      <c r="N102">
        <v>1011</v>
      </c>
      <c r="O102" t="s">
        <v>444</v>
      </c>
      <c r="P102" t="s">
        <v>444</v>
      </c>
      <c r="Q102">
        <v>1</v>
      </c>
      <c r="W102">
        <v>0</v>
      </c>
      <c r="X102">
        <v>-7781208</v>
      </c>
      <c r="Y102">
        <f>((AT102*1.1)*1.2)</f>
        <v>0.64680000000000004</v>
      </c>
      <c r="AA102">
        <v>0</v>
      </c>
      <c r="AB102">
        <v>83.1</v>
      </c>
      <c r="AC102">
        <v>12.62</v>
      </c>
      <c r="AD102">
        <v>0</v>
      </c>
      <c r="AE102">
        <v>0</v>
      </c>
      <c r="AF102">
        <v>83.1</v>
      </c>
      <c r="AG102">
        <v>12.62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0.49</v>
      </c>
      <c r="AU102" t="s">
        <v>70</v>
      </c>
      <c r="AV102">
        <v>0</v>
      </c>
      <c r="AW102">
        <v>2</v>
      </c>
      <c r="AX102">
        <v>56612112</v>
      </c>
      <c r="AY102">
        <v>1</v>
      </c>
      <c r="AZ102">
        <v>0</v>
      </c>
      <c r="BA102">
        <v>146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f>ROUND(Y102*Source!I101*DO102,9)</f>
        <v>0</v>
      </c>
      <c r="CX102">
        <f>ROUND(Y102*Source!I101,9)</f>
        <v>0</v>
      </c>
      <c r="CY102">
        <f>AB102</f>
        <v>83.1</v>
      </c>
      <c r="CZ102">
        <f>AF102</f>
        <v>83.1</v>
      </c>
      <c r="DA102">
        <f>AJ102</f>
        <v>1</v>
      </c>
      <c r="DB102">
        <f>ROUND(((ROUND(AT102*CZ102,2)*1.1)*1.2),6)</f>
        <v>53.750399999999999</v>
      </c>
      <c r="DC102">
        <f>ROUND(((ROUND(AT102*AG102,2)*1.1)*1.2),6)</f>
        <v>8.1576000000000004</v>
      </c>
      <c r="DD102" t="s">
        <v>3</v>
      </c>
      <c r="DE102" t="s">
        <v>3</v>
      </c>
      <c r="DF102">
        <f t="shared" si="63"/>
        <v>0</v>
      </c>
      <c r="DG102">
        <f t="shared" si="60"/>
        <v>0</v>
      </c>
      <c r="DH102">
        <f t="shared" si="61"/>
        <v>0</v>
      </c>
      <c r="DI102">
        <f t="shared" si="34"/>
        <v>0</v>
      </c>
      <c r="DJ102">
        <f>DG102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ROW(Source!A101)</f>
        <v>101</v>
      </c>
      <c r="B103">
        <v>56622523</v>
      </c>
      <c r="C103">
        <v>56612099</v>
      </c>
      <c r="D103">
        <v>47766535</v>
      </c>
      <c r="E103">
        <v>1</v>
      </c>
      <c r="F103">
        <v>1</v>
      </c>
      <c r="G103">
        <v>27786564</v>
      </c>
      <c r="H103">
        <v>2</v>
      </c>
      <c r="I103" t="s">
        <v>463</v>
      </c>
      <c r="J103" t="s">
        <v>464</v>
      </c>
      <c r="K103" t="s">
        <v>465</v>
      </c>
      <c r="L103">
        <v>1368</v>
      </c>
      <c r="N103">
        <v>1011</v>
      </c>
      <c r="O103" t="s">
        <v>444</v>
      </c>
      <c r="P103" t="s">
        <v>444</v>
      </c>
      <c r="Q103">
        <v>1</v>
      </c>
      <c r="W103">
        <v>0</v>
      </c>
      <c r="X103">
        <v>-1386352920</v>
      </c>
      <c r="Y103">
        <f>((AT103*1.1)*1.2)</f>
        <v>2.1515999999999997</v>
      </c>
      <c r="AA103">
        <v>0</v>
      </c>
      <c r="AB103">
        <v>2.27</v>
      </c>
      <c r="AC103">
        <v>0</v>
      </c>
      <c r="AD103">
        <v>0</v>
      </c>
      <c r="AE103">
        <v>0</v>
      </c>
      <c r="AF103">
        <v>2.27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1.63</v>
      </c>
      <c r="AU103" t="s">
        <v>70</v>
      </c>
      <c r="AV103">
        <v>0</v>
      </c>
      <c r="AW103">
        <v>2</v>
      </c>
      <c r="AX103">
        <v>56612113</v>
      </c>
      <c r="AY103">
        <v>1</v>
      </c>
      <c r="AZ103">
        <v>0</v>
      </c>
      <c r="BA103">
        <v>147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ROUND(Y103*Source!I101*DO103,9)</f>
        <v>0</v>
      </c>
      <c r="CX103">
        <f>ROUND(Y103*Source!I101,9)</f>
        <v>0</v>
      </c>
      <c r="CY103">
        <f>AB103</f>
        <v>2.27</v>
      </c>
      <c r="CZ103">
        <f>AF103</f>
        <v>2.27</v>
      </c>
      <c r="DA103">
        <f>AJ103</f>
        <v>1</v>
      </c>
      <c r="DB103">
        <f>ROUND(((ROUND(AT103*CZ103,2)*1.1)*1.2),6)</f>
        <v>4.8840000000000003</v>
      </c>
      <c r="DC103">
        <f>ROUND(((ROUND(AT103*AG103,2)*1.1)*1.2),6)</f>
        <v>0</v>
      </c>
      <c r="DD103" t="s">
        <v>3</v>
      </c>
      <c r="DE103" t="s">
        <v>3</v>
      </c>
      <c r="DF103">
        <f t="shared" si="63"/>
        <v>0</v>
      </c>
      <c r="DG103">
        <f t="shared" si="60"/>
        <v>0</v>
      </c>
      <c r="DH103">
        <f t="shared" si="61"/>
        <v>0</v>
      </c>
      <c r="DI103">
        <f t="shared" si="34"/>
        <v>0</v>
      </c>
      <c r="DJ103">
        <f>DG103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ROW(Source!A101)</f>
        <v>101</v>
      </c>
      <c r="B104">
        <v>56622523</v>
      </c>
      <c r="C104">
        <v>56612099</v>
      </c>
      <c r="D104">
        <v>47766545</v>
      </c>
      <c r="E104">
        <v>1</v>
      </c>
      <c r="F104">
        <v>1</v>
      </c>
      <c r="G104">
        <v>27786564</v>
      </c>
      <c r="H104">
        <v>2</v>
      </c>
      <c r="I104" t="s">
        <v>466</v>
      </c>
      <c r="J104" t="s">
        <v>467</v>
      </c>
      <c r="K104" t="s">
        <v>468</v>
      </c>
      <c r="L104">
        <v>1368</v>
      </c>
      <c r="N104">
        <v>1011</v>
      </c>
      <c r="O104" t="s">
        <v>444</v>
      </c>
      <c r="P104" t="s">
        <v>444</v>
      </c>
      <c r="Q104">
        <v>1</v>
      </c>
      <c r="W104">
        <v>0</v>
      </c>
      <c r="X104">
        <v>1766156404</v>
      </c>
      <c r="Y104">
        <f>((AT104*1.1)*1.2)</f>
        <v>2.1515999999999997</v>
      </c>
      <c r="AA104">
        <v>0</v>
      </c>
      <c r="AB104">
        <v>0.73</v>
      </c>
      <c r="AC104">
        <v>0</v>
      </c>
      <c r="AD104">
        <v>0</v>
      </c>
      <c r="AE104">
        <v>0</v>
      </c>
      <c r="AF104">
        <v>0.73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1.63</v>
      </c>
      <c r="AU104" t="s">
        <v>70</v>
      </c>
      <c r="AV104">
        <v>0</v>
      </c>
      <c r="AW104">
        <v>2</v>
      </c>
      <c r="AX104">
        <v>56612114</v>
      </c>
      <c r="AY104">
        <v>1</v>
      </c>
      <c r="AZ104">
        <v>0</v>
      </c>
      <c r="BA104">
        <v>148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ROUND(Y104*Source!I101*DO104,9)</f>
        <v>0</v>
      </c>
      <c r="CX104">
        <f>ROUND(Y104*Source!I101,9)</f>
        <v>0</v>
      </c>
      <c r="CY104">
        <f>AB104</f>
        <v>0.73</v>
      </c>
      <c r="CZ104">
        <f>AF104</f>
        <v>0.73</v>
      </c>
      <c r="DA104">
        <f>AJ104</f>
        <v>1</v>
      </c>
      <c r="DB104">
        <f>ROUND(((ROUND(AT104*CZ104,2)*1.1)*1.2),6)</f>
        <v>1.5708</v>
      </c>
      <c r="DC104">
        <f>ROUND(((ROUND(AT104*AG104,2)*1.1)*1.2),6)</f>
        <v>0</v>
      </c>
      <c r="DD104" t="s">
        <v>3</v>
      </c>
      <c r="DE104" t="s">
        <v>3</v>
      </c>
      <c r="DF104">
        <f t="shared" si="63"/>
        <v>0</v>
      </c>
      <c r="DG104">
        <f t="shared" si="60"/>
        <v>0</v>
      </c>
      <c r="DH104">
        <f t="shared" si="61"/>
        <v>0</v>
      </c>
      <c r="DI104">
        <f t="shared" si="34"/>
        <v>0</v>
      </c>
      <c r="DJ104">
        <f>DG104</f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ROW(Source!A101)</f>
        <v>101</v>
      </c>
      <c r="B105">
        <v>56622523</v>
      </c>
      <c r="C105">
        <v>56612099</v>
      </c>
      <c r="D105">
        <v>46723498</v>
      </c>
      <c r="E105">
        <v>1</v>
      </c>
      <c r="F105">
        <v>1</v>
      </c>
      <c r="G105">
        <v>27786564</v>
      </c>
      <c r="H105">
        <v>3</v>
      </c>
      <c r="I105" t="s">
        <v>469</v>
      </c>
      <c r="J105" t="s">
        <v>470</v>
      </c>
      <c r="K105" t="s">
        <v>471</v>
      </c>
      <c r="L105">
        <v>1348</v>
      </c>
      <c r="N105">
        <v>1009</v>
      </c>
      <c r="O105" t="s">
        <v>330</v>
      </c>
      <c r="P105" t="s">
        <v>330</v>
      </c>
      <c r="Q105">
        <v>1000</v>
      </c>
      <c r="W105">
        <v>0</v>
      </c>
      <c r="X105">
        <v>975641442</v>
      </c>
      <c r="Y105">
        <f t="shared" ref="Y105:Y111" si="64">(AT105*1)</f>
        <v>6.0000000000000002E-5</v>
      </c>
      <c r="AA105">
        <v>11242.42</v>
      </c>
      <c r="AB105">
        <v>0</v>
      </c>
      <c r="AC105">
        <v>0</v>
      </c>
      <c r="AD105">
        <v>0</v>
      </c>
      <c r="AE105">
        <v>11242.42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6.0000000000000002E-5</v>
      </c>
      <c r="AU105" t="s">
        <v>42</v>
      </c>
      <c r="AV105">
        <v>0</v>
      </c>
      <c r="AW105">
        <v>2</v>
      </c>
      <c r="AX105">
        <v>56612115</v>
      </c>
      <c r="AY105">
        <v>1</v>
      </c>
      <c r="AZ105">
        <v>0</v>
      </c>
      <c r="BA105">
        <v>149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ROUND(Y105*Source!I101,9)</f>
        <v>0</v>
      </c>
      <c r="CY105">
        <f t="shared" ref="CY105:CY111" si="65">AA105</f>
        <v>11242.42</v>
      </c>
      <c r="CZ105">
        <f t="shared" ref="CZ105:CZ111" si="66">AE105</f>
        <v>11242.42</v>
      </c>
      <c r="DA105">
        <f t="shared" ref="DA105:DA111" si="67">AI105</f>
        <v>1</v>
      </c>
      <c r="DB105">
        <f t="shared" ref="DB105:DB111" si="68">ROUND((ROUND(AT105*CZ105,2)*1),6)</f>
        <v>0.67</v>
      </c>
      <c r="DC105">
        <f t="shared" ref="DC105:DC111" si="69">ROUND((ROUND(AT105*AG105,2)*1),6)</f>
        <v>0</v>
      </c>
      <c r="DD105" t="s">
        <v>3</v>
      </c>
      <c r="DE105" t="s">
        <v>3</v>
      </c>
      <c r="DF105">
        <f t="shared" si="63"/>
        <v>0</v>
      </c>
      <c r="DG105">
        <f t="shared" si="60"/>
        <v>0</v>
      </c>
      <c r="DH105">
        <f t="shared" si="61"/>
        <v>0</v>
      </c>
      <c r="DI105">
        <f t="shared" si="34"/>
        <v>0</v>
      </c>
      <c r="DJ105">
        <f t="shared" ref="DJ105:DJ111" si="70">DF105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ROW(Source!A101)</f>
        <v>101</v>
      </c>
      <c r="B106">
        <v>56622523</v>
      </c>
      <c r="C106">
        <v>56612099</v>
      </c>
      <c r="D106">
        <v>45796980</v>
      </c>
      <c r="E106">
        <v>1</v>
      </c>
      <c r="F106">
        <v>1</v>
      </c>
      <c r="G106">
        <v>27786564</v>
      </c>
      <c r="H106">
        <v>3</v>
      </c>
      <c r="I106" t="s">
        <v>472</v>
      </c>
      <c r="J106" t="s">
        <v>473</v>
      </c>
      <c r="K106" t="s">
        <v>474</v>
      </c>
      <c r="L106">
        <v>1346</v>
      </c>
      <c r="N106">
        <v>1009</v>
      </c>
      <c r="O106" t="s">
        <v>104</v>
      </c>
      <c r="P106" t="s">
        <v>104</v>
      </c>
      <c r="Q106">
        <v>1</v>
      </c>
      <c r="W106">
        <v>0</v>
      </c>
      <c r="X106">
        <v>1533725368</v>
      </c>
      <c r="Y106">
        <f t="shared" si="64"/>
        <v>0.8</v>
      </c>
      <c r="AA106">
        <v>25.8</v>
      </c>
      <c r="AB106">
        <v>0</v>
      </c>
      <c r="AC106">
        <v>0</v>
      </c>
      <c r="AD106">
        <v>0</v>
      </c>
      <c r="AE106">
        <v>25.8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0.8</v>
      </c>
      <c r="AU106" t="s">
        <v>42</v>
      </c>
      <c r="AV106">
        <v>0</v>
      </c>
      <c r="AW106">
        <v>2</v>
      </c>
      <c r="AX106">
        <v>56612116</v>
      </c>
      <c r="AY106">
        <v>1</v>
      </c>
      <c r="AZ106">
        <v>0</v>
      </c>
      <c r="BA106">
        <v>150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ROUND(Y106*Source!I101,9)</f>
        <v>0</v>
      </c>
      <c r="CY106">
        <f t="shared" si="65"/>
        <v>25.8</v>
      </c>
      <c r="CZ106">
        <f t="shared" si="66"/>
        <v>25.8</v>
      </c>
      <c r="DA106">
        <f t="shared" si="67"/>
        <v>1</v>
      </c>
      <c r="DB106">
        <f t="shared" si="68"/>
        <v>20.64</v>
      </c>
      <c r="DC106">
        <f t="shared" si="69"/>
        <v>0</v>
      </c>
      <c r="DD106" t="s">
        <v>3</v>
      </c>
      <c r="DE106" t="s">
        <v>3</v>
      </c>
      <c r="DF106">
        <f t="shared" si="63"/>
        <v>0</v>
      </c>
      <c r="DG106">
        <f t="shared" si="60"/>
        <v>0</v>
      </c>
      <c r="DH106">
        <f t="shared" si="61"/>
        <v>0</v>
      </c>
      <c r="DI106">
        <f t="shared" si="34"/>
        <v>0</v>
      </c>
      <c r="DJ106">
        <f t="shared" si="70"/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ROW(Source!A101)</f>
        <v>101</v>
      </c>
      <c r="B107">
        <v>56622523</v>
      </c>
      <c r="C107">
        <v>56612099</v>
      </c>
      <c r="D107">
        <v>46723689</v>
      </c>
      <c r="E107">
        <v>1</v>
      </c>
      <c r="F107">
        <v>1</v>
      </c>
      <c r="G107">
        <v>27786564</v>
      </c>
      <c r="H107">
        <v>3</v>
      </c>
      <c r="I107" t="s">
        <v>475</v>
      </c>
      <c r="J107" t="s">
        <v>476</v>
      </c>
      <c r="K107" t="s">
        <v>477</v>
      </c>
      <c r="L107">
        <v>1348</v>
      </c>
      <c r="N107">
        <v>1009</v>
      </c>
      <c r="O107" t="s">
        <v>330</v>
      </c>
      <c r="P107" t="s">
        <v>330</v>
      </c>
      <c r="Q107">
        <v>1000</v>
      </c>
      <c r="W107">
        <v>0</v>
      </c>
      <c r="X107">
        <v>-1817633629</v>
      </c>
      <c r="Y107">
        <f t="shared" si="64"/>
        <v>5.0000000000000001E-4</v>
      </c>
      <c r="AA107">
        <v>60966</v>
      </c>
      <c r="AB107">
        <v>0</v>
      </c>
      <c r="AC107">
        <v>0</v>
      </c>
      <c r="AD107">
        <v>0</v>
      </c>
      <c r="AE107">
        <v>60966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5.0000000000000001E-4</v>
      </c>
      <c r="AU107" t="s">
        <v>42</v>
      </c>
      <c r="AV107">
        <v>0</v>
      </c>
      <c r="AW107">
        <v>2</v>
      </c>
      <c r="AX107">
        <v>56612117</v>
      </c>
      <c r="AY107">
        <v>1</v>
      </c>
      <c r="AZ107">
        <v>0</v>
      </c>
      <c r="BA107">
        <v>151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ROUND(Y107*Source!I101,9)</f>
        <v>0</v>
      </c>
      <c r="CY107">
        <f t="shared" si="65"/>
        <v>60966</v>
      </c>
      <c r="CZ107">
        <f t="shared" si="66"/>
        <v>60966</v>
      </c>
      <c r="DA107">
        <f t="shared" si="67"/>
        <v>1</v>
      </c>
      <c r="DB107">
        <f t="shared" si="68"/>
        <v>30.48</v>
      </c>
      <c r="DC107">
        <f t="shared" si="69"/>
        <v>0</v>
      </c>
      <c r="DD107" t="s">
        <v>3</v>
      </c>
      <c r="DE107" t="s">
        <v>3</v>
      </c>
      <c r="DF107">
        <f t="shared" si="63"/>
        <v>0</v>
      </c>
      <c r="DG107">
        <f t="shared" si="60"/>
        <v>0</v>
      </c>
      <c r="DH107">
        <f t="shared" si="61"/>
        <v>0</v>
      </c>
      <c r="DI107">
        <f t="shared" si="34"/>
        <v>0</v>
      </c>
      <c r="DJ107">
        <f t="shared" si="70"/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ROW(Source!A101)</f>
        <v>101</v>
      </c>
      <c r="B108">
        <v>56622523</v>
      </c>
      <c r="C108">
        <v>56612099</v>
      </c>
      <c r="D108">
        <v>46723704</v>
      </c>
      <c r="E108">
        <v>1</v>
      </c>
      <c r="F108">
        <v>1</v>
      </c>
      <c r="G108">
        <v>27786564</v>
      </c>
      <c r="H108">
        <v>3</v>
      </c>
      <c r="I108" t="s">
        <v>478</v>
      </c>
      <c r="J108" t="s">
        <v>479</v>
      </c>
      <c r="K108" t="s">
        <v>480</v>
      </c>
      <c r="L108">
        <v>1348</v>
      </c>
      <c r="N108">
        <v>1009</v>
      </c>
      <c r="O108" t="s">
        <v>330</v>
      </c>
      <c r="P108" t="s">
        <v>330</v>
      </c>
      <c r="Q108">
        <v>1000</v>
      </c>
      <c r="W108">
        <v>0</v>
      </c>
      <c r="X108">
        <v>1862018911</v>
      </c>
      <c r="Y108">
        <f t="shared" si="64"/>
        <v>4.0000000000000003E-5</v>
      </c>
      <c r="AA108">
        <v>7982.5</v>
      </c>
      <c r="AB108">
        <v>0</v>
      </c>
      <c r="AC108">
        <v>0</v>
      </c>
      <c r="AD108">
        <v>0</v>
      </c>
      <c r="AE108">
        <v>7982.5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-2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4.0000000000000003E-5</v>
      </c>
      <c r="AU108" t="s">
        <v>42</v>
      </c>
      <c r="AV108">
        <v>0</v>
      </c>
      <c r="AW108">
        <v>2</v>
      </c>
      <c r="AX108">
        <v>56612118</v>
      </c>
      <c r="AY108">
        <v>1</v>
      </c>
      <c r="AZ108">
        <v>0</v>
      </c>
      <c r="BA108">
        <v>152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ROUND(Y108*Source!I101,9)</f>
        <v>0</v>
      </c>
      <c r="CY108">
        <f t="shared" si="65"/>
        <v>7982.5</v>
      </c>
      <c r="CZ108">
        <f t="shared" si="66"/>
        <v>7982.5</v>
      </c>
      <c r="DA108">
        <f t="shared" si="67"/>
        <v>1</v>
      </c>
      <c r="DB108">
        <f t="shared" si="68"/>
        <v>0.32</v>
      </c>
      <c r="DC108">
        <f t="shared" si="69"/>
        <v>0</v>
      </c>
      <c r="DD108" t="s">
        <v>3</v>
      </c>
      <c r="DE108" t="s">
        <v>3</v>
      </c>
      <c r="DF108">
        <f t="shared" si="63"/>
        <v>0</v>
      </c>
      <c r="DG108">
        <f t="shared" si="60"/>
        <v>0</v>
      </c>
      <c r="DH108">
        <f t="shared" si="61"/>
        <v>0</v>
      </c>
      <c r="DI108">
        <f t="shared" si="34"/>
        <v>0</v>
      </c>
      <c r="DJ108">
        <f t="shared" si="70"/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ROW(Source!A101)</f>
        <v>101</v>
      </c>
      <c r="B109">
        <v>56622523</v>
      </c>
      <c r="C109">
        <v>56612099</v>
      </c>
      <c r="D109">
        <v>52048144</v>
      </c>
      <c r="E109">
        <v>1</v>
      </c>
      <c r="F109">
        <v>1</v>
      </c>
      <c r="G109">
        <v>27786564</v>
      </c>
      <c r="H109">
        <v>3</v>
      </c>
      <c r="I109" t="s">
        <v>481</v>
      </c>
      <c r="J109" t="s">
        <v>482</v>
      </c>
      <c r="K109" t="s">
        <v>483</v>
      </c>
      <c r="L109">
        <v>1356</v>
      </c>
      <c r="N109">
        <v>1010</v>
      </c>
      <c r="O109" t="s">
        <v>484</v>
      </c>
      <c r="P109" t="s">
        <v>484</v>
      </c>
      <c r="Q109">
        <v>1000</v>
      </c>
      <c r="W109">
        <v>0</v>
      </c>
      <c r="X109">
        <v>1183006993</v>
      </c>
      <c r="Y109">
        <f t="shared" si="64"/>
        <v>4.0000000000000001E-3</v>
      </c>
      <c r="AA109">
        <v>226.68</v>
      </c>
      <c r="AB109">
        <v>0</v>
      </c>
      <c r="AC109">
        <v>0</v>
      </c>
      <c r="AD109">
        <v>0</v>
      </c>
      <c r="AE109">
        <v>226.68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4.0000000000000001E-3</v>
      </c>
      <c r="AU109" t="s">
        <v>42</v>
      </c>
      <c r="AV109">
        <v>0</v>
      </c>
      <c r="AW109">
        <v>2</v>
      </c>
      <c r="AX109">
        <v>56612119</v>
      </c>
      <c r="AY109">
        <v>1</v>
      </c>
      <c r="AZ109">
        <v>0</v>
      </c>
      <c r="BA109">
        <v>153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ROUND(Y109*Source!I101,9)</f>
        <v>0</v>
      </c>
      <c r="CY109">
        <f t="shared" si="65"/>
        <v>226.68</v>
      </c>
      <c r="CZ109">
        <f t="shared" si="66"/>
        <v>226.68</v>
      </c>
      <c r="DA109">
        <f t="shared" si="67"/>
        <v>1</v>
      </c>
      <c r="DB109">
        <f t="shared" si="68"/>
        <v>0.91</v>
      </c>
      <c r="DC109">
        <f t="shared" si="69"/>
        <v>0</v>
      </c>
      <c r="DD109" t="s">
        <v>3</v>
      </c>
      <c r="DE109" t="s">
        <v>3</v>
      </c>
      <c r="DF109">
        <f t="shared" si="63"/>
        <v>0</v>
      </c>
      <c r="DG109">
        <f t="shared" si="60"/>
        <v>0</v>
      </c>
      <c r="DH109">
        <f t="shared" si="61"/>
        <v>0</v>
      </c>
      <c r="DI109">
        <f t="shared" si="34"/>
        <v>0</v>
      </c>
      <c r="DJ109">
        <f t="shared" si="70"/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ROW(Source!A101)</f>
        <v>101</v>
      </c>
      <c r="B110">
        <v>56622523</v>
      </c>
      <c r="C110">
        <v>56612099</v>
      </c>
      <c r="D110">
        <v>46735506</v>
      </c>
      <c r="E110">
        <v>1</v>
      </c>
      <c r="F110">
        <v>1</v>
      </c>
      <c r="G110">
        <v>27786564</v>
      </c>
      <c r="H110">
        <v>3</v>
      </c>
      <c r="I110" t="s">
        <v>485</v>
      </c>
      <c r="J110" t="s">
        <v>486</v>
      </c>
      <c r="K110" t="s">
        <v>487</v>
      </c>
      <c r="L110">
        <v>1301</v>
      </c>
      <c r="N110">
        <v>1003</v>
      </c>
      <c r="O110" t="s">
        <v>56</v>
      </c>
      <c r="P110" t="s">
        <v>56</v>
      </c>
      <c r="Q110">
        <v>1</v>
      </c>
      <c r="W110">
        <v>0</v>
      </c>
      <c r="X110">
        <v>1159735927</v>
      </c>
      <c r="Y110">
        <f t="shared" si="64"/>
        <v>0.96</v>
      </c>
      <c r="AA110">
        <v>0.7</v>
      </c>
      <c r="AB110">
        <v>0</v>
      </c>
      <c r="AC110">
        <v>0</v>
      </c>
      <c r="AD110">
        <v>0</v>
      </c>
      <c r="AE110">
        <v>0.7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0.96</v>
      </c>
      <c r="AU110" t="s">
        <v>42</v>
      </c>
      <c r="AV110">
        <v>0</v>
      </c>
      <c r="AW110">
        <v>2</v>
      </c>
      <c r="AX110">
        <v>56612120</v>
      </c>
      <c r="AY110">
        <v>1</v>
      </c>
      <c r="AZ110">
        <v>0</v>
      </c>
      <c r="BA110">
        <v>154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ROUND(Y110*Source!I101,9)</f>
        <v>0</v>
      </c>
      <c r="CY110">
        <f t="shared" si="65"/>
        <v>0.7</v>
      </c>
      <c r="CZ110">
        <f t="shared" si="66"/>
        <v>0.7</v>
      </c>
      <c r="DA110">
        <f t="shared" si="67"/>
        <v>1</v>
      </c>
      <c r="DB110">
        <f t="shared" si="68"/>
        <v>0.67</v>
      </c>
      <c r="DC110">
        <f t="shared" si="69"/>
        <v>0</v>
      </c>
      <c r="DD110" t="s">
        <v>3</v>
      </c>
      <c r="DE110" t="s">
        <v>3</v>
      </c>
      <c r="DF110">
        <f t="shared" si="63"/>
        <v>0</v>
      </c>
      <c r="DG110">
        <f t="shared" si="60"/>
        <v>0</v>
      </c>
      <c r="DH110">
        <f t="shared" si="61"/>
        <v>0</v>
      </c>
      <c r="DI110">
        <f t="shared" si="34"/>
        <v>0</v>
      </c>
      <c r="DJ110">
        <f t="shared" si="70"/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ROW(Source!A101)</f>
        <v>101</v>
      </c>
      <c r="B111">
        <v>56622523</v>
      </c>
      <c r="C111">
        <v>56612099</v>
      </c>
      <c r="D111">
        <v>46735508</v>
      </c>
      <c r="E111">
        <v>1</v>
      </c>
      <c r="F111">
        <v>1</v>
      </c>
      <c r="G111">
        <v>27786564</v>
      </c>
      <c r="H111">
        <v>3</v>
      </c>
      <c r="I111" t="s">
        <v>488</v>
      </c>
      <c r="J111" t="s">
        <v>489</v>
      </c>
      <c r="K111" t="s">
        <v>490</v>
      </c>
      <c r="L111">
        <v>1356</v>
      </c>
      <c r="N111">
        <v>1010</v>
      </c>
      <c r="O111" t="s">
        <v>484</v>
      </c>
      <c r="P111" t="s">
        <v>484</v>
      </c>
      <c r="Q111">
        <v>1000</v>
      </c>
      <c r="W111">
        <v>0</v>
      </c>
      <c r="X111">
        <v>1674776227</v>
      </c>
      <c r="Y111">
        <f t="shared" si="64"/>
        <v>8.3199999999999993E-3</v>
      </c>
      <c r="AA111">
        <v>6.44</v>
      </c>
      <c r="AB111">
        <v>0</v>
      </c>
      <c r="AC111">
        <v>0</v>
      </c>
      <c r="AD111">
        <v>0</v>
      </c>
      <c r="AE111">
        <v>6.44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8.3199999999999993E-3</v>
      </c>
      <c r="AU111" t="s">
        <v>42</v>
      </c>
      <c r="AV111">
        <v>0</v>
      </c>
      <c r="AW111">
        <v>2</v>
      </c>
      <c r="AX111">
        <v>56612121</v>
      </c>
      <c r="AY111">
        <v>1</v>
      </c>
      <c r="AZ111">
        <v>0</v>
      </c>
      <c r="BA111">
        <v>155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ROUND(Y111*Source!I101,9)</f>
        <v>0</v>
      </c>
      <c r="CY111">
        <f t="shared" si="65"/>
        <v>6.44</v>
      </c>
      <c r="CZ111">
        <f t="shared" si="66"/>
        <v>6.44</v>
      </c>
      <c r="DA111">
        <f t="shared" si="67"/>
        <v>1</v>
      </c>
      <c r="DB111">
        <f t="shared" si="68"/>
        <v>0.05</v>
      </c>
      <c r="DC111">
        <f t="shared" si="69"/>
        <v>0</v>
      </c>
      <c r="DD111" t="s">
        <v>3</v>
      </c>
      <c r="DE111" t="s">
        <v>3</v>
      </c>
      <c r="DF111">
        <f t="shared" si="63"/>
        <v>0</v>
      </c>
      <c r="DG111">
        <f t="shared" si="60"/>
        <v>0</v>
      </c>
      <c r="DH111">
        <f t="shared" si="61"/>
        <v>0</v>
      </c>
      <c r="DI111">
        <f t="shared" si="34"/>
        <v>0</v>
      </c>
      <c r="DJ111">
        <f t="shared" si="70"/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ROW(Source!A102)</f>
        <v>102</v>
      </c>
      <c r="B112">
        <v>56611490</v>
      </c>
      <c r="C112">
        <v>56612099</v>
      </c>
      <c r="D112">
        <v>47634407</v>
      </c>
      <c r="E112">
        <v>27786564</v>
      </c>
      <c r="F112">
        <v>1</v>
      </c>
      <c r="G112">
        <v>27786564</v>
      </c>
      <c r="H112">
        <v>1</v>
      </c>
      <c r="I112" t="s">
        <v>438</v>
      </c>
      <c r="J112" t="s">
        <v>3</v>
      </c>
      <c r="K112" t="s">
        <v>439</v>
      </c>
      <c r="L112">
        <v>1191</v>
      </c>
      <c r="N112">
        <v>1013</v>
      </c>
      <c r="O112" t="s">
        <v>440</v>
      </c>
      <c r="P112" t="s">
        <v>440</v>
      </c>
      <c r="Q112">
        <v>1</v>
      </c>
      <c r="W112">
        <v>0</v>
      </c>
      <c r="X112">
        <v>476480486</v>
      </c>
      <c r="Y112">
        <f>((AT112*1.1)*1.2)</f>
        <v>9.4247999999999994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7.14</v>
      </c>
      <c r="AU112" t="s">
        <v>70</v>
      </c>
      <c r="AV112">
        <v>1</v>
      </c>
      <c r="AW112">
        <v>2</v>
      </c>
      <c r="AX112">
        <v>56612111</v>
      </c>
      <c r="AY112">
        <v>1</v>
      </c>
      <c r="AZ112">
        <v>0</v>
      </c>
      <c r="BA112">
        <v>158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U112">
        <f>ROUND(AT112*Source!I102*AH112*AL112,2)</f>
        <v>0</v>
      </c>
      <c r="CV112">
        <f>ROUND(Y112*Source!I102,9)</f>
        <v>0</v>
      </c>
      <c r="CW112">
        <v>0</v>
      </c>
      <c r="CX112">
        <f>ROUND(Y112*Source!I102,9)</f>
        <v>0</v>
      </c>
      <c r="CY112">
        <f>AD112</f>
        <v>0</v>
      </c>
      <c r="CZ112">
        <f>AH112</f>
        <v>0</v>
      </c>
      <c r="DA112">
        <f>AL112</f>
        <v>1</v>
      </c>
      <c r="DB112">
        <f>ROUND(((ROUND(AT112*CZ112,2)*1.1)*1.2),6)</f>
        <v>0</v>
      </c>
      <c r="DC112">
        <f>ROUND(((ROUND(AT112*AG112,2)*1.1)*1.2),6)</f>
        <v>0</v>
      </c>
      <c r="DD112" t="s">
        <v>3</v>
      </c>
      <c r="DE112" t="s">
        <v>3</v>
      </c>
      <c r="DF112">
        <f t="shared" si="63"/>
        <v>0</v>
      </c>
      <c r="DG112">
        <f t="shared" si="60"/>
        <v>0</v>
      </c>
      <c r="DH112">
        <f t="shared" si="61"/>
        <v>0</v>
      </c>
      <c r="DI112">
        <f t="shared" si="34"/>
        <v>0</v>
      </c>
      <c r="DJ112">
        <f>DI112</f>
        <v>0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ROW(Source!A102)</f>
        <v>102</v>
      </c>
      <c r="B113">
        <v>56611490</v>
      </c>
      <c r="C113">
        <v>56612099</v>
      </c>
      <c r="D113">
        <v>47767106</v>
      </c>
      <c r="E113">
        <v>1</v>
      </c>
      <c r="F113">
        <v>1</v>
      </c>
      <c r="G113">
        <v>27786564</v>
      </c>
      <c r="H113">
        <v>2</v>
      </c>
      <c r="I113" t="s">
        <v>460</v>
      </c>
      <c r="J113" t="s">
        <v>461</v>
      </c>
      <c r="K113" t="s">
        <v>462</v>
      </c>
      <c r="L113">
        <v>1368</v>
      </c>
      <c r="N113">
        <v>1011</v>
      </c>
      <c r="O113" t="s">
        <v>444</v>
      </c>
      <c r="P113" t="s">
        <v>444</v>
      </c>
      <c r="Q113">
        <v>1</v>
      </c>
      <c r="W113">
        <v>0</v>
      </c>
      <c r="X113">
        <v>-7781208</v>
      </c>
      <c r="Y113">
        <f>((AT113*1.1)*1.2)</f>
        <v>0.64680000000000004</v>
      </c>
      <c r="AA113">
        <v>0</v>
      </c>
      <c r="AB113">
        <v>1140.27</v>
      </c>
      <c r="AC113">
        <v>464.7</v>
      </c>
      <c r="AD113">
        <v>0</v>
      </c>
      <c r="AE113">
        <v>0</v>
      </c>
      <c r="AF113">
        <v>83.1</v>
      </c>
      <c r="AG113">
        <v>12.62</v>
      </c>
      <c r="AH113">
        <v>0</v>
      </c>
      <c r="AI113">
        <v>1</v>
      </c>
      <c r="AJ113">
        <v>12.86</v>
      </c>
      <c r="AK113">
        <v>34.51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0.49</v>
      </c>
      <c r="AU113" t="s">
        <v>70</v>
      </c>
      <c r="AV113">
        <v>0</v>
      </c>
      <c r="AW113">
        <v>2</v>
      </c>
      <c r="AX113">
        <v>56612112</v>
      </c>
      <c r="AY113">
        <v>1</v>
      </c>
      <c r="AZ113">
        <v>0</v>
      </c>
      <c r="BA113">
        <v>159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ROUND(Y113*Source!I102*DO113,9)</f>
        <v>0</v>
      </c>
      <c r="CX113">
        <f>ROUND(Y113*Source!I102,9)</f>
        <v>0</v>
      </c>
      <c r="CY113">
        <f>AB113</f>
        <v>1140.27</v>
      </c>
      <c r="CZ113">
        <f>AF113</f>
        <v>83.1</v>
      </c>
      <c r="DA113">
        <f>AJ113</f>
        <v>12.86</v>
      </c>
      <c r="DB113">
        <f>ROUND(((ROUND(AT113*CZ113,2)*1.1)*1.2),6)</f>
        <v>53.750399999999999</v>
      </c>
      <c r="DC113">
        <f>ROUND(((ROUND(AT113*AG113,2)*1.1)*1.2),6)</f>
        <v>8.1576000000000004</v>
      </c>
      <c r="DD113" t="s">
        <v>3</v>
      </c>
      <c r="DE113" t="s">
        <v>3</v>
      </c>
      <c r="DF113">
        <f t="shared" si="63"/>
        <v>0</v>
      </c>
      <c r="DG113">
        <f>ROUND(ROUND(AF113*AJ113,2)*CX113,2)</f>
        <v>0</v>
      </c>
      <c r="DH113">
        <f>ROUND(ROUND(AG113*AK113,2)*CX113,2)</f>
        <v>0</v>
      </c>
      <c r="DI113">
        <f t="shared" si="34"/>
        <v>0</v>
      </c>
      <c r="DJ113">
        <f>DG113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ROW(Source!A102)</f>
        <v>102</v>
      </c>
      <c r="B114">
        <v>56611490</v>
      </c>
      <c r="C114">
        <v>56612099</v>
      </c>
      <c r="D114">
        <v>47766535</v>
      </c>
      <c r="E114">
        <v>1</v>
      </c>
      <c r="F114">
        <v>1</v>
      </c>
      <c r="G114">
        <v>27786564</v>
      </c>
      <c r="H114">
        <v>2</v>
      </c>
      <c r="I114" t="s">
        <v>463</v>
      </c>
      <c r="J114" t="s">
        <v>464</v>
      </c>
      <c r="K114" t="s">
        <v>465</v>
      </c>
      <c r="L114">
        <v>1368</v>
      </c>
      <c r="N114">
        <v>1011</v>
      </c>
      <c r="O114" t="s">
        <v>444</v>
      </c>
      <c r="P114" t="s">
        <v>444</v>
      </c>
      <c r="Q114">
        <v>1</v>
      </c>
      <c r="W114">
        <v>0</v>
      </c>
      <c r="X114">
        <v>-1386352920</v>
      </c>
      <c r="Y114">
        <f>((AT114*1.1)*1.2)</f>
        <v>2.1515999999999997</v>
      </c>
      <c r="AA114">
        <v>0</v>
      </c>
      <c r="AB114">
        <v>21.34</v>
      </c>
      <c r="AC114">
        <v>0</v>
      </c>
      <c r="AD114">
        <v>0</v>
      </c>
      <c r="AE114">
        <v>0</v>
      </c>
      <c r="AF114">
        <v>2.27</v>
      </c>
      <c r="AG114">
        <v>0</v>
      </c>
      <c r="AH114">
        <v>0</v>
      </c>
      <c r="AI114">
        <v>1</v>
      </c>
      <c r="AJ114">
        <v>8.81</v>
      </c>
      <c r="AK114">
        <v>34.51</v>
      </c>
      <c r="AL114">
        <v>1</v>
      </c>
      <c r="AM114">
        <v>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1.63</v>
      </c>
      <c r="AU114" t="s">
        <v>70</v>
      </c>
      <c r="AV114">
        <v>0</v>
      </c>
      <c r="AW114">
        <v>2</v>
      </c>
      <c r="AX114">
        <v>56612113</v>
      </c>
      <c r="AY114">
        <v>1</v>
      </c>
      <c r="AZ114">
        <v>0</v>
      </c>
      <c r="BA114">
        <v>160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f>ROUND(Y114*Source!I102*DO114,9)</f>
        <v>0</v>
      </c>
      <c r="CX114">
        <f>ROUND(Y114*Source!I102,9)</f>
        <v>0</v>
      </c>
      <c r="CY114">
        <f>AB114</f>
        <v>21.34</v>
      </c>
      <c r="CZ114">
        <f>AF114</f>
        <v>2.27</v>
      </c>
      <c r="DA114">
        <f>AJ114</f>
        <v>8.81</v>
      </c>
      <c r="DB114">
        <f>ROUND(((ROUND(AT114*CZ114,2)*1.1)*1.2),6)</f>
        <v>4.8840000000000003</v>
      </c>
      <c r="DC114">
        <f>ROUND(((ROUND(AT114*AG114,2)*1.1)*1.2),6)</f>
        <v>0</v>
      </c>
      <c r="DD114" t="s">
        <v>3</v>
      </c>
      <c r="DE114" t="s">
        <v>3</v>
      </c>
      <c r="DF114">
        <f t="shared" si="63"/>
        <v>0</v>
      </c>
      <c r="DG114">
        <f>ROUND(ROUND(AF114*AJ114,2)*CX114,2)</f>
        <v>0</v>
      </c>
      <c r="DH114">
        <f>ROUND(ROUND(AG114*AK114,2)*CX114,2)</f>
        <v>0</v>
      </c>
      <c r="DI114">
        <f t="shared" si="34"/>
        <v>0</v>
      </c>
      <c r="DJ114">
        <f>DG114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ROW(Source!A102)</f>
        <v>102</v>
      </c>
      <c r="B115">
        <v>56611490</v>
      </c>
      <c r="C115">
        <v>56612099</v>
      </c>
      <c r="D115">
        <v>47766545</v>
      </c>
      <c r="E115">
        <v>1</v>
      </c>
      <c r="F115">
        <v>1</v>
      </c>
      <c r="G115">
        <v>27786564</v>
      </c>
      <c r="H115">
        <v>2</v>
      </c>
      <c r="I115" t="s">
        <v>466</v>
      </c>
      <c r="J115" t="s">
        <v>467</v>
      </c>
      <c r="K115" t="s">
        <v>468</v>
      </c>
      <c r="L115">
        <v>1368</v>
      </c>
      <c r="N115">
        <v>1011</v>
      </c>
      <c r="O115" t="s">
        <v>444</v>
      </c>
      <c r="P115" t="s">
        <v>444</v>
      </c>
      <c r="Q115">
        <v>1</v>
      </c>
      <c r="W115">
        <v>0</v>
      </c>
      <c r="X115">
        <v>1766156404</v>
      </c>
      <c r="Y115">
        <f>((AT115*1.1)*1.2)</f>
        <v>2.1515999999999997</v>
      </c>
      <c r="AA115">
        <v>0</v>
      </c>
      <c r="AB115">
        <v>6.51</v>
      </c>
      <c r="AC115">
        <v>0</v>
      </c>
      <c r="AD115">
        <v>0</v>
      </c>
      <c r="AE115">
        <v>0</v>
      </c>
      <c r="AF115">
        <v>0.73</v>
      </c>
      <c r="AG115">
        <v>0</v>
      </c>
      <c r="AH115">
        <v>0</v>
      </c>
      <c r="AI115">
        <v>1</v>
      </c>
      <c r="AJ115">
        <v>8.36</v>
      </c>
      <c r="AK115">
        <v>34.51</v>
      </c>
      <c r="AL115">
        <v>1</v>
      </c>
      <c r="AM115">
        <v>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1.63</v>
      </c>
      <c r="AU115" t="s">
        <v>70</v>
      </c>
      <c r="AV115">
        <v>0</v>
      </c>
      <c r="AW115">
        <v>2</v>
      </c>
      <c r="AX115">
        <v>56612114</v>
      </c>
      <c r="AY115">
        <v>1</v>
      </c>
      <c r="AZ115">
        <v>0</v>
      </c>
      <c r="BA115">
        <v>161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f>ROUND(Y115*Source!I102*DO115,9)</f>
        <v>0</v>
      </c>
      <c r="CX115">
        <f>ROUND(Y115*Source!I102,9)</f>
        <v>0</v>
      </c>
      <c r="CY115">
        <f>AB115</f>
        <v>6.51</v>
      </c>
      <c r="CZ115">
        <f>AF115</f>
        <v>0.73</v>
      </c>
      <c r="DA115">
        <f>AJ115</f>
        <v>8.36</v>
      </c>
      <c r="DB115">
        <f>ROUND(((ROUND(AT115*CZ115,2)*1.1)*1.2),6)</f>
        <v>1.5708</v>
      </c>
      <c r="DC115">
        <f>ROUND(((ROUND(AT115*AG115,2)*1.1)*1.2),6)</f>
        <v>0</v>
      </c>
      <c r="DD115" t="s">
        <v>3</v>
      </c>
      <c r="DE115" t="s">
        <v>3</v>
      </c>
      <c r="DF115">
        <f t="shared" si="63"/>
        <v>0</v>
      </c>
      <c r="DG115">
        <f>ROUND(ROUND(AF115*AJ115,2)*CX115,2)</f>
        <v>0</v>
      </c>
      <c r="DH115">
        <f>ROUND(ROUND(AG115*AK115,2)*CX115,2)</f>
        <v>0</v>
      </c>
      <c r="DI115">
        <f t="shared" si="34"/>
        <v>0</v>
      </c>
      <c r="DJ115">
        <f>DG115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ROW(Source!A102)</f>
        <v>102</v>
      </c>
      <c r="B116">
        <v>56611490</v>
      </c>
      <c r="C116">
        <v>56612099</v>
      </c>
      <c r="D116">
        <v>46723498</v>
      </c>
      <c r="E116">
        <v>1</v>
      </c>
      <c r="F116">
        <v>1</v>
      </c>
      <c r="G116">
        <v>27786564</v>
      </c>
      <c r="H116">
        <v>3</v>
      </c>
      <c r="I116" t="s">
        <v>469</v>
      </c>
      <c r="J116" t="s">
        <v>470</v>
      </c>
      <c r="K116" t="s">
        <v>471</v>
      </c>
      <c r="L116">
        <v>1348</v>
      </c>
      <c r="N116">
        <v>1009</v>
      </c>
      <c r="O116" t="s">
        <v>330</v>
      </c>
      <c r="P116" t="s">
        <v>330</v>
      </c>
      <c r="Q116">
        <v>1000</v>
      </c>
      <c r="W116">
        <v>0</v>
      </c>
      <c r="X116">
        <v>975641442</v>
      </c>
      <c r="Y116">
        <f t="shared" ref="Y116:Y122" si="71">(AT116*1)</f>
        <v>6.0000000000000002E-5</v>
      </c>
      <c r="AA116">
        <v>83856.09</v>
      </c>
      <c r="AB116">
        <v>0</v>
      </c>
      <c r="AC116">
        <v>0</v>
      </c>
      <c r="AD116">
        <v>0</v>
      </c>
      <c r="AE116">
        <v>11242.42</v>
      </c>
      <c r="AF116">
        <v>0</v>
      </c>
      <c r="AG116">
        <v>0</v>
      </c>
      <c r="AH116">
        <v>0</v>
      </c>
      <c r="AI116">
        <v>6.9</v>
      </c>
      <c r="AJ116">
        <v>1</v>
      </c>
      <c r="AK116">
        <v>1</v>
      </c>
      <c r="AL116">
        <v>1</v>
      </c>
      <c r="AM116">
        <v>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6.0000000000000002E-5</v>
      </c>
      <c r="AU116" t="s">
        <v>42</v>
      </c>
      <c r="AV116">
        <v>0</v>
      </c>
      <c r="AW116">
        <v>2</v>
      </c>
      <c r="AX116">
        <v>56612115</v>
      </c>
      <c r="AY116">
        <v>1</v>
      </c>
      <c r="AZ116">
        <v>0</v>
      </c>
      <c r="BA116">
        <v>162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ROUND(Y116*Source!I102,9)</f>
        <v>0</v>
      </c>
      <c r="CY116">
        <f t="shared" ref="CY116:CY122" si="72">AA116</f>
        <v>83856.09</v>
      </c>
      <c r="CZ116">
        <f t="shared" ref="CZ116:CZ122" si="73">AE116</f>
        <v>11242.42</v>
      </c>
      <c r="DA116">
        <f t="shared" ref="DA116:DA122" si="74">AI116</f>
        <v>6.9</v>
      </c>
      <c r="DB116">
        <f t="shared" ref="DB116:DB122" si="75">ROUND((ROUND(AT116*CZ116,2)*1),6)</f>
        <v>0.67</v>
      </c>
      <c r="DC116">
        <f t="shared" ref="DC116:DC122" si="76">ROUND((ROUND(AT116*AG116,2)*1),6)</f>
        <v>0</v>
      </c>
      <c r="DD116" t="s">
        <v>3</v>
      </c>
      <c r="DE116" t="s">
        <v>3</v>
      </c>
      <c r="DF116">
        <f t="shared" ref="DF116:DF122" si="77">ROUND(ROUND(AE116*AI116,2)*CX116,2)</f>
        <v>0</v>
      </c>
      <c r="DG116">
        <f t="shared" ref="DG116:DG127" si="78">ROUND(ROUND(AF116,2)*CX116,2)</f>
        <v>0</v>
      </c>
      <c r="DH116">
        <f t="shared" ref="DH116:DH127" si="79">ROUND(ROUND(AG116,2)*CX116,2)</f>
        <v>0</v>
      </c>
      <c r="DI116">
        <f t="shared" si="34"/>
        <v>0</v>
      </c>
      <c r="DJ116">
        <f t="shared" ref="DJ116:DJ122" si="80">DF116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ROW(Source!A102)</f>
        <v>102</v>
      </c>
      <c r="B117">
        <v>56611490</v>
      </c>
      <c r="C117">
        <v>56612099</v>
      </c>
      <c r="D117">
        <v>45796980</v>
      </c>
      <c r="E117">
        <v>1</v>
      </c>
      <c r="F117">
        <v>1</v>
      </c>
      <c r="G117">
        <v>27786564</v>
      </c>
      <c r="H117">
        <v>3</v>
      </c>
      <c r="I117" t="s">
        <v>472</v>
      </c>
      <c r="J117" t="s">
        <v>473</v>
      </c>
      <c r="K117" t="s">
        <v>474</v>
      </c>
      <c r="L117">
        <v>1346</v>
      </c>
      <c r="N117">
        <v>1009</v>
      </c>
      <c r="O117" t="s">
        <v>104</v>
      </c>
      <c r="P117" t="s">
        <v>104</v>
      </c>
      <c r="Q117">
        <v>1</v>
      </c>
      <c r="W117">
        <v>0</v>
      </c>
      <c r="X117">
        <v>1533725368</v>
      </c>
      <c r="Y117">
        <f t="shared" si="71"/>
        <v>0.8</v>
      </c>
      <c r="AA117">
        <v>211.96</v>
      </c>
      <c r="AB117">
        <v>0</v>
      </c>
      <c r="AC117">
        <v>0</v>
      </c>
      <c r="AD117">
        <v>0</v>
      </c>
      <c r="AE117">
        <v>25.8</v>
      </c>
      <c r="AF117">
        <v>0</v>
      </c>
      <c r="AG117">
        <v>0</v>
      </c>
      <c r="AH117">
        <v>0</v>
      </c>
      <c r="AI117">
        <v>7.6</v>
      </c>
      <c r="AJ117">
        <v>1</v>
      </c>
      <c r="AK117">
        <v>1</v>
      </c>
      <c r="AL117">
        <v>1</v>
      </c>
      <c r="AM117">
        <v>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0.8</v>
      </c>
      <c r="AU117" t="s">
        <v>42</v>
      </c>
      <c r="AV117">
        <v>0</v>
      </c>
      <c r="AW117">
        <v>2</v>
      </c>
      <c r="AX117">
        <v>56612116</v>
      </c>
      <c r="AY117">
        <v>1</v>
      </c>
      <c r="AZ117">
        <v>0</v>
      </c>
      <c r="BA117">
        <v>163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ROUND(Y117*Source!I102,9)</f>
        <v>0</v>
      </c>
      <c r="CY117">
        <f t="shared" si="72"/>
        <v>211.96</v>
      </c>
      <c r="CZ117">
        <f t="shared" si="73"/>
        <v>25.8</v>
      </c>
      <c r="DA117">
        <f t="shared" si="74"/>
        <v>7.6</v>
      </c>
      <c r="DB117">
        <f t="shared" si="75"/>
        <v>20.64</v>
      </c>
      <c r="DC117">
        <f t="shared" si="76"/>
        <v>0</v>
      </c>
      <c r="DD117" t="s">
        <v>3</v>
      </c>
      <c r="DE117" t="s">
        <v>3</v>
      </c>
      <c r="DF117">
        <f t="shared" si="77"/>
        <v>0</v>
      </c>
      <c r="DG117">
        <f t="shared" si="78"/>
        <v>0</v>
      </c>
      <c r="DH117">
        <f t="shared" si="79"/>
        <v>0</v>
      </c>
      <c r="DI117">
        <f t="shared" si="34"/>
        <v>0</v>
      </c>
      <c r="DJ117">
        <f t="shared" si="80"/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ROW(Source!A102)</f>
        <v>102</v>
      </c>
      <c r="B118">
        <v>56611490</v>
      </c>
      <c r="C118">
        <v>56612099</v>
      </c>
      <c r="D118">
        <v>46723689</v>
      </c>
      <c r="E118">
        <v>1</v>
      </c>
      <c r="F118">
        <v>1</v>
      </c>
      <c r="G118">
        <v>27786564</v>
      </c>
      <c r="H118">
        <v>3</v>
      </c>
      <c r="I118" t="s">
        <v>475</v>
      </c>
      <c r="J118" t="s">
        <v>476</v>
      </c>
      <c r="K118" t="s">
        <v>477</v>
      </c>
      <c r="L118">
        <v>1348</v>
      </c>
      <c r="N118">
        <v>1009</v>
      </c>
      <c r="O118" t="s">
        <v>330</v>
      </c>
      <c r="P118" t="s">
        <v>330</v>
      </c>
      <c r="Q118">
        <v>1000</v>
      </c>
      <c r="W118">
        <v>0</v>
      </c>
      <c r="X118">
        <v>-1817633629</v>
      </c>
      <c r="Y118">
        <f t="shared" si="71"/>
        <v>5.0000000000000001E-4</v>
      </c>
      <c r="AA118">
        <v>1617949.24</v>
      </c>
      <c r="AB118">
        <v>0</v>
      </c>
      <c r="AC118">
        <v>0</v>
      </c>
      <c r="AD118">
        <v>0</v>
      </c>
      <c r="AE118">
        <v>60966</v>
      </c>
      <c r="AF118">
        <v>0</v>
      </c>
      <c r="AG118">
        <v>0</v>
      </c>
      <c r="AH118">
        <v>0</v>
      </c>
      <c r="AI118">
        <v>24.55</v>
      </c>
      <c r="AJ118">
        <v>1</v>
      </c>
      <c r="AK118">
        <v>1</v>
      </c>
      <c r="AL118">
        <v>1</v>
      </c>
      <c r="AM118">
        <v>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5.0000000000000001E-4</v>
      </c>
      <c r="AU118" t="s">
        <v>42</v>
      </c>
      <c r="AV118">
        <v>0</v>
      </c>
      <c r="AW118">
        <v>2</v>
      </c>
      <c r="AX118">
        <v>56612117</v>
      </c>
      <c r="AY118">
        <v>1</v>
      </c>
      <c r="AZ118">
        <v>0</v>
      </c>
      <c r="BA118">
        <v>164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ROUND(Y118*Source!I102,9)</f>
        <v>0</v>
      </c>
      <c r="CY118">
        <f t="shared" si="72"/>
        <v>1617949.24</v>
      </c>
      <c r="CZ118">
        <f t="shared" si="73"/>
        <v>60966</v>
      </c>
      <c r="DA118">
        <f t="shared" si="74"/>
        <v>24.55</v>
      </c>
      <c r="DB118">
        <f t="shared" si="75"/>
        <v>30.48</v>
      </c>
      <c r="DC118">
        <f t="shared" si="76"/>
        <v>0</v>
      </c>
      <c r="DD118" t="s">
        <v>3</v>
      </c>
      <c r="DE118" t="s">
        <v>3</v>
      </c>
      <c r="DF118">
        <f t="shared" si="77"/>
        <v>0</v>
      </c>
      <c r="DG118">
        <f t="shared" si="78"/>
        <v>0</v>
      </c>
      <c r="DH118">
        <f t="shared" si="79"/>
        <v>0</v>
      </c>
      <c r="DI118">
        <f t="shared" si="34"/>
        <v>0</v>
      </c>
      <c r="DJ118">
        <f t="shared" si="80"/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ROW(Source!A102)</f>
        <v>102</v>
      </c>
      <c r="B119">
        <v>56611490</v>
      </c>
      <c r="C119">
        <v>56612099</v>
      </c>
      <c r="D119">
        <v>46723704</v>
      </c>
      <c r="E119">
        <v>1</v>
      </c>
      <c r="F119">
        <v>1</v>
      </c>
      <c r="G119">
        <v>27786564</v>
      </c>
      <c r="H119">
        <v>3</v>
      </c>
      <c r="I119" t="s">
        <v>478</v>
      </c>
      <c r="J119" t="s">
        <v>479</v>
      </c>
      <c r="K119" t="s">
        <v>480</v>
      </c>
      <c r="L119">
        <v>1348</v>
      </c>
      <c r="N119">
        <v>1009</v>
      </c>
      <c r="O119" t="s">
        <v>330</v>
      </c>
      <c r="P119" t="s">
        <v>330</v>
      </c>
      <c r="Q119">
        <v>1000</v>
      </c>
      <c r="W119">
        <v>0</v>
      </c>
      <c r="X119">
        <v>1862018911</v>
      </c>
      <c r="Y119">
        <f t="shared" si="71"/>
        <v>4.0000000000000003E-5</v>
      </c>
      <c r="AA119">
        <v>94661.04</v>
      </c>
      <c r="AB119">
        <v>0</v>
      </c>
      <c r="AC119">
        <v>0</v>
      </c>
      <c r="AD119">
        <v>0</v>
      </c>
      <c r="AE119">
        <v>7982.5</v>
      </c>
      <c r="AF119">
        <v>0</v>
      </c>
      <c r="AG119">
        <v>0</v>
      </c>
      <c r="AH119">
        <v>0</v>
      </c>
      <c r="AI119">
        <v>10.97</v>
      </c>
      <c r="AJ119">
        <v>1</v>
      </c>
      <c r="AK119">
        <v>1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4.0000000000000003E-5</v>
      </c>
      <c r="AU119" t="s">
        <v>42</v>
      </c>
      <c r="AV119">
        <v>0</v>
      </c>
      <c r="AW119">
        <v>2</v>
      </c>
      <c r="AX119">
        <v>56612118</v>
      </c>
      <c r="AY119">
        <v>1</v>
      </c>
      <c r="AZ119">
        <v>0</v>
      </c>
      <c r="BA119">
        <v>165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ROUND(Y119*Source!I102,9)</f>
        <v>0</v>
      </c>
      <c r="CY119">
        <f t="shared" si="72"/>
        <v>94661.04</v>
      </c>
      <c r="CZ119">
        <f t="shared" si="73"/>
        <v>7982.5</v>
      </c>
      <c r="DA119">
        <f t="shared" si="74"/>
        <v>10.97</v>
      </c>
      <c r="DB119">
        <f t="shared" si="75"/>
        <v>0.32</v>
      </c>
      <c r="DC119">
        <f t="shared" si="76"/>
        <v>0</v>
      </c>
      <c r="DD119" t="s">
        <v>3</v>
      </c>
      <c r="DE119" t="s">
        <v>3</v>
      </c>
      <c r="DF119">
        <f t="shared" si="77"/>
        <v>0</v>
      </c>
      <c r="DG119">
        <f t="shared" si="78"/>
        <v>0</v>
      </c>
      <c r="DH119">
        <f t="shared" si="79"/>
        <v>0</v>
      </c>
      <c r="DI119">
        <f t="shared" si="34"/>
        <v>0</v>
      </c>
      <c r="DJ119">
        <f t="shared" si="80"/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ROW(Source!A102)</f>
        <v>102</v>
      </c>
      <c r="B120">
        <v>56611490</v>
      </c>
      <c r="C120">
        <v>56612099</v>
      </c>
      <c r="D120">
        <v>52048144</v>
      </c>
      <c r="E120">
        <v>1</v>
      </c>
      <c r="F120">
        <v>1</v>
      </c>
      <c r="G120">
        <v>27786564</v>
      </c>
      <c r="H120">
        <v>3</v>
      </c>
      <c r="I120" t="s">
        <v>481</v>
      </c>
      <c r="J120" t="s">
        <v>482</v>
      </c>
      <c r="K120" t="s">
        <v>483</v>
      </c>
      <c r="L120">
        <v>1356</v>
      </c>
      <c r="N120">
        <v>1010</v>
      </c>
      <c r="O120" t="s">
        <v>484</v>
      </c>
      <c r="P120" t="s">
        <v>484</v>
      </c>
      <c r="Q120">
        <v>1000</v>
      </c>
      <c r="W120">
        <v>0</v>
      </c>
      <c r="X120">
        <v>1183006993</v>
      </c>
      <c r="Y120">
        <f t="shared" si="71"/>
        <v>4.0000000000000001E-3</v>
      </c>
      <c r="AA120">
        <v>1470.25</v>
      </c>
      <c r="AB120">
        <v>0</v>
      </c>
      <c r="AC120">
        <v>0</v>
      </c>
      <c r="AD120">
        <v>0</v>
      </c>
      <c r="AE120">
        <v>226.68</v>
      </c>
      <c r="AF120">
        <v>0</v>
      </c>
      <c r="AG120">
        <v>0</v>
      </c>
      <c r="AH120">
        <v>0</v>
      </c>
      <c r="AI120">
        <v>6</v>
      </c>
      <c r="AJ120">
        <v>1</v>
      </c>
      <c r="AK120">
        <v>1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4.0000000000000001E-3</v>
      </c>
      <c r="AU120" t="s">
        <v>42</v>
      </c>
      <c r="AV120">
        <v>0</v>
      </c>
      <c r="AW120">
        <v>2</v>
      </c>
      <c r="AX120">
        <v>56612119</v>
      </c>
      <c r="AY120">
        <v>1</v>
      </c>
      <c r="AZ120">
        <v>0</v>
      </c>
      <c r="BA120">
        <v>166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ROUND(Y120*Source!I102,9)</f>
        <v>0</v>
      </c>
      <c r="CY120">
        <f t="shared" si="72"/>
        <v>1470.25</v>
      </c>
      <c r="CZ120">
        <f t="shared" si="73"/>
        <v>226.68</v>
      </c>
      <c r="DA120">
        <f t="shared" si="74"/>
        <v>6</v>
      </c>
      <c r="DB120">
        <f t="shared" si="75"/>
        <v>0.91</v>
      </c>
      <c r="DC120">
        <f t="shared" si="76"/>
        <v>0</v>
      </c>
      <c r="DD120" t="s">
        <v>3</v>
      </c>
      <c r="DE120" t="s">
        <v>3</v>
      </c>
      <c r="DF120">
        <f t="shared" si="77"/>
        <v>0</v>
      </c>
      <c r="DG120">
        <f t="shared" si="78"/>
        <v>0</v>
      </c>
      <c r="DH120">
        <f t="shared" si="79"/>
        <v>0</v>
      </c>
      <c r="DI120">
        <f t="shared" si="34"/>
        <v>0</v>
      </c>
      <c r="DJ120">
        <f t="shared" si="80"/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ROW(Source!A102)</f>
        <v>102</v>
      </c>
      <c r="B121">
        <v>56611490</v>
      </c>
      <c r="C121">
        <v>56612099</v>
      </c>
      <c r="D121">
        <v>46735506</v>
      </c>
      <c r="E121">
        <v>1</v>
      </c>
      <c r="F121">
        <v>1</v>
      </c>
      <c r="G121">
        <v>27786564</v>
      </c>
      <c r="H121">
        <v>3</v>
      </c>
      <c r="I121" t="s">
        <v>485</v>
      </c>
      <c r="J121" t="s">
        <v>486</v>
      </c>
      <c r="K121" t="s">
        <v>487</v>
      </c>
      <c r="L121">
        <v>1301</v>
      </c>
      <c r="N121">
        <v>1003</v>
      </c>
      <c r="O121" t="s">
        <v>56</v>
      </c>
      <c r="P121" t="s">
        <v>56</v>
      </c>
      <c r="Q121">
        <v>1</v>
      </c>
      <c r="W121">
        <v>0</v>
      </c>
      <c r="X121">
        <v>1159735927</v>
      </c>
      <c r="Y121">
        <f t="shared" si="71"/>
        <v>0.96</v>
      </c>
      <c r="AA121">
        <v>5.0999999999999996</v>
      </c>
      <c r="AB121">
        <v>0</v>
      </c>
      <c r="AC121">
        <v>0</v>
      </c>
      <c r="AD121">
        <v>0</v>
      </c>
      <c r="AE121">
        <v>0.7</v>
      </c>
      <c r="AF121">
        <v>0</v>
      </c>
      <c r="AG121">
        <v>0</v>
      </c>
      <c r="AH121">
        <v>0</v>
      </c>
      <c r="AI121">
        <v>6.74</v>
      </c>
      <c r="AJ121">
        <v>1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0.96</v>
      </c>
      <c r="AU121" t="s">
        <v>42</v>
      </c>
      <c r="AV121">
        <v>0</v>
      </c>
      <c r="AW121">
        <v>2</v>
      </c>
      <c r="AX121">
        <v>56612120</v>
      </c>
      <c r="AY121">
        <v>1</v>
      </c>
      <c r="AZ121">
        <v>0</v>
      </c>
      <c r="BA121">
        <v>167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ROUND(Y121*Source!I102,9)</f>
        <v>0</v>
      </c>
      <c r="CY121">
        <f t="shared" si="72"/>
        <v>5.0999999999999996</v>
      </c>
      <c r="CZ121">
        <f t="shared" si="73"/>
        <v>0.7</v>
      </c>
      <c r="DA121">
        <f t="shared" si="74"/>
        <v>6.74</v>
      </c>
      <c r="DB121">
        <f t="shared" si="75"/>
        <v>0.67</v>
      </c>
      <c r="DC121">
        <f t="shared" si="76"/>
        <v>0</v>
      </c>
      <c r="DD121" t="s">
        <v>3</v>
      </c>
      <c r="DE121" t="s">
        <v>3</v>
      </c>
      <c r="DF121">
        <f t="shared" si="77"/>
        <v>0</v>
      </c>
      <c r="DG121">
        <f t="shared" si="78"/>
        <v>0</v>
      </c>
      <c r="DH121">
        <f t="shared" si="79"/>
        <v>0</v>
      </c>
      <c r="DI121">
        <f t="shared" si="34"/>
        <v>0</v>
      </c>
      <c r="DJ121">
        <f t="shared" si="80"/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ROW(Source!A102)</f>
        <v>102</v>
      </c>
      <c r="B122">
        <v>56611490</v>
      </c>
      <c r="C122">
        <v>56612099</v>
      </c>
      <c r="D122">
        <v>46735508</v>
      </c>
      <c r="E122">
        <v>1</v>
      </c>
      <c r="F122">
        <v>1</v>
      </c>
      <c r="G122">
        <v>27786564</v>
      </c>
      <c r="H122">
        <v>3</v>
      </c>
      <c r="I122" t="s">
        <v>488</v>
      </c>
      <c r="J122" t="s">
        <v>489</v>
      </c>
      <c r="K122" t="s">
        <v>490</v>
      </c>
      <c r="L122">
        <v>1356</v>
      </c>
      <c r="N122">
        <v>1010</v>
      </c>
      <c r="O122" t="s">
        <v>484</v>
      </c>
      <c r="P122" t="s">
        <v>484</v>
      </c>
      <c r="Q122">
        <v>1000</v>
      </c>
      <c r="W122">
        <v>0</v>
      </c>
      <c r="X122">
        <v>1674776227</v>
      </c>
      <c r="Y122">
        <f t="shared" si="71"/>
        <v>8.3199999999999993E-3</v>
      </c>
      <c r="AA122">
        <v>229.8</v>
      </c>
      <c r="AB122">
        <v>0</v>
      </c>
      <c r="AC122">
        <v>0</v>
      </c>
      <c r="AD122">
        <v>0</v>
      </c>
      <c r="AE122">
        <v>6.44</v>
      </c>
      <c r="AF122">
        <v>0</v>
      </c>
      <c r="AG122">
        <v>0</v>
      </c>
      <c r="AH122">
        <v>0</v>
      </c>
      <c r="AI122">
        <v>33.01</v>
      </c>
      <c r="AJ122">
        <v>1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8.3199999999999993E-3</v>
      </c>
      <c r="AU122" t="s">
        <v>42</v>
      </c>
      <c r="AV122">
        <v>0</v>
      </c>
      <c r="AW122">
        <v>2</v>
      </c>
      <c r="AX122">
        <v>56612121</v>
      </c>
      <c r="AY122">
        <v>1</v>
      </c>
      <c r="AZ122">
        <v>0</v>
      </c>
      <c r="BA122">
        <v>168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ROUND(Y122*Source!I102,9)</f>
        <v>0</v>
      </c>
      <c r="CY122">
        <f t="shared" si="72"/>
        <v>229.8</v>
      </c>
      <c r="CZ122">
        <f t="shared" si="73"/>
        <v>6.44</v>
      </c>
      <c r="DA122">
        <f t="shared" si="74"/>
        <v>33.01</v>
      </c>
      <c r="DB122">
        <f t="shared" si="75"/>
        <v>0.05</v>
      </c>
      <c r="DC122">
        <f t="shared" si="76"/>
        <v>0</v>
      </c>
      <c r="DD122" t="s">
        <v>3</v>
      </c>
      <c r="DE122" t="s">
        <v>3</v>
      </c>
      <c r="DF122">
        <f t="shared" si="77"/>
        <v>0</v>
      </c>
      <c r="DG122">
        <f t="shared" si="78"/>
        <v>0</v>
      </c>
      <c r="DH122">
        <f t="shared" si="79"/>
        <v>0</v>
      </c>
      <c r="DI122">
        <f t="shared" si="34"/>
        <v>0</v>
      </c>
      <c r="DJ122">
        <f t="shared" si="80"/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ROW(Source!A107)</f>
        <v>107</v>
      </c>
      <c r="B123">
        <v>56622523</v>
      </c>
      <c r="C123">
        <v>56612126</v>
      </c>
      <c r="D123">
        <v>47634407</v>
      </c>
      <c r="E123">
        <v>27786564</v>
      </c>
      <c r="F123">
        <v>1</v>
      </c>
      <c r="G123">
        <v>27786564</v>
      </c>
      <c r="H123">
        <v>1</v>
      </c>
      <c r="I123" t="s">
        <v>438</v>
      </c>
      <c r="J123" t="s">
        <v>3</v>
      </c>
      <c r="K123" t="s">
        <v>439</v>
      </c>
      <c r="L123">
        <v>1191</v>
      </c>
      <c r="N123">
        <v>1013</v>
      </c>
      <c r="O123" t="s">
        <v>440</v>
      </c>
      <c r="P123" t="s">
        <v>440</v>
      </c>
      <c r="Q123">
        <v>1</v>
      </c>
      <c r="W123">
        <v>0</v>
      </c>
      <c r="X123">
        <v>476480486</v>
      </c>
      <c r="Y123">
        <f>((AT123*1.1)*1.2)</f>
        <v>4.0128000000000004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3.04</v>
      </c>
      <c r="AU123" t="s">
        <v>70</v>
      </c>
      <c r="AV123">
        <v>1</v>
      </c>
      <c r="AW123">
        <v>2</v>
      </c>
      <c r="AX123">
        <v>56612131</v>
      </c>
      <c r="AY123">
        <v>1</v>
      </c>
      <c r="AZ123">
        <v>0</v>
      </c>
      <c r="BA123">
        <v>171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ROUND(AT123*Source!I107*AH123*AL123,2)</f>
        <v>0</v>
      </c>
      <c r="CV123">
        <f>ROUND(Y123*Source!I107,9)</f>
        <v>0</v>
      </c>
      <c r="CW123">
        <v>0</v>
      </c>
      <c r="CX123">
        <f>ROUND(Y123*Source!I107,9)</f>
        <v>0</v>
      </c>
      <c r="CY123">
        <f>AD123</f>
        <v>0</v>
      </c>
      <c r="CZ123">
        <f>AH123</f>
        <v>0</v>
      </c>
      <c r="DA123">
        <f>AL123</f>
        <v>1</v>
      </c>
      <c r="DB123">
        <f>ROUND(((ROUND(AT123*CZ123,2)*1.1)*1.2),6)</f>
        <v>0</v>
      </c>
      <c r="DC123">
        <f>ROUND(((ROUND(AT123*AG123,2)*1.1)*1.2),6)</f>
        <v>0</v>
      </c>
      <c r="DD123" t="s">
        <v>3</v>
      </c>
      <c r="DE123" t="s">
        <v>3</v>
      </c>
      <c r="DF123">
        <f t="shared" ref="DF123:DF128" si="81">ROUND(ROUND(AE123,2)*CX123,2)</f>
        <v>0</v>
      </c>
      <c r="DG123">
        <f t="shared" si="78"/>
        <v>0</v>
      </c>
      <c r="DH123">
        <f t="shared" si="79"/>
        <v>0</v>
      </c>
      <c r="DI123">
        <f t="shared" si="34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ROW(Source!A107)</f>
        <v>107</v>
      </c>
      <c r="B124">
        <v>56622523</v>
      </c>
      <c r="C124">
        <v>56612126</v>
      </c>
      <c r="D124">
        <v>47766965</v>
      </c>
      <c r="E124">
        <v>1</v>
      </c>
      <c r="F124">
        <v>1</v>
      </c>
      <c r="G124">
        <v>27786564</v>
      </c>
      <c r="H124">
        <v>2</v>
      </c>
      <c r="I124" t="s">
        <v>491</v>
      </c>
      <c r="J124" t="s">
        <v>492</v>
      </c>
      <c r="K124" t="s">
        <v>493</v>
      </c>
      <c r="L124">
        <v>1368</v>
      </c>
      <c r="N124">
        <v>1011</v>
      </c>
      <c r="O124" t="s">
        <v>444</v>
      </c>
      <c r="P124" t="s">
        <v>444</v>
      </c>
      <c r="Q124">
        <v>1</v>
      </c>
      <c r="W124">
        <v>0</v>
      </c>
      <c r="X124">
        <v>-1515886774</v>
      </c>
      <c r="Y124">
        <f>((AT124*1.1)*1.2)</f>
        <v>0.13200000000000001</v>
      </c>
      <c r="AA124">
        <v>0</v>
      </c>
      <c r="AB124">
        <v>0.12</v>
      </c>
      <c r="AC124">
        <v>0</v>
      </c>
      <c r="AD124">
        <v>0</v>
      </c>
      <c r="AE124">
        <v>0</v>
      </c>
      <c r="AF124">
        <v>0.12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0.1</v>
      </c>
      <c r="AU124" t="s">
        <v>70</v>
      </c>
      <c r="AV124">
        <v>0</v>
      </c>
      <c r="AW124">
        <v>2</v>
      </c>
      <c r="AX124">
        <v>56612132</v>
      </c>
      <c r="AY124">
        <v>1</v>
      </c>
      <c r="AZ124">
        <v>0</v>
      </c>
      <c r="BA124">
        <v>172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ROUND(Y124*Source!I107*DO124,9)</f>
        <v>0</v>
      </c>
      <c r="CX124">
        <f>ROUND(Y124*Source!I107,9)</f>
        <v>0</v>
      </c>
      <c r="CY124">
        <f>AB124</f>
        <v>0.12</v>
      </c>
      <c r="CZ124">
        <f>AF124</f>
        <v>0.12</v>
      </c>
      <c r="DA124">
        <f>AJ124</f>
        <v>1</v>
      </c>
      <c r="DB124">
        <f>ROUND(((ROUND(AT124*CZ124,2)*1.1)*1.2),6)</f>
        <v>1.32E-2</v>
      </c>
      <c r="DC124">
        <f>ROUND(((ROUND(AT124*AG124,2)*1.1)*1.2),6)</f>
        <v>0</v>
      </c>
      <c r="DD124" t="s">
        <v>3</v>
      </c>
      <c r="DE124" t="s">
        <v>3</v>
      </c>
      <c r="DF124">
        <f t="shared" si="81"/>
        <v>0</v>
      </c>
      <c r="DG124">
        <f t="shared" si="78"/>
        <v>0</v>
      </c>
      <c r="DH124">
        <f t="shared" si="79"/>
        <v>0</v>
      </c>
      <c r="DI124">
        <f t="shared" si="34"/>
        <v>0</v>
      </c>
      <c r="DJ124">
        <f>DG124</f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ROW(Source!A107)</f>
        <v>107</v>
      </c>
      <c r="B125">
        <v>56622523</v>
      </c>
      <c r="C125">
        <v>56612126</v>
      </c>
      <c r="D125">
        <v>37620224</v>
      </c>
      <c r="E125">
        <v>1</v>
      </c>
      <c r="F125">
        <v>1</v>
      </c>
      <c r="G125">
        <v>27786564</v>
      </c>
      <c r="H125">
        <v>3</v>
      </c>
      <c r="I125" t="s">
        <v>494</v>
      </c>
      <c r="J125" t="s">
        <v>495</v>
      </c>
      <c r="K125" t="s">
        <v>496</v>
      </c>
      <c r="L125">
        <v>1346</v>
      </c>
      <c r="N125">
        <v>1009</v>
      </c>
      <c r="O125" t="s">
        <v>104</v>
      </c>
      <c r="P125" t="s">
        <v>104</v>
      </c>
      <c r="Q125">
        <v>1</v>
      </c>
      <c r="W125">
        <v>0</v>
      </c>
      <c r="X125">
        <v>-1770684771</v>
      </c>
      <c r="Y125">
        <f>(AT125*1)</f>
        <v>0.312</v>
      </c>
      <c r="AA125">
        <v>6.27</v>
      </c>
      <c r="AB125">
        <v>0</v>
      </c>
      <c r="AC125">
        <v>0</v>
      </c>
      <c r="AD125">
        <v>0</v>
      </c>
      <c r="AE125">
        <v>6.27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0.312</v>
      </c>
      <c r="AU125" t="s">
        <v>42</v>
      </c>
      <c r="AV125">
        <v>0</v>
      </c>
      <c r="AW125">
        <v>2</v>
      </c>
      <c r="AX125">
        <v>56612133</v>
      </c>
      <c r="AY125">
        <v>1</v>
      </c>
      <c r="AZ125">
        <v>0</v>
      </c>
      <c r="BA125">
        <v>173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ROUND(Y125*Source!I107,9)</f>
        <v>0</v>
      </c>
      <c r="CY125">
        <f>AA125</f>
        <v>6.27</v>
      </c>
      <c r="CZ125">
        <f>AE125</f>
        <v>6.27</v>
      </c>
      <c r="DA125">
        <f>AI125</f>
        <v>1</v>
      </c>
      <c r="DB125">
        <f>ROUND((ROUND(AT125*CZ125,2)*1),6)</f>
        <v>1.96</v>
      </c>
      <c r="DC125">
        <f>ROUND((ROUND(AT125*AG125,2)*1),6)</f>
        <v>0</v>
      </c>
      <c r="DD125" t="s">
        <v>3</v>
      </c>
      <c r="DE125" t="s">
        <v>3</v>
      </c>
      <c r="DF125">
        <f t="shared" si="81"/>
        <v>0</v>
      </c>
      <c r="DG125">
        <f t="shared" si="78"/>
        <v>0</v>
      </c>
      <c r="DH125">
        <f t="shared" si="79"/>
        <v>0</v>
      </c>
      <c r="DI125">
        <f t="shared" si="34"/>
        <v>0</v>
      </c>
      <c r="DJ125">
        <f>DF125</f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ROW(Source!A107)</f>
        <v>107</v>
      </c>
      <c r="B126">
        <v>56622523</v>
      </c>
      <c r="C126">
        <v>56612126</v>
      </c>
      <c r="D126">
        <v>36618854</v>
      </c>
      <c r="E126">
        <v>1</v>
      </c>
      <c r="F126">
        <v>1</v>
      </c>
      <c r="G126">
        <v>27786564</v>
      </c>
      <c r="H126">
        <v>3</v>
      </c>
      <c r="I126" t="s">
        <v>192</v>
      </c>
      <c r="J126" t="s">
        <v>195</v>
      </c>
      <c r="K126" t="s">
        <v>193</v>
      </c>
      <c r="L126">
        <v>1391</v>
      </c>
      <c r="N126">
        <v>1013</v>
      </c>
      <c r="O126" t="s">
        <v>194</v>
      </c>
      <c r="P126" t="s">
        <v>194</v>
      </c>
      <c r="Q126">
        <v>1</v>
      </c>
      <c r="W126">
        <v>0</v>
      </c>
      <c r="X126">
        <v>-1891565108</v>
      </c>
      <c r="Y126">
        <f>(AT126*1)</f>
        <v>1</v>
      </c>
      <c r="AA126">
        <v>3237.24</v>
      </c>
      <c r="AB126">
        <v>0</v>
      </c>
      <c r="AC126">
        <v>0</v>
      </c>
      <c r="AD126">
        <v>0</v>
      </c>
      <c r="AE126">
        <v>3237.24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0</v>
      </c>
      <c r="AP126">
        <v>1</v>
      </c>
      <c r="AQ126">
        <v>0</v>
      </c>
      <c r="AR126">
        <v>0</v>
      </c>
      <c r="AS126" t="s">
        <v>3</v>
      </c>
      <c r="AT126">
        <v>1</v>
      </c>
      <c r="AU126" t="s">
        <v>42</v>
      </c>
      <c r="AV126">
        <v>0</v>
      </c>
      <c r="AW126">
        <v>1</v>
      </c>
      <c r="AX126">
        <v>-1</v>
      </c>
      <c r="AY126">
        <v>0</v>
      </c>
      <c r="AZ126">
        <v>0</v>
      </c>
      <c r="BA126" t="s">
        <v>3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ROUND(Y126*Source!I107,9)</f>
        <v>0</v>
      </c>
      <c r="CY126">
        <f>AA126</f>
        <v>3237.24</v>
      </c>
      <c r="CZ126">
        <f>AE126</f>
        <v>3237.24</v>
      </c>
      <c r="DA126">
        <f>AI126</f>
        <v>1</v>
      </c>
      <c r="DB126">
        <f>ROUND((ROUND(AT126*CZ126,2)*1),6)</f>
        <v>3237.24</v>
      </c>
      <c r="DC126">
        <f>ROUND((ROUND(AT126*AG126,2)*1),6)</f>
        <v>0</v>
      </c>
      <c r="DD126" t="s">
        <v>3</v>
      </c>
      <c r="DE126" t="s">
        <v>3</v>
      </c>
      <c r="DF126">
        <f t="shared" si="81"/>
        <v>0</v>
      </c>
      <c r="DG126">
        <f t="shared" si="78"/>
        <v>0</v>
      </c>
      <c r="DH126">
        <f t="shared" si="79"/>
        <v>0</v>
      </c>
      <c r="DI126">
        <f t="shared" si="34"/>
        <v>0</v>
      </c>
      <c r="DJ126">
        <f>DF126</f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ROW(Source!A108)</f>
        <v>108</v>
      </c>
      <c r="B127">
        <v>56611490</v>
      </c>
      <c r="C127">
        <v>56612126</v>
      </c>
      <c r="D127">
        <v>47634407</v>
      </c>
      <c r="E127">
        <v>27786564</v>
      </c>
      <c r="F127">
        <v>1</v>
      </c>
      <c r="G127">
        <v>27786564</v>
      </c>
      <c r="H127">
        <v>1</v>
      </c>
      <c r="I127" t="s">
        <v>438</v>
      </c>
      <c r="J127" t="s">
        <v>3</v>
      </c>
      <c r="K127" t="s">
        <v>439</v>
      </c>
      <c r="L127">
        <v>1191</v>
      </c>
      <c r="N127">
        <v>1013</v>
      </c>
      <c r="O127" t="s">
        <v>440</v>
      </c>
      <c r="P127" t="s">
        <v>440</v>
      </c>
      <c r="Q127">
        <v>1</v>
      </c>
      <c r="W127">
        <v>0</v>
      </c>
      <c r="X127">
        <v>476480486</v>
      </c>
      <c r="Y127">
        <f>((AT127*1.1)*1.2)</f>
        <v>4.0128000000000004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3.04</v>
      </c>
      <c r="AU127" t="s">
        <v>70</v>
      </c>
      <c r="AV127">
        <v>1</v>
      </c>
      <c r="AW127">
        <v>2</v>
      </c>
      <c r="AX127">
        <v>56612131</v>
      </c>
      <c r="AY127">
        <v>1</v>
      </c>
      <c r="AZ127">
        <v>0</v>
      </c>
      <c r="BA127">
        <v>175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U127">
        <f>ROUND(AT127*Source!I108*AH127*AL127,2)</f>
        <v>0</v>
      </c>
      <c r="CV127">
        <f>ROUND(Y127*Source!I108,9)</f>
        <v>0</v>
      </c>
      <c r="CW127">
        <v>0</v>
      </c>
      <c r="CX127">
        <f>ROUND(Y127*Source!I108,9)</f>
        <v>0</v>
      </c>
      <c r="CY127">
        <f>AD127</f>
        <v>0</v>
      </c>
      <c r="CZ127">
        <f>AH127</f>
        <v>0</v>
      </c>
      <c r="DA127">
        <f>AL127</f>
        <v>1</v>
      </c>
      <c r="DB127">
        <f>ROUND(((ROUND(AT127*CZ127,2)*1.1)*1.2),6)</f>
        <v>0</v>
      </c>
      <c r="DC127">
        <f>ROUND(((ROUND(AT127*AG127,2)*1.1)*1.2),6)</f>
        <v>0</v>
      </c>
      <c r="DD127" t="s">
        <v>3</v>
      </c>
      <c r="DE127" t="s">
        <v>3</v>
      </c>
      <c r="DF127">
        <f t="shared" si="81"/>
        <v>0</v>
      </c>
      <c r="DG127">
        <f t="shared" si="78"/>
        <v>0</v>
      </c>
      <c r="DH127">
        <f t="shared" si="79"/>
        <v>0</v>
      </c>
      <c r="DI127">
        <f t="shared" si="34"/>
        <v>0</v>
      </c>
      <c r="DJ127">
        <f>DI127</f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ROW(Source!A108)</f>
        <v>108</v>
      </c>
      <c r="B128">
        <v>56611490</v>
      </c>
      <c r="C128">
        <v>56612126</v>
      </c>
      <c r="D128">
        <v>47766965</v>
      </c>
      <c r="E128">
        <v>1</v>
      </c>
      <c r="F128">
        <v>1</v>
      </c>
      <c r="G128">
        <v>27786564</v>
      </c>
      <c r="H128">
        <v>2</v>
      </c>
      <c r="I128" t="s">
        <v>491</v>
      </c>
      <c r="J128" t="s">
        <v>492</v>
      </c>
      <c r="K128" t="s">
        <v>493</v>
      </c>
      <c r="L128">
        <v>1368</v>
      </c>
      <c r="N128">
        <v>1011</v>
      </c>
      <c r="O128" t="s">
        <v>444</v>
      </c>
      <c r="P128" t="s">
        <v>444</v>
      </c>
      <c r="Q128">
        <v>1</v>
      </c>
      <c r="W128">
        <v>0</v>
      </c>
      <c r="X128">
        <v>-1515886774</v>
      </c>
      <c r="Y128">
        <f>((AT128*1.1)*1.2)</f>
        <v>0.13200000000000001</v>
      </c>
      <c r="AA128">
        <v>0</v>
      </c>
      <c r="AB128">
        <v>1.05</v>
      </c>
      <c r="AC128">
        <v>0</v>
      </c>
      <c r="AD128">
        <v>0</v>
      </c>
      <c r="AE128">
        <v>0</v>
      </c>
      <c r="AF128">
        <v>0.12</v>
      </c>
      <c r="AG128">
        <v>0</v>
      </c>
      <c r="AH128">
        <v>0</v>
      </c>
      <c r="AI128">
        <v>1</v>
      </c>
      <c r="AJ128">
        <v>8.33</v>
      </c>
      <c r="AK128">
        <v>34.51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0.1</v>
      </c>
      <c r="AU128" t="s">
        <v>70</v>
      </c>
      <c r="AV128">
        <v>0</v>
      </c>
      <c r="AW128">
        <v>2</v>
      </c>
      <c r="AX128">
        <v>56612132</v>
      </c>
      <c r="AY128">
        <v>1</v>
      </c>
      <c r="AZ128">
        <v>0</v>
      </c>
      <c r="BA128">
        <v>176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ROUND(Y128*Source!I108*DO128,9)</f>
        <v>0</v>
      </c>
      <c r="CX128">
        <f>ROUND(Y128*Source!I108,9)</f>
        <v>0</v>
      </c>
      <c r="CY128">
        <f>AB128</f>
        <v>1.05</v>
      </c>
      <c r="CZ128">
        <f>AF128</f>
        <v>0.12</v>
      </c>
      <c r="DA128">
        <f>AJ128</f>
        <v>8.33</v>
      </c>
      <c r="DB128">
        <f>ROUND(((ROUND(AT128*CZ128,2)*1.1)*1.2),6)</f>
        <v>1.32E-2</v>
      </c>
      <c r="DC128">
        <f>ROUND(((ROUND(AT128*AG128,2)*1.1)*1.2),6)</f>
        <v>0</v>
      </c>
      <c r="DD128" t="s">
        <v>3</v>
      </c>
      <c r="DE128" t="s">
        <v>3</v>
      </c>
      <c r="DF128">
        <f t="shared" si="81"/>
        <v>0</v>
      </c>
      <c r="DG128">
        <f>ROUND(ROUND(AF128*AJ128,2)*CX128,2)</f>
        <v>0</v>
      </c>
      <c r="DH128">
        <f>ROUND(ROUND(AG128*AK128,2)*CX128,2)</f>
        <v>0</v>
      </c>
      <c r="DI128">
        <f t="shared" si="34"/>
        <v>0</v>
      </c>
      <c r="DJ128">
        <f>DG128</f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ROW(Source!A108)</f>
        <v>108</v>
      </c>
      <c r="B129">
        <v>56611490</v>
      </c>
      <c r="C129">
        <v>56612126</v>
      </c>
      <c r="D129">
        <v>37620224</v>
      </c>
      <c r="E129">
        <v>1</v>
      </c>
      <c r="F129">
        <v>1</v>
      </c>
      <c r="G129">
        <v>27786564</v>
      </c>
      <c r="H129">
        <v>3</v>
      </c>
      <c r="I129" t="s">
        <v>494</v>
      </c>
      <c r="J129" t="s">
        <v>495</v>
      </c>
      <c r="K129" t="s">
        <v>496</v>
      </c>
      <c r="L129">
        <v>1346</v>
      </c>
      <c r="N129">
        <v>1009</v>
      </c>
      <c r="O129" t="s">
        <v>104</v>
      </c>
      <c r="P129" t="s">
        <v>104</v>
      </c>
      <c r="Q129">
        <v>1</v>
      </c>
      <c r="W129">
        <v>0</v>
      </c>
      <c r="X129">
        <v>-1770684771</v>
      </c>
      <c r="Y129">
        <f>(AT129*1)</f>
        <v>0.312</v>
      </c>
      <c r="AA129">
        <v>63.64</v>
      </c>
      <c r="AB129">
        <v>0</v>
      </c>
      <c r="AC129">
        <v>0</v>
      </c>
      <c r="AD129">
        <v>0</v>
      </c>
      <c r="AE129">
        <v>6.27</v>
      </c>
      <c r="AF129">
        <v>0</v>
      </c>
      <c r="AG129">
        <v>0</v>
      </c>
      <c r="AH129">
        <v>0</v>
      </c>
      <c r="AI129">
        <v>10.15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0.312</v>
      </c>
      <c r="AU129" t="s">
        <v>42</v>
      </c>
      <c r="AV129">
        <v>0</v>
      </c>
      <c r="AW129">
        <v>2</v>
      </c>
      <c r="AX129">
        <v>56612133</v>
      </c>
      <c r="AY129">
        <v>1</v>
      </c>
      <c r="AZ129">
        <v>0</v>
      </c>
      <c r="BA129">
        <v>177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ROUND(Y129*Source!I108,9)</f>
        <v>0</v>
      </c>
      <c r="CY129">
        <f>AA129</f>
        <v>63.64</v>
      </c>
      <c r="CZ129">
        <f>AE129</f>
        <v>6.27</v>
      </c>
      <c r="DA129">
        <f>AI129</f>
        <v>10.15</v>
      </c>
      <c r="DB129">
        <f>ROUND((ROUND(AT129*CZ129,2)*1),6)</f>
        <v>1.96</v>
      </c>
      <c r="DC129">
        <f>ROUND((ROUND(AT129*AG129,2)*1),6)</f>
        <v>0</v>
      </c>
      <c r="DD129" t="s">
        <v>3</v>
      </c>
      <c r="DE129" t="s">
        <v>3</v>
      </c>
      <c r="DF129">
        <f>ROUND(ROUND(AE129*AI129,2)*CX129,2)</f>
        <v>0</v>
      </c>
      <c r="DG129">
        <f t="shared" ref="DG129:DG135" si="82">ROUND(ROUND(AF129,2)*CX129,2)</f>
        <v>0</v>
      </c>
      <c r="DH129">
        <f t="shared" ref="DH129:DH135" si="83">ROUND(ROUND(AG129,2)*CX129,2)</f>
        <v>0</v>
      </c>
      <c r="DI129">
        <f t="shared" ref="DI129:DI192" si="84">ROUND(ROUND(AH129,2)*CX129,2)</f>
        <v>0</v>
      </c>
      <c r="DJ129">
        <f>DF129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ROW(Source!A108)</f>
        <v>108</v>
      </c>
      <c r="B130">
        <v>56611490</v>
      </c>
      <c r="C130">
        <v>56612126</v>
      </c>
      <c r="D130">
        <v>36618854</v>
      </c>
      <c r="E130">
        <v>1</v>
      </c>
      <c r="F130">
        <v>1</v>
      </c>
      <c r="G130">
        <v>27786564</v>
      </c>
      <c r="H130">
        <v>3</v>
      </c>
      <c r="I130" t="s">
        <v>192</v>
      </c>
      <c r="J130" t="s">
        <v>195</v>
      </c>
      <c r="K130" t="s">
        <v>193</v>
      </c>
      <c r="L130">
        <v>1391</v>
      </c>
      <c r="N130">
        <v>1013</v>
      </c>
      <c r="O130" t="s">
        <v>194</v>
      </c>
      <c r="P130" t="s">
        <v>194</v>
      </c>
      <c r="Q130">
        <v>1</v>
      </c>
      <c r="W130">
        <v>0</v>
      </c>
      <c r="X130">
        <v>-1891565108</v>
      </c>
      <c r="Y130">
        <f>(AT130*1)</f>
        <v>1</v>
      </c>
      <c r="AA130">
        <v>19682.419999999998</v>
      </c>
      <c r="AB130">
        <v>0</v>
      </c>
      <c r="AC130">
        <v>0</v>
      </c>
      <c r="AD130">
        <v>0</v>
      </c>
      <c r="AE130">
        <v>3237.24</v>
      </c>
      <c r="AF130">
        <v>0</v>
      </c>
      <c r="AG130">
        <v>0</v>
      </c>
      <c r="AH130">
        <v>0</v>
      </c>
      <c r="AI130">
        <v>6.08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 t="s">
        <v>3</v>
      </c>
      <c r="AT130">
        <v>1</v>
      </c>
      <c r="AU130" t="s">
        <v>42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ROUND(Y130*Source!I108,9)</f>
        <v>0</v>
      </c>
      <c r="CY130">
        <f>AA130</f>
        <v>19682.419999999998</v>
      </c>
      <c r="CZ130">
        <f>AE130</f>
        <v>3237.24</v>
      </c>
      <c r="DA130">
        <f>AI130</f>
        <v>6.08</v>
      </c>
      <c r="DB130">
        <f>ROUND((ROUND(AT130*CZ130,2)*1),6)</f>
        <v>3237.24</v>
      </c>
      <c r="DC130">
        <f>ROUND((ROUND(AT130*AG130,2)*1),6)</f>
        <v>0</v>
      </c>
      <c r="DD130" t="s">
        <v>3</v>
      </c>
      <c r="DE130" t="s">
        <v>3</v>
      </c>
      <c r="DF130">
        <f>ROUND(ROUND(AE130*AI130,2)*CX130,2)</f>
        <v>0</v>
      </c>
      <c r="DG130">
        <f t="shared" si="82"/>
        <v>0</v>
      </c>
      <c r="DH130">
        <f t="shared" si="83"/>
        <v>0</v>
      </c>
      <c r="DI130">
        <f t="shared" si="84"/>
        <v>0</v>
      </c>
      <c r="DJ130">
        <f>DF130</f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ROW(Source!A111)</f>
        <v>111</v>
      </c>
      <c r="B131">
        <v>56622523</v>
      </c>
      <c r="C131">
        <v>56612136</v>
      </c>
      <c r="D131">
        <v>47634407</v>
      </c>
      <c r="E131">
        <v>27786564</v>
      </c>
      <c r="F131">
        <v>1</v>
      </c>
      <c r="G131">
        <v>27786564</v>
      </c>
      <c r="H131">
        <v>1</v>
      </c>
      <c r="I131" t="s">
        <v>438</v>
      </c>
      <c r="J131" t="s">
        <v>3</v>
      </c>
      <c r="K131" t="s">
        <v>439</v>
      </c>
      <c r="L131">
        <v>1191</v>
      </c>
      <c r="N131">
        <v>1013</v>
      </c>
      <c r="O131" t="s">
        <v>440</v>
      </c>
      <c r="P131" t="s">
        <v>440</v>
      </c>
      <c r="Q131">
        <v>1</v>
      </c>
      <c r="W131">
        <v>0</v>
      </c>
      <c r="X131">
        <v>476480486</v>
      </c>
      <c r="Y131">
        <f>(AT131*1.1)</f>
        <v>3.8940000000000006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3.54</v>
      </c>
      <c r="AU131" t="s">
        <v>22</v>
      </c>
      <c r="AV131">
        <v>1</v>
      </c>
      <c r="AW131">
        <v>2</v>
      </c>
      <c r="AX131">
        <v>56612141</v>
      </c>
      <c r="AY131">
        <v>1</v>
      </c>
      <c r="AZ131">
        <v>0</v>
      </c>
      <c r="BA131">
        <v>179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ROUND(AT131*Source!I111*AH131*AL131,2)</f>
        <v>0</v>
      </c>
      <c r="CV131">
        <f>ROUND(Y131*Source!I111,9)</f>
        <v>0</v>
      </c>
      <c r="CW131">
        <v>0</v>
      </c>
      <c r="CX131">
        <f>ROUND(Y131*Source!I111,9)</f>
        <v>0</v>
      </c>
      <c r="CY131">
        <f>AD131</f>
        <v>0</v>
      </c>
      <c r="CZ131">
        <f>AH131</f>
        <v>0</v>
      </c>
      <c r="DA131">
        <f>AL131</f>
        <v>1</v>
      </c>
      <c r="DB131">
        <f>ROUND((ROUND(AT131*CZ131,2)*1.1),6)</f>
        <v>0</v>
      </c>
      <c r="DC131">
        <f>ROUND((ROUND(AT131*AG131,2)*1.1),6)</f>
        <v>0</v>
      </c>
      <c r="DD131" t="s">
        <v>3</v>
      </c>
      <c r="DE131" t="s">
        <v>3</v>
      </c>
      <c r="DF131">
        <f t="shared" ref="DF131:DF136" si="85">ROUND(ROUND(AE131,2)*CX131,2)</f>
        <v>0</v>
      </c>
      <c r="DG131">
        <f t="shared" si="82"/>
        <v>0</v>
      </c>
      <c r="DH131">
        <f t="shared" si="83"/>
        <v>0</v>
      </c>
      <c r="DI131">
        <f t="shared" si="84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ROW(Source!A111)</f>
        <v>111</v>
      </c>
      <c r="B132">
        <v>56622523</v>
      </c>
      <c r="C132">
        <v>56612136</v>
      </c>
      <c r="D132">
        <v>47766965</v>
      </c>
      <c r="E132">
        <v>1</v>
      </c>
      <c r="F132">
        <v>1</v>
      </c>
      <c r="G132">
        <v>27786564</v>
      </c>
      <c r="H132">
        <v>2</v>
      </c>
      <c r="I132" t="s">
        <v>491</v>
      </c>
      <c r="J132" t="s">
        <v>492</v>
      </c>
      <c r="K132" t="s">
        <v>493</v>
      </c>
      <c r="L132">
        <v>1368</v>
      </c>
      <c r="N132">
        <v>1011</v>
      </c>
      <c r="O132" t="s">
        <v>444</v>
      </c>
      <c r="P132" t="s">
        <v>444</v>
      </c>
      <c r="Q132">
        <v>1</v>
      </c>
      <c r="W132">
        <v>0</v>
      </c>
      <c r="X132">
        <v>-1515886774</v>
      </c>
      <c r="Y132">
        <f>(AT132*1.1)</f>
        <v>0.14300000000000002</v>
      </c>
      <c r="AA132">
        <v>0</v>
      </c>
      <c r="AB132">
        <v>0.12</v>
      </c>
      <c r="AC132">
        <v>0</v>
      </c>
      <c r="AD132">
        <v>0</v>
      </c>
      <c r="AE132">
        <v>0</v>
      </c>
      <c r="AF132">
        <v>0.12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0.13</v>
      </c>
      <c r="AU132" t="s">
        <v>22</v>
      </c>
      <c r="AV132">
        <v>0</v>
      </c>
      <c r="AW132">
        <v>2</v>
      </c>
      <c r="AX132">
        <v>56612142</v>
      </c>
      <c r="AY132">
        <v>1</v>
      </c>
      <c r="AZ132">
        <v>0</v>
      </c>
      <c r="BA132">
        <v>180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ROUND(Y132*Source!I111*DO132,9)</f>
        <v>0</v>
      </c>
      <c r="CX132">
        <f>ROUND(Y132*Source!I111,9)</f>
        <v>0</v>
      </c>
      <c r="CY132">
        <f>AB132</f>
        <v>0.12</v>
      </c>
      <c r="CZ132">
        <f>AF132</f>
        <v>0.12</v>
      </c>
      <c r="DA132">
        <f>AJ132</f>
        <v>1</v>
      </c>
      <c r="DB132">
        <f>ROUND((ROUND(AT132*CZ132,2)*1.1),6)</f>
        <v>2.1999999999999999E-2</v>
      </c>
      <c r="DC132">
        <f>ROUND((ROUND(AT132*AG132,2)*1.1),6)</f>
        <v>0</v>
      </c>
      <c r="DD132" t="s">
        <v>3</v>
      </c>
      <c r="DE132" t="s">
        <v>3</v>
      </c>
      <c r="DF132">
        <f t="shared" si="85"/>
        <v>0</v>
      </c>
      <c r="DG132">
        <f t="shared" si="82"/>
        <v>0</v>
      </c>
      <c r="DH132">
        <f t="shared" si="83"/>
        <v>0</v>
      </c>
      <c r="DI132">
        <f t="shared" si="84"/>
        <v>0</v>
      </c>
      <c r="DJ132">
        <f>DG132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ROW(Source!A111)</f>
        <v>111</v>
      </c>
      <c r="B133">
        <v>56622523</v>
      </c>
      <c r="C133">
        <v>56612136</v>
      </c>
      <c r="D133">
        <v>37620224</v>
      </c>
      <c r="E133">
        <v>1</v>
      </c>
      <c r="F133">
        <v>1</v>
      </c>
      <c r="G133">
        <v>27786564</v>
      </c>
      <c r="H133">
        <v>3</v>
      </c>
      <c r="I133" t="s">
        <v>494</v>
      </c>
      <c r="J133" t="s">
        <v>495</v>
      </c>
      <c r="K133" t="s">
        <v>496</v>
      </c>
      <c r="L133">
        <v>1346</v>
      </c>
      <c r="N133">
        <v>1009</v>
      </c>
      <c r="O133" t="s">
        <v>104</v>
      </c>
      <c r="P133" t="s">
        <v>104</v>
      </c>
      <c r="Q133">
        <v>1</v>
      </c>
      <c r="W133">
        <v>0</v>
      </c>
      <c r="X133">
        <v>-1770684771</v>
      </c>
      <c r="Y133">
        <f>AT133</f>
        <v>0.39360000000000001</v>
      </c>
      <c r="AA133">
        <v>6.27</v>
      </c>
      <c r="AB133">
        <v>0</v>
      </c>
      <c r="AC133">
        <v>0</v>
      </c>
      <c r="AD133">
        <v>0</v>
      </c>
      <c r="AE133">
        <v>6.27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0.39360000000000001</v>
      </c>
      <c r="AU133" t="s">
        <v>3</v>
      </c>
      <c r="AV133">
        <v>0</v>
      </c>
      <c r="AW133">
        <v>2</v>
      </c>
      <c r="AX133">
        <v>56612143</v>
      </c>
      <c r="AY133">
        <v>1</v>
      </c>
      <c r="AZ133">
        <v>0</v>
      </c>
      <c r="BA133">
        <v>181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ROUND(Y133*Source!I111,9)</f>
        <v>0</v>
      </c>
      <c r="CY133">
        <f>AA133</f>
        <v>6.27</v>
      </c>
      <c r="CZ133">
        <f>AE133</f>
        <v>6.27</v>
      </c>
      <c r="DA133">
        <f>AI133</f>
        <v>1</v>
      </c>
      <c r="DB133">
        <f>ROUND(ROUND(AT133*CZ133,2),6)</f>
        <v>2.4700000000000002</v>
      </c>
      <c r="DC133">
        <f>ROUND(ROUND(AT133*AG133,2),6)</f>
        <v>0</v>
      </c>
      <c r="DD133" t="s">
        <v>3</v>
      </c>
      <c r="DE133" t="s">
        <v>3</v>
      </c>
      <c r="DF133">
        <f t="shared" si="85"/>
        <v>0</v>
      </c>
      <c r="DG133">
        <f t="shared" si="82"/>
        <v>0</v>
      </c>
      <c r="DH133">
        <f t="shared" si="83"/>
        <v>0</v>
      </c>
      <c r="DI133">
        <f t="shared" si="84"/>
        <v>0</v>
      </c>
      <c r="DJ133">
        <f>DF133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ROW(Source!A111)</f>
        <v>111</v>
      </c>
      <c r="B134">
        <v>56622523</v>
      </c>
      <c r="C134">
        <v>56612136</v>
      </c>
      <c r="D134">
        <v>36618854</v>
      </c>
      <c r="E134">
        <v>1</v>
      </c>
      <c r="F134">
        <v>1</v>
      </c>
      <c r="G134">
        <v>27786564</v>
      </c>
      <c r="H134">
        <v>3</v>
      </c>
      <c r="I134" t="s">
        <v>192</v>
      </c>
      <c r="J134" t="s">
        <v>195</v>
      </c>
      <c r="K134" t="s">
        <v>193</v>
      </c>
      <c r="L134">
        <v>1391</v>
      </c>
      <c r="N134">
        <v>1013</v>
      </c>
      <c r="O134" t="s">
        <v>194</v>
      </c>
      <c r="P134" t="s">
        <v>194</v>
      </c>
      <c r="Q134">
        <v>1</v>
      </c>
      <c r="W134">
        <v>0</v>
      </c>
      <c r="X134">
        <v>-1891565108</v>
      </c>
      <c r="Y134">
        <f>AT134</f>
        <v>1</v>
      </c>
      <c r="AA134">
        <v>3237.24</v>
      </c>
      <c r="AB134">
        <v>0</v>
      </c>
      <c r="AC134">
        <v>0</v>
      </c>
      <c r="AD134">
        <v>0</v>
      </c>
      <c r="AE134">
        <v>3237.24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0</v>
      </c>
      <c r="AP134">
        <v>1</v>
      </c>
      <c r="AQ134">
        <v>0</v>
      </c>
      <c r="AR134">
        <v>0</v>
      </c>
      <c r="AS134" t="s">
        <v>3</v>
      </c>
      <c r="AT134">
        <v>1</v>
      </c>
      <c r="AU134" t="s">
        <v>3</v>
      </c>
      <c r="AV134">
        <v>0</v>
      </c>
      <c r="AW134">
        <v>1</v>
      </c>
      <c r="AX134">
        <v>-1</v>
      </c>
      <c r="AY134">
        <v>0</v>
      </c>
      <c r="AZ134">
        <v>0</v>
      </c>
      <c r="BA134" t="s">
        <v>3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ROUND(Y134*Source!I111,9)</f>
        <v>0</v>
      </c>
      <c r="CY134">
        <f>AA134</f>
        <v>3237.24</v>
      </c>
      <c r="CZ134">
        <f>AE134</f>
        <v>3237.24</v>
      </c>
      <c r="DA134">
        <f>AI134</f>
        <v>1</v>
      </c>
      <c r="DB134">
        <f>ROUND(ROUND(AT134*CZ134,2),6)</f>
        <v>3237.24</v>
      </c>
      <c r="DC134">
        <f>ROUND(ROUND(AT134*AG134,2),6)</f>
        <v>0</v>
      </c>
      <c r="DD134" t="s">
        <v>3</v>
      </c>
      <c r="DE134" t="s">
        <v>3</v>
      </c>
      <c r="DF134">
        <f t="shared" si="85"/>
        <v>0</v>
      </c>
      <c r="DG134">
        <f t="shared" si="82"/>
        <v>0</v>
      </c>
      <c r="DH134">
        <f t="shared" si="83"/>
        <v>0</v>
      </c>
      <c r="DI134">
        <f t="shared" si="84"/>
        <v>0</v>
      </c>
      <c r="DJ134">
        <f>DF134</f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ROW(Source!A112)</f>
        <v>112</v>
      </c>
      <c r="B135">
        <v>56611490</v>
      </c>
      <c r="C135">
        <v>56612136</v>
      </c>
      <c r="D135">
        <v>47634407</v>
      </c>
      <c r="E135">
        <v>27786564</v>
      </c>
      <c r="F135">
        <v>1</v>
      </c>
      <c r="G135">
        <v>27786564</v>
      </c>
      <c r="H135">
        <v>1</v>
      </c>
      <c r="I135" t="s">
        <v>438</v>
      </c>
      <c r="J135" t="s">
        <v>3</v>
      </c>
      <c r="K135" t="s">
        <v>439</v>
      </c>
      <c r="L135">
        <v>1191</v>
      </c>
      <c r="N135">
        <v>1013</v>
      </c>
      <c r="O135" t="s">
        <v>440</v>
      </c>
      <c r="P135" t="s">
        <v>440</v>
      </c>
      <c r="Q135">
        <v>1</v>
      </c>
      <c r="W135">
        <v>0</v>
      </c>
      <c r="X135">
        <v>476480486</v>
      </c>
      <c r="Y135">
        <f>(AT135*1.1)</f>
        <v>3.8940000000000006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3.54</v>
      </c>
      <c r="AU135" t="s">
        <v>22</v>
      </c>
      <c r="AV135">
        <v>1</v>
      </c>
      <c r="AW135">
        <v>2</v>
      </c>
      <c r="AX135">
        <v>56612141</v>
      </c>
      <c r="AY135">
        <v>1</v>
      </c>
      <c r="AZ135">
        <v>0</v>
      </c>
      <c r="BA135">
        <v>183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ROUND(AT135*Source!I112*AH135*AL135,2)</f>
        <v>0</v>
      </c>
      <c r="CV135">
        <f>ROUND(Y135*Source!I112,9)</f>
        <v>0</v>
      </c>
      <c r="CW135">
        <v>0</v>
      </c>
      <c r="CX135">
        <f>ROUND(Y135*Source!I112,9)</f>
        <v>0</v>
      </c>
      <c r="CY135">
        <f>AD135</f>
        <v>0</v>
      </c>
      <c r="CZ135">
        <f>AH135</f>
        <v>0</v>
      </c>
      <c r="DA135">
        <f>AL135</f>
        <v>1</v>
      </c>
      <c r="DB135">
        <f>ROUND((ROUND(AT135*CZ135,2)*1.1),6)</f>
        <v>0</v>
      </c>
      <c r="DC135">
        <f>ROUND((ROUND(AT135*AG135,2)*1.1),6)</f>
        <v>0</v>
      </c>
      <c r="DD135" t="s">
        <v>3</v>
      </c>
      <c r="DE135" t="s">
        <v>3</v>
      </c>
      <c r="DF135">
        <f t="shared" si="85"/>
        <v>0</v>
      </c>
      <c r="DG135">
        <f t="shared" si="82"/>
        <v>0</v>
      </c>
      <c r="DH135">
        <f t="shared" si="83"/>
        <v>0</v>
      </c>
      <c r="DI135">
        <f t="shared" si="84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ROW(Source!A112)</f>
        <v>112</v>
      </c>
      <c r="B136">
        <v>56611490</v>
      </c>
      <c r="C136">
        <v>56612136</v>
      </c>
      <c r="D136">
        <v>47766965</v>
      </c>
      <c r="E136">
        <v>1</v>
      </c>
      <c r="F136">
        <v>1</v>
      </c>
      <c r="G136">
        <v>27786564</v>
      </c>
      <c r="H136">
        <v>2</v>
      </c>
      <c r="I136" t="s">
        <v>491</v>
      </c>
      <c r="J136" t="s">
        <v>492</v>
      </c>
      <c r="K136" t="s">
        <v>493</v>
      </c>
      <c r="L136">
        <v>1368</v>
      </c>
      <c r="N136">
        <v>1011</v>
      </c>
      <c r="O136" t="s">
        <v>444</v>
      </c>
      <c r="P136" t="s">
        <v>444</v>
      </c>
      <c r="Q136">
        <v>1</v>
      </c>
      <c r="W136">
        <v>0</v>
      </c>
      <c r="X136">
        <v>-1515886774</v>
      </c>
      <c r="Y136">
        <f>(AT136*1.1)</f>
        <v>0.14300000000000002</v>
      </c>
      <c r="AA136">
        <v>0</v>
      </c>
      <c r="AB136">
        <v>1.05</v>
      </c>
      <c r="AC136">
        <v>0</v>
      </c>
      <c r="AD136">
        <v>0</v>
      </c>
      <c r="AE136">
        <v>0</v>
      </c>
      <c r="AF136">
        <v>0.12</v>
      </c>
      <c r="AG136">
        <v>0</v>
      </c>
      <c r="AH136">
        <v>0</v>
      </c>
      <c r="AI136">
        <v>1</v>
      </c>
      <c r="AJ136">
        <v>8.33</v>
      </c>
      <c r="AK136">
        <v>34.51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0.13</v>
      </c>
      <c r="AU136" t="s">
        <v>22</v>
      </c>
      <c r="AV136">
        <v>0</v>
      </c>
      <c r="AW136">
        <v>2</v>
      </c>
      <c r="AX136">
        <v>56612142</v>
      </c>
      <c r="AY136">
        <v>1</v>
      </c>
      <c r="AZ136">
        <v>0</v>
      </c>
      <c r="BA136">
        <v>184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ROUND(Y136*Source!I112*DO136,9)</f>
        <v>0</v>
      </c>
      <c r="CX136">
        <f>ROUND(Y136*Source!I112,9)</f>
        <v>0</v>
      </c>
      <c r="CY136">
        <f>AB136</f>
        <v>1.05</v>
      </c>
      <c r="CZ136">
        <f>AF136</f>
        <v>0.12</v>
      </c>
      <c r="DA136">
        <f>AJ136</f>
        <v>8.33</v>
      </c>
      <c r="DB136">
        <f>ROUND((ROUND(AT136*CZ136,2)*1.1),6)</f>
        <v>2.1999999999999999E-2</v>
      </c>
      <c r="DC136">
        <f>ROUND((ROUND(AT136*AG136,2)*1.1),6)</f>
        <v>0</v>
      </c>
      <c r="DD136" t="s">
        <v>3</v>
      </c>
      <c r="DE136" t="s">
        <v>3</v>
      </c>
      <c r="DF136">
        <f t="shared" si="85"/>
        <v>0</v>
      </c>
      <c r="DG136">
        <f>ROUND(ROUND(AF136*AJ136,2)*CX136,2)</f>
        <v>0</v>
      </c>
      <c r="DH136">
        <f>ROUND(ROUND(AG136*AK136,2)*CX136,2)</f>
        <v>0</v>
      </c>
      <c r="DI136">
        <f t="shared" si="84"/>
        <v>0</v>
      </c>
      <c r="DJ136">
        <f>DG136</f>
        <v>0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ROW(Source!A112)</f>
        <v>112</v>
      </c>
      <c r="B137">
        <v>56611490</v>
      </c>
      <c r="C137">
        <v>56612136</v>
      </c>
      <c r="D137">
        <v>37620224</v>
      </c>
      <c r="E137">
        <v>1</v>
      </c>
      <c r="F137">
        <v>1</v>
      </c>
      <c r="G137">
        <v>27786564</v>
      </c>
      <c r="H137">
        <v>3</v>
      </c>
      <c r="I137" t="s">
        <v>494</v>
      </c>
      <c r="J137" t="s">
        <v>495</v>
      </c>
      <c r="K137" t="s">
        <v>496</v>
      </c>
      <c r="L137">
        <v>1346</v>
      </c>
      <c r="N137">
        <v>1009</v>
      </c>
      <c r="O137" t="s">
        <v>104</v>
      </c>
      <c r="P137" t="s">
        <v>104</v>
      </c>
      <c r="Q137">
        <v>1</v>
      </c>
      <c r="W137">
        <v>0</v>
      </c>
      <c r="X137">
        <v>-1770684771</v>
      </c>
      <c r="Y137">
        <f>AT137</f>
        <v>0.39360000000000001</v>
      </c>
      <c r="AA137">
        <v>63.64</v>
      </c>
      <c r="AB137">
        <v>0</v>
      </c>
      <c r="AC137">
        <v>0</v>
      </c>
      <c r="AD137">
        <v>0</v>
      </c>
      <c r="AE137">
        <v>6.27</v>
      </c>
      <c r="AF137">
        <v>0</v>
      </c>
      <c r="AG137">
        <v>0</v>
      </c>
      <c r="AH137">
        <v>0</v>
      </c>
      <c r="AI137">
        <v>10.15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0.39360000000000001</v>
      </c>
      <c r="AU137" t="s">
        <v>3</v>
      </c>
      <c r="AV137">
        <v>0</v>
      </c>
      <c r="AW137">
        <v>2</v>
      </c>
      <c r="AX137">
        <v>56612143</v>
      </c>
      <c r="AY137">
        <v>1</v>
      </c>
      <c r="AZ137">
        <v>0</v>
      </c>
      <c r="BA137">
        <v>185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ROUND(Y137*Source!I112,9)</f>
        <v>0</v>
      </c>
      <c r="CY137">
        <f>AA137</f>
        <v>63.64</v>
      </c>
      <c r="CZ137">
        <f>AE137</f>
        <v>6.27</v>
      </c>
      <c r="DA137">
        <f>AI137</f>
        <v>10.15</v>
      </c>
      <c r="DB137">
        <f>ROUND(ROUND(AT137*CZ137,2),6)</f>
        <v>2.4700000000000002</v>
      </c>
      <c r="DC137">
        <f>ROUND(ROUND(AT137*AG137,2),6)</f>
        <v>0</v>
      </c>
      <c r="DD137" t="s">
        <v>3</v>
      </c>
      <c r="DE137" t="s">
        <v>3</v>
      </c>
      <c r="DF137">
        <f>ROUND(ROUND(AE137*AI137,2)*CX137,2)</f>
        <v>0</v>
      </c>
      <c r="DG137">
        <f t="shared" ref="DG137:DG150" si="86">ROUND(ROUND(AF137,2)*CX137,2)</f>
        <v>0</v>
      </c>
      <c r="DH137">
        <f t="shared" ref="DH137:DH150" si="87">ROUND(ROUND(AG137,2)*CX137,2)</f>
        <v>0</v>
      </c>
      <c r="DI137">
        <f t="shared" si="84"/>
        <v>0</v>
      </c>
      <c r="DJ137">
        <f>DF137</f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ROW(Source!A112)</f>
        <v>112</v>
      </c>
      <c r="B138">
        <v>56611490</v>
      </c>
      <c r="C138">
        <v>56612136</v>
      </c>
      <c r="D138">
        <v>36618854</v>
      </c>
      <c r="E138">
        <v>1</v>
      </c>
      <c r="F138">
        <v>1</v>
      </c>
      <c r="G138">
        <v>27786564</v>
      </c>
      <c r="H138">
        <v>3</v>
      </c>
      <c r="I138" t="s">
        <v>192</v>
      </c>
      <c r="J138" t="s">
        <v>195</v>
      </c>
      <c r="K138" t="s">
        <v>193</v>
      </c>
      <c r="L138">
        <v>1391</v>
      </c>
      <c r="N138">
        <v>1013</v>
      </c>
      <c r="O138" t="s">
        <v>194</v>
      </c>
      <c r="P138" t="s">
        <v>194</v>
      </c>
      <c r="Q138">
        <v>1</v>
      </c>
      <c r="W138">
        <v>0</v>
      </c>
      <c r="X138">
        <v>-1891565108</v>
      </c>
      <c r="Y138">
        <f>AT138</f>
        <v>1</v>
      </c>
      <c r="AA138">
        <v>19682.419999999998</v>
      </c>
      <c r="AB138">
        <v>0</v>
      </c>
      <c r="AC138">
        <v>0</v>
      </c>
      <c r="AD138">
        <v>0</v>
      </c>
      <c r="AE138">
        <v>3237.24</v>
      </c>
      <c r="AF138">
        <v>0</v>
      </c>
      <c r="AG138">
        <v>0</v>
      </c>
      <c r="AH138">
        <v>0</v>
      </c>
      <c r="AI138">
        <v>6.08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1</v>
      </c>
      <c r="AU138" t="s">
        <v>3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ROUND(Y138*Source!I112,9)</f>
        <v>0</v>
      </c>
      <c r="CY138">
        <f>AA138</f>
        <v>19682.419999999998</v>
      </c>
      <c r="CZ138">
        <f>AE138</f>
        <v>3237.24</v>
      </c>
      <c r="DA138">
        <f>AI138</f>
        <v>6.08</v>
      </c>
      <c r="DB138">
        <f>ROUND(ROUND(AT138*CZ138,2),6)</f>
        <v>3237.24</v>
      </c>
      <c r="DC138">
        <f>ROUND(ROUND(AT138*AG138,2),6)</f>
        <v>0</v>
      </c>
      <c r="DD138" t="s">
        <v>3</v>
      </c>
      <c r="DE138" t="s">
        <v>3</v>
      </c>
      <c r="DF138">
        <f>ROUND(ROUND(AE138*AI138,2)*CX138,2)</f>
        <v>0</v>
      </c>
      <c r="DG138">
        <f t="shared" si="86"/>
        <v>0</v>
      </c>
      <c r="DH138">
        <f t="shared" si="87"/>
        <v>0</v>
      </c>
      <c r="DI138">
        <f t="shared" si="84"/>
        <v>0</v>
      </c>
      <c r="DJ138">
        <f>DF138</f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ROW(Source!A115)</f>
        <v>115</v>
      </c>
      <c r="B139">
        <v>56622523</v>
      </c>
      <c r="C139">
        <v>56612146</v>
      </c>
      <c r="D139">
        <v>47634407</v>
      </c>
      <c r="E139">
        <v>27786564</v>
      </c>
      <c r="F139">
        <v>1</v>
      </c>
      <c r="G139">
        <v>27786564</v>
      </c>
      <c r="H139">
        <v>1</v>
      </c>
      <c r="I139" t="s">
        <v>438</v>
      </c>
      <c r="J139" t="s">
        <v>3</v>
      </c>
      <c r="K139" t="s">
        <v>439</v>
      </c>
      <c r="L139">
        <v>1191</v>
      </c>
      <c r="N139">
        <v>1013</v>
      </c>
      <c r="O139" t="s">
        <v>440</v>
      </c>
      <c r="P139" t="s">
        <v>440</v>
      </c>
      <c r="Q139">
        <v>1</v>
      </c>
      <c r="W139">
        <v>0</v>
      </c>
      <c r="X139">
        <v>476480486</v>
      </c>
      <c r="Y139">
        <f>(AT139*1.1)</f>
        <v>17.501000000000001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15.91</v>
      </c>
      <c r="AU139" t="s">
        <v>22</v>
      </c>
      <c r="AV139">
        <v>1</v>
      </c>
      <c r="AW139">
        <v>2</v>
      </c>
      <c r="AX139">
        <v>56612158</v>
      </c>
      <c r="AY139">
        <v>1</v>
      </c>
      <c r="AZ139">
        <v>0</v>
      </c>
      <c r="BA139">
        <v>187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U139">
        <f>ROUND(AT139*Source!I115*AH139*AL139,2)</f>
        <v>0</v>
      </c>
      <c r="CV139">
        <f>ROUND(Y139*Source!I115,9)</f>
        <v>0</v>
      </c>
      <c r="CW139">
        <v>0</v>
      </c>
      <c r="CX139">
        <f>ROUND(Y139*Source!I115,9)</f>
        <v>0</v>
      </c>
      <c r="CY139">
        <f>AD139</f>
        <v>0</v>
      </c>
      <c r="CZ139">
        <f>AH139</f>
        <v>0</v>
      </c>
      <c r="DA139">
        <f>AL139</f>
        <v>1</v>
      </c>
      <c r="DB139">
        <f>ROUND((ROUND(AT139*CZ139,2)*1.1),6)</f>
        <v>0</v>
      </c>
      <c r="DC139">
        <f>ROUND((ROUND(AT139*AG139,2)*1.1),6)</f>
        <v>0</v>
      </c>
      <c r="DD139" t="s">
        <v>3</v>
      </c>
      <c r="DE139" t="s">
        <v>3</v>
      </c>
      <c r="DF139">
        <f t="shared" ref="DF139:DF153" si="88">ROUND(ROUND(AE139,2)*CX139,2)</f>
        <v>0</v>
      </c>
      <c r="DG139">
        <f t="shared" si="86"/>
        <v>0</v>
      </c>
      <c r="DH139">
        <f t="shared" si="87"/>
        <v>0</v>
      </c>
      <c r="DI139">
        <f t="shared" si="84"/>
        <v>0</v>
      </c>
      <c r="DJ139">
        <f>DI139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ROW(Source!A115)</f>
        <v>115</v>
      </c>
      <c r="B140">
        <v>56622523</v>
      </c>
      <c r="C140">
        <v>56612146</v>
      </c>
      <c r="D140">
        <v>30415180</v>
      </c>
      <c r="E140">
        <v>1</v>
      </c>
      <c r="F140">
        <v>1</v>
      </c>
      <c r="G140">
        <v>27786564</v>
      </c>
      <c r="H140">
        <v>2</v>
      </c>
      <c r="I140" t="s">
        <v>497</v>
      </c>
      <c r="J140" t="s">
        <v>498</v>
      </c>
      <c r="K140" t="s">
        <v>499</v>
      </c>
      <c r="L140">
        <v>1367</v>
      </c>
      <c r="N140">
        <v>1011</v>
      </c>
      <c r="O140" t="s">
        <v>500</v>
      </c>
      <c r="P140" t="s">
        <v>500</v>
      </c>
      <c r="Q140">
        <v>1</v>
      </c>
      <c r="W140">
        <v>0</v>
      </c>
      <c r="X140">
        <v>-1617702558</v>
      </c>
      <c r="Y140">
        <f>(AT140*1.1)</f>
        <v>1.7820000000000003</v>
      </c>
      <c r="AA140">
        <v>0</v>
      </c>
      <c r="AB140">
        <v>36.08</v>
      </c>
      <c r="AC140">
        <v>3.1</v>
      </c>
      <c r="AD140">
        <v>0</v>
      </c>
      <c r="AE140">
        <v>0</v>
      </c>
      <c r="AF140">
        <v>36.08</v>
      </c>
      <c r="AG140">
        <v>3.1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1.62</v>
      </c>
      <c r="AU140" t="s">
        <v>22</v>
      </c>
      <c r="AV140">
        <v>0</v>
      </c>
      <c r="AW140">
        <v>2</v>
      </c>
      <c r="AX140">
        <v>56612159</v>
      </c>
      <c r="AY140">
        <v>1</v>
      </c>
      <c r="AZ140">
        <v>0</v>
      </c>
      <c r="BA140">
        <v>188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ROUND(Y140*Source!I115*DO140,9)</f>
        <v>0</v>
      </c>
      <c r="CX140">
        <f>ROUND(Y140*Source!I115,9)</f>
        <v>0</v>
      </c>
      <c r="CY140">
        <f>AB140</f>
        <v>36.08</v>
      </c>
      <c r="CZ140">
        <f>AF140</f>
        <v>36.08</v>
      </c>
      <c r="DA140">
        <f>AJ140</f>
        <v>1</v>
      </c>
      <c r="DB140">
        <f>ROUND((ROUND(AT140*CZ140,2)*1.1),6)</f>
        <v>64.295000000000002</v>
      </c>
      <c r="DC140">
        <f>ROUND((ROUND(AT140*AG140,2)*1.1),6)</f>
        <v>5.5220000000000002</v>
      </c>
      <c r="DD140" t="s">
        <v>3</v>
      </c>
      <c r="DE140" t="s">
        <v>3</v>
      </c>
      <c r="DF140">
        <f t="shared" si="88"/>
        <v>0</v>
      </c>
      <c r="DG140">
        <f t="shared" si="86"/>
        <v>0</v>
      </c>
      <c r="DH140">
        <f t="shared" si="87"/>
        <v>0</v>
      </c>
      <c r="DI140">
        <f t="shared" si="84"/>
        <v>0</v>
      </c>
      <c r="DJ140">
        <f>DG140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ROW(Source!A115)</f>
        <v>115</v>
      </c>
      <c r="B141">
        <v>56622523</v>
      </c>
      <c r="C141">
        <v>56612146</v>
      </c>
      <c r="D141">
        <v>47767106</v>
      </c>
      <c r="E141">
        <v>1</v>
      </c>
      <c r="F141">
        <v>1</v>
      </c>
      <c r="G141">
        <v>27786564</v>
      </c>
      <c r="H141">
        <v>2</v>
      </c>
      <c r="I141" t="s">
        <v>460</v>
      </c>
      <c r="J141" t="s">
        <v>461</v>
      </c>
      <c r="K141" t="s">
        <v>462</v>
      </c>
      <c r="L141">
        <v>1368</v>
      </c>
      <c r="N141">
        <v>1011</v>
      </c>
      <c r="O141" t="s">
        <v>444</v>
      </c>
      <c r="P141" t="s">
        <v>444</v>
      </c>
      <c r="Q141">
        <v>1</v>
      </c>
      <c r="W141">
        <v>0</v>
      </c>
      <c r="X141">
        <v>-7781208</v>
      </c>
      <c r="Y141">
        <f>(AT141*1.1)</f>
        <v>1.1000000000000001E-2</v>
      </c>
      <c r="AA141">
        <v>0</v>
      </c>
      <c r="AB141">
        <v>83.1</v>
      </c>
      <c r="AC141">
        <v>12.62</v>
      </c>
      <c r="AD141">
        <v>0</v>
      </c>
      <c r="AE141">
        <v>0</v>
      </c>
      <c r="AF141">
        <v>83.1</v>
      </c>
      <c r="AG141">
        <v>12.62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0.01</v>
      </c>
      <c r="AU141" t="s">
        <v>22</v>
      </c>
      <c r="AV141">
        <v>0</v>
      </c>
      <c r="AW141">
        <v>2</v>
      </c>
      <c r="AX141">
        <v>56612160</v>
      </c>
      <c r="AY141">
        <v>1</v>
      </c>
      <c r="AZ141">
        <v>0</v>
      </c>
      <c r="BA141">
        <v>189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ROUND(Y141*Source!I115*DO141,9)</f>
        <v>0</v>
      </c>
      <c r="CX141">
        <f>ROUND(Y141*Source!I115,9)</f>
        <v>0</v>
      </c>
      <c r="CY141">
        <f>AB141</f>
        <v>83.1</v>
      </c>
      <c r="CZ141">
        <f>AF141</f>
        <v>83.1</v>
      </c>
      <c r="DA141">
        <f>AJ141</f>
        <v>1</v>
      </c>
      <c r="DB141">
        <f>ROUND((ROUND(AT141*CZ141,2)*1.1),6)</f>
        <v>0.91300000000000003</v>
      </c>
      <c r="DC141">
        <f>ROUND((ROUND(AT141*AG141,2)*1.1),6)</f>
        <v>0.14299999999999999</v>
      </c>
      <c r="DD141" t="s">
        <v>3</v>
      </c>
      <c r="DE141" t="s">
        <v>3</v>
      </c>
      <c r="DF141">
        <f t="shared" si="88"/>
        <v>0</v>
      </c>
      <c r="DG141">
        <f t="shared" si="86"/>
        <v>0</v>
      </c>
      <c r="DH141">
        <f t="shared" si="87"/>
        <v>0</v>
      </c>
      <c r="DI141">
        <f t="shared" si="84"/>
        <v>0</v>
      </c>
      <c r="DJ141">
        <f>DG141</f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ROW(Source!A115)</f>
        <v>115</v>
      </c>
      <c r="B142">
        <v>56622523</v>
      </c>
      <c r="C142">
        <v>56612146</v>
      </c>
      <c r="D142">
        <v>47766531</v>
      </c>
      <c r="E142">
        <v>1</v>
      </c>
      <c r="F142">
        <v>1</v>
      </c>
      <c r="G142">
        <v>27786564</v>
      </c>
      <c r="H142">
        <v>2</v>
      </c>
      <c r="I142" t="s">
        <v>501</v>
      </c>
      <c r="J142" t="s">
        <v>502</v>
      </c>
      <c r="K142" t="s">
        <v>503</v>
      </c>
      <c r="L142">
        <v>1368</v>
      </c>
      <c r="N142">
        <v>1011</v>
      </c>
      <c r="O142" t="s">
        <v>444</v>
      </c>
      <c r="P142" t="s">
        <v>444</v>
      </c>
      <c r="Q142">
        <v>1</v>
      </c>
      <c r="W142">
        <v>0</v>
      </c>
      <c r="X142">
        <v>1952891416</v>
      </c>
      <c r="Y142">
        <f>(AT142*1.1)</f>
        <v>0.18700000000000003</v>
      </c>
      <c r="AA142">
        <v>0</v>
      </c>
      <c r="AB142">
        <v>0.17</v>
      </c>
      <c r="AC142">
        <v>0</v>
      </c>
      <c r="AD142">
        <v>0</v>
      </c>
      <c r="AE142">
        <v>0</v>
      </c>
      <c r="AF142">
        <v>0.17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0.17</v>
      </c>
      <c r="AU142" t="s">
        <v>22</v>
      </c>
      <c r="AV142">
        <v>0</v>
      </c>
      <c r="AW142">
        <v>2</v>
      </c>
      <c r="AX142">
        <v>56612161</v>
      </c>
      <c r="AY142">
        <v>1</v>
      </c>
      <c r="AZ142">
        <v>0</v>
      </c>
      <c r="BA142">
        <v>190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ROUND(Y142*Source!I115*DO142,9)</f>
        <v>0</v>
      </c>
      <c r="CX142">
        <f>ROUND(Y142*Source!I115,9)</f>
        <v>0</v>
      </c>
      <c r="CY142">
        <f>AB142</f>
        <v>0.17</v>
      </c>
      <c r="CZ142">
        <f>AF142</f>
        <v>0.17</v>
      </c>
      <c r="DA142">
        <f>AJ142</f>
        <v>1</v>
      </c>
      <c r="DB142">
        <f>ROUND((ROUND(AT142*CZ142,2)*1.1),6)</f>
        <v>3.3000000000000002E-2</v>
      </c>
      <c r="DC142">
        <f>ROUND((ROUND(AT142*AG142,2)*1.1),6)</f>
        <v>0</v>
      </c>
      <c r="DD142" t="s">
        <v>3</v>
      </c>
      <c r="DE142" t="s">
        <v>3</v>
      </c>
      <c r="DF142">
        <f t="shared" si="88"/>
        <v>0</v>
      </c>
      <c r="DG142">
        <f t="shared" si="86"/>
        <v>0</v>
      </c>
      <c r="DH142">
        <f t="shared" si="87"/>
        <v>0</v>
      </c>
      <c r="DI142">
        <f t="shared" si="84"/>
        <v>0</v>
      </c>
      <c r="DJ142">
        <f>DG142</f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ROW(Source!A115)</f>
        <v>115</v>
      </c>
      <c r="B143">
        <v>56622523</v>
      </c>
      <c r="C143">
        <v>56612146</v>
      </c>
      <c r="D143">
        <v>30390462</v>
      </c>
      <c r="E143">
        <v>1</v>
      </c>
      <c r="F143">
        <v>1</v>
      </c>
      <c r="G143">
        <v>27786564</v>
      </c>
      <c r="H143">
        <v>3</v>
      </c>
      <c r="I143" t="s">
        <v>504</v>
      </c>
      <c r="J143" t="s">
        <v>505</v>
      </c>
      <c r="K143" t="s">
        <v>506</v>
      </c>
      <c r="L143">
        <v>1346</v>
      </c>
      <c r="N143">
        <v>1009</v>
      </c>
      <c r="O143" t="s">
        <v>104</v>
      </c>
      <c r="P143" t="s">
        <v>104</v>
      </c>
      <c r="Q143">
        <v>1</v>
      </c>
      <c r="W143">
        <v>0</v>
      </c>
      <c r="X143">
        <v>-1299596119</v>
      </c>
      <c r="Y143">
        <f t="shared" ref="Y143:Y149" si="89">AT143</f>
        <v>0.5</v>
      </c>
      <c r="AA143">
        <v>1.61</v>
      </c>
      <c r="AB143">
        <v>0</v>
      </c>
      <c r="AC143">
        <v>0</v>
      </c>
      <c r="AD143">
        <v>0</v>
      </c>
      <c r="AE143">
        <v>1.61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0.5</v>
      </c>
      <c r="AU143" t="s">
        <v>3</v>
      </c>
      <c r="AV143">
        <v>0</v>
      </c>
      <c r="AW143">
        <v>2</v>
      </c>
      <c r="AX143">
        <v>56612162</v>
      </c>
      <c r="AY143">
        <v>1</v>
      </c>
      <c r="AZ143">
        <v>0</v>
      </c>
      <c r="BA143">
        <v>191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ROUND(Y143*Source!I115,9)</f>
        <v>0</v>
      </c>
      <c r="CY143">
        <f t="shared" ref="CY143:CY149" si="90">AA143</f>
        <v>1.61</v>
      </c>
      <c r="CZ143">
        <f t="shared" ref="CZ143:CZ149" si="91">AE143</f>
        <v>1.61</v>
      </c>
      <c r="DA143">
        <f t="shared" ref="DA143:DA149" si="92">AI143</f>
        <v>1</v>
      </c>
      <c r="DB143">
        <f t="shared" ref="DB143:DB149" si="93">ROUND(ROUND(AT143*CZ143,2),6)</f>
        <v>0.81</v>
      </c>
      <c r="DC143">
        <f t="shared" ref="DC143:DC149" si="94">ROUND(ROUND(AT143*AG143,2),6)</f>
        <v>0</v>
      </c>
      <c r="DD143" t="s">
        <v>3</v>
      </c>
      <c r="DE143" t="s">
        <v>3</v>
      </c>
      <c r="DF143">
        <f t="shared" si="88"/>
        <v>0</v>
      </c>
      <c r="DG143">
        <f t="shared" si="86"/>
        <v>0</v>
      </c>
      <c r="DH143">
        <f t="shared" si="87"/>
        <v>0</v>
      </c>
      <c r="DI143">
        <f t="shared" si="84"/>
        <v>0</v>
      </c>
      <c r="DJ143">
        <f t="shared" ref="DJ143:DJ149" si="95">DF143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ROW(Source!A115)</f>
        <v>115</v>
      </c>
      <c r="B144">
        <v>56622523</v>
      </c>
      <c r="C144">
        <v>56612146</v>
      </c>
      <c r="D144">
        <v>46724002</v>
      </c>
      <c r="E144">
        <v>1</v>
      </c>
      <c r="F144">
        <v>1</v>
      </c>
      <c r="G144">
        <v>27786564</v>
      </c>
      <c r="H144">
        <v>3</v>
      </c>
      <c r="I144" t="s">
        <v>507</v>
      </c>
      <c r="J144" t="s">
        <v>508</v>
      </c>
      <c r="K144" t="s">
        <v>509</v>
      </c>
      <c r="L144">
        <v>1327</v>
      </c>
      <c r="N144">
        <v>1005</v>
      </c>
      <c r="O144" t="s">
        <v>510</v>
      </c>
      <c r="P144" t="s">
        <v>510</v>
      </c>
      <c r="Q144">
        <v>1</v>
      </c>
      <c r="W144">
        <v>0</v>
      </c>
      <c r="X144">
        <v>-1214100842</v>
      </c>
      <c r="Y144">
        <f t="shared" si="89"/>
        <v>0.05</v>
      </c>
      <c r="AA144">
        <v>127.33</v>
      </c>
      <c r="AB144">
        <v>0</v>
      </c>
      <c r="AC144">
        <v>0</v>
      </c>
      <c r="AD144">
        <v>0</v>
      </c>
      <c r="AE144">
        <v>127.33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0.05</v>
      </c>
      <c r="AU144" t="s">
        <v>3</v>
      </c>
      <c r="AV144">
        <v>0</v>
      </c>
      <c r="AW144">
        <v>2</v>
      </c>
      <c r="AX144">
        <v>56612163</v>
      </c>
      <c r="AY144">
        <v>1</v>
      </c>
      <c r="AZ144">
        <v>0</v>
      </c>
      <c r="BA144">
        <v>192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ROUND(Y144*Source!I115,9)</f>
        <v>0</v>
      </c>
      <c r="CY144">
        <f t="shared" si="90"/>
        <v>127.33</v>
      </c>
      <c r="CZ144">
        <f t="shared" si="91"/>
        <v>127.33</v>
      </c>
      <c r="DA144">
        <f t="shared" si="92"/>
        <v>1</v>
      </c>
      <c r="DB144">
        <f t="shared" si="93"/>
        <v>6.37</v>
      </c>
      <c r="DC144">
        <f t="shared" si="94"/>
        <v>0</v>
      </c>
      <c r="DD144" t="s">
        <v>3</v>
      </c>
      <c r="DE144" t="s">
        <v>3</v>
      </c>
      <c r="DF144">
        <f t="shared" si="88"/>
        <v>0</v>
      </c>
      <c r="DG144">
        <f t="shared" si="86"/>
        <v>0</v>
      </c>
      <c r="DH144">
        <f t="shared" si="87"/>
        <v>0</v>
      </c>
      <c r="DI144">
        <f t="shared" si="84"/>
        <v>0</v>
      </c>
      <c r="DJ144">
        <f t="shared" si="95"/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ROW(Source!A115)</f>
        <v>115</v>
      </c>
      <c r="B145">
        <v>56622523</v>
      </c>
      <c r="C145">
        <v>56612146</v>
      </c>
      <c r="D145">
        <v>37620224</v>
      </c>
      <c r="E145">
        <v>1</v>
      </c>
      <c r="F145">
        <v>1</v>
      </c>
      <c r="G145">
        <v>27786564</v>
      </c>
      <c r="H145">
        <v>3</v>
      </c>
      <c r="I145" t="s">
        <v>494</v>
      </c>
      <c r="J145" t="s">
        <v>495</v>
      </c>
      <c r="K145" t="s">
        <v>496</v>
      </c>
      <c r="L145">
        <v>1346</v>
      </c>
      <c r="N145">
        <v>1009</v>
      </c>
      <c r="O145" t="s">
        <v>104</v>
      </c>
      <c r="P145" t="s">
        <v>104</v>
      </c>
      <c r="Q145">
        <v>1</v>
      </c>
      <c r="W145">
        <v>0</v>
      </c>
      <c r="X145">
        <v>-1770684771</v>
      </c>
      <c r="Y145">
        <f t="shared" si="89"/>
        <v>2.52</v>
      </c>
      <c r="AA145">
        <v>6.27</v>
      </c>
      <c r="AB145">
        <v>0</v>
      </c>
      <c r="AC145">
        <v>0</v>
      </c>
      <c r="AD145">
        <v>0</v>
      </c>
      <c r="AE145">
        <v>6.27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2.52</v>
      </c>
      <c r="AU145" t="s">
        <v>3</v>
      </c>
      <c r="AV145">
        <v>0</v>
      </c>
      <c r="AW145">
        <v>2</v>
      </c>
      <c r="AX145">
        <v>56612164</v>
      </c>
      <c r="AY145">
        <v>1</v>
      </c>
      <c r="AZ145">
        <v>0</v>
      </c>
      <c r="BA145">
        <v>193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ROUND(Y145*Source!I115,9)</f>
        <v>0</v>
      </c>
      <c r="CY145">
        <f t="shared" si="90"/>
        <v>6.27</v>
      </c>
      <c r="CZ145">
        <f t="shared" si="91"/>
        <v>6.27</v>
      </c>
      <c r="DA145">
        <f t="shared" si="92"/>
        <v>1</v>
      </c>
      <c r="DB145">
        <f t="shared" si="93"/>
        <v>15.8</v>
      </c>
      <c r="DC145">
        <f t="shared" si="94"/>
        <v>0</v>
      </c>
      <c r="DD145" t="s">
        <v>3</v>
      </c>
      <c r="DE145" t="s">
        <v>3</v>
      </c>
      <c r="DF145">
        <f t="shared" si="88"/>
        <v>0</v>
      </c>
      <c r="DG145">
        <f t="shared" si="86"/>
        <v>0</v>
      </c>
      <c r="DH145">
        <f t="shared" si="87"/>
        <v>0</v>
      </c>
      <c r="DI145">
        <f t="shared" si="84"/>
        <v>0</v>
      </c>
      <c r="DJ145">
        <f t="shared" si="95"/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ROW(Source!A115)</f>
        <v>115</v>
      </c>
      <c r="B146">
        <v>56622523</v>
      </c>
      <c r="C146">
        <v>56612146</v>
      </c>
      <c r="D146">
        <v>46724617</v>
      </c>
      <c r="E146">
        <v>1</v>
      </c>
      <c r="F146">
        <v>1</v>
      </c>
      <c r="G146">
        <v>27786564</v>
      </c>
      <c r="H146">
        <v>3</v>
      </c>
      <c r="I146" t="s">
        <v>511</v>
      </c>
      <c r="J146" t="s">
        <v>512</v>
      </c>
      <c r="K146" t="s">
        <v>513</v>
      </c>
      <c r="L146">
        <v>1354</v>
      </c>
      <c r="N146">
        <v>1010</v>
      </c>
      <c r="O146" t="s">
        <v>93</v>
      </c>
      <c r="P146" t="s">
        <v>93</v>
      </c>
      <c r="Q146">
        <v>1</v>
      </c>
      <c r="W146">
        <v>0</v>
      </c>
      <c r="X146">
        <v>-253095062</v>
      </c>
      <c r="Y146">
        <f t="shared" si="89"/>
        <v>3.2</v>
      </c>
      <c r="AA146">
        <v>3.22</v>
      </c>
      <c r="AB146">
        <v>0</v>
      </c>
      <c r="AC146">
        <v>0</v>
      </c>
      <c r="AD146">
        <v>0</v>
      </c>
      <c r="AE146">
        <v>3.22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3.2</v>
      </c>
      <c r="AU146" t="s">
        <v>3</v>
      </c>
      <c r="AV146">
        <v>0</v>
      </c>
      <c r="AW146">
        <v>2</v>
      </c>
      <c r="AX146">
        <v>56612165</v>
      </c>
      <c r="AY146">
        <v>1</v>
      </c>
      <c r="AZ146">
        <v>0</v>
      </c>
      <c r="BA146">
        <v>194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ROUND(Y146*Source!I115,9)</f>
        <v>0</v>
      </c>
      <c r="CY146">
        <f t="shared" si="90"/>
        <v>3.22</v>
      </c>
      <c r="CZ146">
        <f t="shared" si="91"/>
        <v>3.22</v>
      </c>
      <c r="DA146">
        <f t="shared" si="92"/>
        <v>1</v>
      </c>
      <c r="DB146">
        <f t="shared" si="93"/>
        <v>10.3</v>
      </c>
      <c r="DC146">
        <f t="shared" si="94"/>
        <v>0</v>
      </c>
      <c r="DD146" t="s">
        <v>3</v>
      </c>
      <c r="DE146" t="s">
        <v>3</v>
      </c>
      <c r="DF146">
        <f t="shared" si="88"/>
        <v>0</v>
      </c>
      <c r="DG146">
        <f t="shared" si="86"/>
        <v>0</v>
      </c>
      <c r="DH146">
        <f t="shared" si="87"/>
        <v>0</v>
      </c>
      <c r="DI146">
        <f t="shared" si="84"/>
        <v>0</v>
      </c>
      <c r="DJ146">
        <f t="shared" si="95"/>
        <v>0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ROW(Source!A115)</f>
        <v>115</v>
      </c>
      <c r="B147">
        <v>56622523</v>
      </c>
      <c r="C147">
        <v>56612146</v>
      </c>
      <c r="D147">
        <v>52044395</v>
      </c>
      <c r="E147">
        <v>1</v>
      </c>
      <c r="F147">
        <v>1</v>
      </c>
      <c r="G147">
        <v>27786564</v>
      </c>
      <c r="H147">
        <v>3</v>
      </c>
      <c r="I147" t="s">
        <v>514</v>
      </c>
      <c r="J147" t="s">
        <v>515</v>
      </c>
      <c r="K147" t="s">
        <v>516</v>
      </c>
      <c r="L147">
        <v>1348</v>
      </c>
      <c r="N147">
        <v>1009</v>
      </c>
      <c r="O147" t="s">
        <v>330</v>
      </c>
      <c r="P147" t="s">
        <v>330</v>
      </c>
      <c r="Q147">
        <v>1000</v>
      </c>
      <c r="W147">
        <v>0</v>
      </c>
      <c r="X147">
        <v>2137922803</v>
      </c>
      <c r="Y147">
        <f t="shared" si="89"/>
        <v>1.0000000000000001E-5</v>
      </c>
      <c r="AA147">
        <v>81246.399999999994</v>
      </c>
      <c r="AB147">
        <v>0</v>
      </c>
      <c r="AC147">
        <v>0</v>
      </c>
      <c r="AD147">
        <v>0</v>
      </c>
      <c r="AE147">
        <v>81246.399999999994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1.0000000000000001E-5</v>
      </c>
      <c r="AU147" t="s">
        <v>3</v>
      </c>
      <c r="AV147">
        <v>0</v>
      </c>
      <c r="AW147">
        <v>2</v>
      </c>
      <c r="AX147">
        <v>56612166</v>
      </c>
      <c r="AY147">
        <v>1</v>
      </c>
      <c r="AZ147">
        <v>0</v>
      </c>
      <c r="BA147">
        <v>195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ROUND(Y147*Source!I115,9)</f>
        <v>0</v>
      </c>
      <c r="CY147">
        <f t="shared" si="90"/>
        <v>81246.399999999994</v>
      </c>
      <c r="CZ147">
        <f t="shared" si="91"/>
        <v>81246.399999999994</v>
      </c>
      <c r="DA147">
        <f t="shared" si="92"/>
        <v>1</v>
      </c>
      <c r="DB147">
        <f t="shared" si="93"/>
        <v>0.81</v>
      </c>
      <c r="DC147">
        <f t="shared" si="94"/>
        <v>0</v>
      </c>
      <c r="DD147" t="s">
        <v>3</v>
      </c>
      <c r="DE147" t="s">
        <v>3</v>
      </c>
      <c r="DF147">
        <f t="shared" si="88"/>
        <v>0</v>
      </c>
      <c r="DG147">
        <f t="shared" si="86"/>
        <v>0</v>
      </c>
      <c r="DH147">
        <f t="shared" si="87"/>
        <v>0</v>
      </c>
      <c r="DI147">
        <f t="shared" si="84"/>
        <v>0</v>
      </c>
      <c r="DJ147">
        <f t="shared" si="95"/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ROW(Source!A115)</f>
        <v>115</v>
      </c>
      <c r="B148">
        <v>56622523</v>
      </c>
      <c r="C148">
        <v>56612146</v>
      </c>
      <c r="D148">
        <v>52044947</v>
      </c>
      <c r="E148">
        <v>1</v>
      </c>
      <c r="F148">
        <v>1</v>
      </c>
      <c r="G148">
        <v>27786564</v>
      </c>
      <c r="H148">
        <v>3</v>
      </c>
      <c r="I148" t="s">
        <v>517</v>
      </c>
      <c r="J148" t="s">
        <v>518</v>
      </c>
      <c r="K148" t="s">
        <v>519</v>
      </c>
      <c r="L148">
        <v>1296</v>
      </c>
      <c r="N148">
        <v>1013</v>
      </c>
      <c r="O148" t="s">
        <v>520</v>
      </c>
      <c r="P148" t="s">
        <v>520</v>
      </c>
      <c r="Q148">
        <v>1</v>
      </c>
      <c r="W148">
        <v>0</v>
      </c>
      <c r="X148">
        <v>-731562681</v>
      </c>
      <c r="Y148">
        <f t="shared" si="89"/>
        <v>0.6</v>
      </c>
      <c r="AA148">
        <v>16.260000000000002</v>
      </c>
      <c r="AB148">
        <v>0</v>
      </c>
      <c r="AC148">
        <v>0</v>
      </c>
      <c r="AD148">
        <v>0</v>
      </c>
      <c r="AE148">
        <v>16.260000000000002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0.6</v>
      </c>
      <c r="AU148" t="s">
        <v>3</v>
      </c>
      <c r="AV148">
        <v>0</v>
      </c>
      <c r="AW148">
        <v>2</v>
      </c>
      <c r="AX148">
        <v>56612167</v>
      </c>
      <c r="AY148">
        <v>1</v>
      </c>
      <c r="AZ148">
        <v>0</v>
      </c>
      <c r="BA148">
        <v>196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ROUND(Y148*Source!I115,9)</f>
        <v>0</v>
      </c>
      <c r="CY148">
        <f t="shared" si="90"/>
        <v>16.260000000000002</v>
      </c>
      <c r="CZ148">
        <f t="shared" si="91"/>
        <v>16.260000000000002</v>
      </c>
      <c r="DA148">
        <f t="shared" si="92"/>
        <v>1</v>
      </c>
      <c r="DB148">
        <f t="shared" si="93"/>
        <v>9.76</v>
      </c>
      <c r="DC148">
        <f t="shared" si="94"/>
        <v>0</v>
      </c>
      <c r="DD148" t="s">
        <v>3</v>
      </c>
      <c r="DE148" t="s">
        <v>3</v>
      </c>
      <c r="DF148">
        <f t="shared" si="88"/>
        <v>0</v>
      </c>
      <c r="DG148">
        <f t="shared" si="86"/>
        <v>0</v>
      </c>
      <c r="DH148">
        <f t="shared" si="87"/>
        <v>0</v>
      </c>
      <c r="DI148">
        <f t="shared" si="84"/>
        <v>0</v>
      </c>
      <c r="DJ148">
        <f t="shared" si="95"/>
        <v>0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ROW(Source!A115)</f>
        <v>115</v>
      </c>
      <c r="B149">
        <v>56622523</v>
      </c>
      <c r="C149">
        <v>56612146</v>
      </c>
      <c r="D149">
        <v>36618846</v>
      </c>
      <c r="E149">
        <v>1</v>
      </c>
      <c r="F149">
        <v>1</v>
      </c>
      <c r="G149">
        <v>27786564</v>
      </c>
      <c r="H149">
        <v>3</v>
      </c>
      <c r="I149" t="s">
        <v>209</v>
      </c>
      <c r="J149" t="s">
        <v>211</v>
      </c>
      <c r="K149" t="s">
        <v>210</v>
      </c>
      <c r="L149">
        <v>1391</v>
      </c>
      <c r="N149">
        <v>1013</v>
      </c>
      <c r="O149" t="s">
        <v>194</v>
      </c>
      <c r="P149" t="s">
        <v>194</v>
      </c>
      <c r="Q149">
        <v>1</v>
      </c>
      <c r="W149">
        <v>0</v>
      </c>
      <c r="X149">
        <v>-1887196261</v>
      </c>
      <c r="Y149">
        <f t="shared" si="89"/>
        <v>1</v>
      </c>
      <c r="AA149">
        <v>2965.53</v>
      </c>
      <c r="AB149">
        <v>0</v>
      </c>
      <c r="AC149">
        <v>0</v>
      </c>
      <c r="AD149">
        <v>0</v>
      </c>
      <c r="AE149">
        <v>2965.53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0</v>
      </c>
      <c r="AP149">
        <v>1</v>
      </c>
      <c r="AQ149">
        <v>0</v>
      </c>
      <c r="AR149">
        <v>0</v>
      </c>
      <c r="AS149" t="s">
        <v>3</v>
      </c>
      <c r="AT149">
        <v>1</v>
      </c>
      <c r="AU149" t="s">
        <v>3</v>
      </c>
      <c r="AV149">
        <v>0</v>
      </c>
      <c r="AW149">
        <v>1</v>
      </c>
      <c r="AX149">
        <v>-1</v>
      </c>
      <c r="AY149">
        <v>0</v>
      </c>
      <c r="AZ149">
        <v>0</v>
      </c>
      <c r="BA149" t="s">
        <v>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ROUND(Y149*Source!I115,9)</f>
        <v>0</v>
      </c>
      <c r="CY149">
        <f t="shared" si="90"/>
        <v>2965.53</v>
      </c>
      <c r="CZ149">
        <f t="shared" si="91"/>
        <v>2965.53</v>
      </c>
      <c r="DA149">
        <f t="shared" si="92"/>
        <v>1</v>
      </c>
      <c r="DB149">
        <f t="shared" si="93"/>
        <v>2965.53</v>
      </c>
      <c r="DC149">
        <f t="shared" si="94"/>
        <v>0</v>
      </c>
      <c r="DD149" t="s">
        <v>3</v>
      </c>
      <c r="DE149" t="s">
        <v>3</v>
      </c>
      <c r="DF149">
        <f t="shared" si="88"/>
        <v>0</v>
      </c>
      <c r="DG149">
        <f t="shared" si="86"/>
        <v>0</v>
      </c>
      <c r="DH149">
        <f t="shared" si="87"/>
        <v>0</v>
      </c>
      <c r="DI149">
        <f t="shared" si="84"/>
        <v>0</v>
      </c>
      <c r="DJ149">
        <f t="shared" si="95"/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ROW(Source!A116)</f>
        <v>116</v>
      </c>
      <c r="B150">
        <v>56611490</v>
      </c>
      <c r="C150">
        <v>56612146</v>
      </c>
      <c r="D150">
        <v>47634407</v>
      </c>
      <c r="E150">
        <v>27786564</v>
      </c>
      <c r="F150">
        <v>1</v>
      </c>
      <c r="G150">
        <v>27786564</v>
      </c>
      <c r="H150">
        <v>1</v>
      </c>
      <c r="I150" t="s">
        <v>438</v>
      </c>
      <c r="J150" t="s">
        <v>3</v>
      </c>
      <c r="K150" t="s">
        <v>439</v>
      </c>
      <c r="L150">
        <v>1191</v>
      </c>
      <c r="N150">
        <v>1013</v>
      </c>
      <c r="O150" t="s">
        <v>440</v>
      </c>
      <c r="P150" t="s">
        <v>440</v>
      </c>
      <c r="Q150">
        <v>1</v>
      </c>
      <c r="W150">
        <v>0</v>
      </c>
      <c r="X150">
        <v>476480486</v>
      </c>
      <c r="Y150">
        <f>(AT150*1.1)</f>
        <v>17.501000000000001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15.91</v>
      </c>
      <c r="AU150" t="s">
        <v>22</v>
      </c>
      <c r="AV150">
        <v>1</v>
      </c>
      <c r="AW150">
        <v>2</v>
      </c>
      <c r="AX150">
        <v>56612158</v>
      </c>
      <c r="AY150">
        <v>1</v>
      </c>
      <c r="AZ150">
        <v>0</v>
      </c>
      <c r="BA150">
        <v>198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U150">
        <f>ROUND(AT150*Source!I116*AH150*AL150,2)</f>
        <v>0</v>
      </c>
      <c r="CV150">
        <f>ROUND(Y150*Source!I116,9)</f>
        <v>0</v>
      </c>
      <c r="CW150">
        <v>0</v>
      </c>
      <c r="CX150">
        <f>ROUND(Y150*Source!I116,9)</f>
        <v>0</v>
      </c>
      <c r="CY150">
        <f>AD150</f>
        <v>0</v>
      </c>
      <c r="CZ150">
        <f>AH150</f>
        <v>0</v>
      </c>
      <c r="DA150">
        <f>AL150</f>
        <v>1</v>
      </c>
      <c r="DB150">
        <f>ROUND((ROUND(AT150*CZ150,2)*1.1),6)</f>
        <v>0</v>
      </c>
      <c r="DC150">
        <f>ROUND((ROUND(AT150*AG150,2)*1.1),6)</f>
        <v>0</v>
      </c>
      <c r="DD150" t="s">
        <v>3</v>
      </c>
      <c r="DE150" t="s">
        <v>3</v>
      </c>
      <c r="DF150">
        <f t="shared" si="88"/>
        <v>0</v>
      </c>
      <c r="DG150">
        <f t="shared" si="86"/>
        <v>0</v>
      </c>
      <c r="DH150">
        <f t="shared" si="87"/>
        <v>0</v>
      </c>
      <c r="DI150">
        <f t="shared" si="84"/>
        <v>0</v>
      </c>
      <c r="DJ150">
        <f>DI150</f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ROW(Source!A116)</f>
        <v>116</v>
      </c>
      <c r="B151">
        <v>56611490</v>
      </c>
      <c r="C151">
        <v>56612146</v>
      </c>
      <c r="D151">
        <v>30415180</v>
      </c>
      <c r="E151">
        <v>1</v>
      </c>
      <c r="F151">
        <v>1</v>
      </c>
      <c r="G151">
        <v>27786564</v>
      </c>
      <c r="H151">
        <v>2</v>
      </c>
      <c r="I151" t="s">
        <v>497</v>
      </c>
      <c r="J151" t="s">
        <v>498</v>
      </c>
      <c r="K151" t="s">
        <v>499</v>
      </c>
      <c r="L151">
        <v>1367</v>
      </c>
      <c r="N151">
        <v>1011</v>
      </c>
      <c r="O151" t="s">
        <v>500</v>
      </c>
      <c r="P151" t="s">
        <v>500</v>
      </c>
      <c r="Q151">
        <v>1</v>
      </c>
      <c r="W151">
        <v>0</v>
      </c>
      <c r="X151">
        <v>-1617702558</v>
      </c>
      <c r="Y151">
        <f>(AT151*1.1)</f>
        <v>1.7820000000000003</v>
      </c>
      <c r="AA151">
        <v>0</v>
      </c>
      <c r="AB151">
        <v>264.43</v>
      </c>
      <c r="AC151">
        <v>112.01</v>
      </c>
      <c r="AD151">
        <v>0</v>
      </c>
      <c r="AE151">
        <v>0</v>
      </c>
      <c r="AF151">
        <v>36.08</v>
      </c>
      <c r="AG151">
        <v>3.1</v>
      </c>
      <c r="AH151">
        <v>0</v>
      </c>
      <c r="AI151">
        <v>1</v>
      </c>
      <c r="AJ151">
        <v>7</v>
      </c>
      <c r="AK151">
        <v>34.51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1.62</v>
      </c>
      <c r="AU151" t="s">
        <v>22</v>
      </c>
      <c r="AV151">
        <v>0</v>
      </c>
      <c r="AW151">
        <v>2</v>
      </c>
      <c r="AX151">
        <v>56612159</v>
      </c>
      <c r="AY151">
        <v>1</v>
      </c>
      <c r="AZ151">
        <v>0</v>
      </c>
      <c r="BA151">
        <v>199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ROUND(Y151*Source!I116*DO151,9)</f>
        <v>0</v>
      </c>
      <c r="CX151">
        <f>ROUND(Y151*Source!I116,9)</f>
        <v>0</v>
      </c>
      <c r="CY151">
        <f>AB151</f>
        <v>264.43</v>
      </c>
      <c r="CZ151">
        <f>AF151</f>
        <v>36.08</v>
      </c>
      <c r="DA151">
        <f>AJ151</f>
        <v>7</v>
      </c>
      <c r="DB151">
        <f>ROUND((ROUND(AT151*CZ151,2)*1.1),6)</f>
        <v>64.295000000000002</v>
      </c>
      <c r="DC151">
        <f>ROUND((ROUND(AT151*AG151,2)*1.1),6)</f>
        <v>5.5220000000000002</v>
      </c>
      <c r="DD151" t="s">
        <v>3</v>
      </c>
      <c r="DE151" t="s">
        <v>3</v>
      </c>
      <c r="DF151">
        <f t="shared" si="88"/>
        <v>0</v>
      </c>
      <c r="DG151">
        <f>ROUND(ROUND(AF151*AJ151,2)*CX151,2)</f>
        <v>0</v>
      </c>
      <c r="DH151">
        <f>ROUND(ROUND(AG151*AK151,2)*CX151,2)</f>
        <v>0</v>
      </c>
      <c r="DI151">
        <f t="shared" si="84"/>
        <v>0</v>
      </c>
      <c r="DJ151">
        <f>DG151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ROW(Source!A116)</f>
        <v>116</v>
      </c>
      <c r="B152">
        <v>56611490</v>
      </c>
      <c r="C152">
        <v>56612146</v>
      </c>
      <c r="D152">
        <v>47767106</v>
      </c>
      <c r="E152">
        <v>1</v>
      </c>
      <c r="F152">
        <v>1</v>
      </c>
      <c r="G152">
        <v>27786564</v>
      </c>
      <c r="H152">
        <v>2</v>
      </c>
      <c r="I152" t="s">
        <v>460</v>
      </c>
      <c r="J152" t="s">
        <v>461</v>
      </c>
      <c r="K152" t="s">
        <v>462</v>
      </c>
      <c r="L152">
        <v>1368</v>
      </c>
      <c r="N152">
        <v>1011</v>
      </c>
      <c r="O152" t="s">
        <v>444</v>
      </c>
      <c r="P152" t="s">
        <v>444</v>
      </c>
      <c r="Q152">
        <v>1</v>
      </c>
      <c r="W152">
        <v>0</v>
      </c>
      <c r="X152">
        <v>-7781208</v>
      </c>
      <c r="Y152">
        <f>(AT152*1.1)</f>
        <v>1.1000000000000001E-2</v>
      </c>
      <c r="AA152">
        <v>0</v>
      </c>
      <c r="AB152">
        <v>1118.8900000000001</v>
      </c>
      <c r="AC152">
        <v>455.99</v>
      </c>
      <c r="AD152">
        <v>0</v>
      </c>
      <c r="AE152">
        <v>0</v>
      </c>
      <c r="AF152">
        <v>83.1</v>
      </c>
      <c r="AG152">
        <v>12.62</v>
      </c>
      <c r="AH152">
        <v>0</v>
      </c>
      <c r="AI152">
        <v>1</v>
      </c>
      <c r="AJ152">
        <v>12.86</v>
      </c>
      <c r="AK152">
        <v>34.51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0.01</v>
      </c>
      <c r="AU152" t="s">
        <v>22</v>
      </c>
      <c r="AV152">
        <v>0</v>
      </c>
      <c r="AW152">
        <v>2</v>
      </c>
      <c r="AX152">
        <v>56612160</v>
      </c>
      <c r="AY152">
        <v>1</v>
      </c>
      <c r="AZ152">
        <v>0</v>
      </c>
      <c r="BA152">
        <v>200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ROUND(Y152*Source!I116*DO152,9)</f>
        <v>0</v>
      </c>
      <c r="CX152">
        <f>ROUND(Y152*Source!I116,9)</f>
        <v>0</v>
      </c>
      <c r="CY152">
        <f>AB152</f>
        <v>1118.8900000000001</v>
      </c>
      <c r="CZ152">
        <f>AF152</f>
        <v>83.1</v>
      </c>
      <c r="DA152">
        <f>AJ152</f>
        <v>12.86</v>
      </c>
      <c r="DB152">
        <f>ROUND((ROUND(AT152*CZ152,2)*1.1),6)</f>
        <v>0.91300000000000003</v>
      </c>
      <c r="DC152">
        <f>ROUND((ROUND(AT152*AG152,2)*1.1),6)</f>
        <v>0.14299999999999999</v>
      </c>
      <c r="DD152" t="s">
        <v>3</v>
      </c>
      <c r="DE152" t="s">
        <v>3</v>
      </c>
      <c r="DF152">
        <f t="shared" si="88"/>
        <v>0</v>
      </c>
      <c r="DG152">
        <f>ROUND(ROUND(AF152*AJ152,2)*CX152,2)</f>
        <v>0</v>
      </c>
      <c r="DH152">
        <f>ROUND(ROUND(AG152*AK152,2)*CX152,2)</f>
        <v>0</v>
      </c>
      <c r="DI152">
        <f t="shared" si="84"/>
        <v>0</v>
      </c>
      <c r="DJ152">
        <f>DG152</f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ROW(Source!A116)</f>
        <v>116</v>
      </c>
      <c r="B153">
        <v>56611490</v>
      </c>
      <c r="C153">
        <v>56612146</v>
      </c>
      <c r="D153">
        <v>47766531</v>
      </c>
      <c r="E153">
        <v>1</v>
      </c>
      <c r="F153">
        <v>1</v>
      </c>
      <c r="G153">
        <v>27786564</v>
      </c>
      <c r="H153">
        <v>2</v>
      </c>
      <c r="I153" t="s">
        <v>501</v>
      </c>
      <c r="J153" t="s">
        <v>502</v>
      </c>
      <c r="K153" t="s">
        <v>503</v>
      </c>
      <c r="L153">
        <v>1368</v>
      </c>
      <c r="N153">
        <v>1011</v>
      </c>
      <c r="O153" t="s">
        <v>444</v>
      </c>
      <c r="P153" t="s">
        <v>444</v>
      </c>
      <c r="Q153">
        <v>1</v>
      </c>
      <c r="W153">
        <v>0</v>
      </c>
      <c r="X153">
        <v>1952891416</v>
      </c>
      <c r="Y153">
        <f>(AT153*1.1)</f>
        <v>0.18700000000000003</v>
      </c>
      <c r="AA153">
        <v>0</v>
      </c>
      <c r="AB153">
        <v>1.47</v>
      </c>
      <c r="AC153">
        <v>0</v>
      </c>
      <c r="AD153">
        <v>0</v>
      </c>
      <c r="AE153">
        <v>0</v>
      </c>
      <c r="AF153">
        <v>0.17</v>
      </c>
      <c r="AG153">
        <v>0</v>
      </c>
      <c r="AH153">
        <v>0</v>
      </c>
      <c r="AI153">
        <v>1</v>
      </c>
      <c r="AJ153">
        <v>8.24</v>
      </c>
      <c r="AK153">
        <v>34.51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0.17</v>
      </c>
      <c r="AU153" t="s">
        <v>22</v>
      </c>
      <c r="AV153">
        <v>0</v>
      </c>
      <c r="AW153">
        <v>2</v>
      </c>
      <c r="AX153">
        <v>56612161</v>
      </c>
      <c r="AY153">
        <v>1</v>
      </c>
      <c r="AZ153">
        <v>0</v>
      </c>
      <c r="BA153">
        <v>201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ROUND(Y153*Source!I116*DO153,9)</f>
        <v>0</v>
      </c>
      <c r="CX153">
        <f>ROUND(Y153*Source!I116,9)</f>
        <v>0</v>
      </c>
      <c r="CY153">
        <f>AB153</f>
        <v>1.47</v>
      </c>
      <c r="CZ153">
        <f>AF153</f>
        <v>0.17</v>
      </c>
      <c r="DA153">
        <f>AJ153</f>
        <v>8.24</v>
      </c>
      <c r="DB153">
        <f>ROUND((ROUND(AT153*CZ153,2)*1.1),6)</f>
        <v>3.3000000000000002E-2</v>
      </c>
      <c r="DC153">
        <f>ROUND((ROUND(AT153*AG153,2)*1.1),6)</f>
        <v>0</v>
      </c>
      <c r="DD153" t="s">
        <v>3</v>
      </c>
      <c r="DE153" t="s">
        <v>3</v>
      </c>
      <c r="DF153">
        <f t="shared" si="88"/>
        <v>0</v>
      </c>
      <c r="DG153">
        <f>ROUND(ROUND(AF153*AJ153,2)*CX153,2)</f>
        <v>0</v>
      </c>
      <c r="DH153">
        <f>ROUND(ROUND(AG153*AK153,2)*CX153,2)</f>
        <v>0</v>
      </c>
      <c r="DI153">
        <f t="shared" si="84"/>
        <v>0</v>
      </c>
      <c r="DJ153">
        <f>DG153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ROW(Source!A116)</f>
        <v>116</v>
      </c>
      <c r="B154">
        <v>56611490</v>
      </c>
      <c r="C154">
        <v>56612146</v>
      </c>
      <c r="D154">
        <v>30390462</v>
      </c>
      <c r="E154">
        <v>1</v>
      </c>
      <c r="F154">
        <v>1</v>
      </c>
      <c r="G154">
        <v>27786564</v>
      </c>
      <c r="H154">
        <v>3</v>
      </c>
      <c r="I154" t="s">
        <v>504</v>
      </c>
      <c r="J154" t="s">
        <v>505</v>
      </c>
      <c r="K154" t="s">
        <v>506</v>
      </c>
      <c r="L154">
        <v>1346</v>
      </c>
      <c r="N154">
        <v>1009</v>
      </c>
      <c r="O154" t="s">
        <v>104</v>
      </c>
      <c r="P154" t="s">
        <v>104</v>
      </c>
      <c r="Q154">
        <v>1</v>
      </c>
      <c r="W154">
        <v>0</v>
      </c>
      <c r="X154">
        <v>-1299596119</v>
      </c>
      <c r="Y154">
        <f t="shared" ref="Y154:Y160" si="96">AT154</f>
        <v>0.5</v>
      </c>
      <c r="AA154">
        <v>53.61</v>
      </c>
      <c r="AB154">
        <v>0</v>
      </c>
      <c r="AC154">
        <v>0</v>
      </c>
      <c r="AD154">
        <v>0</v>
      </c>
      <c r="AE154">
        <v>1.61</v>
      </c>
      <c r="AF154">
        <v>0</v>
      </c>
      <c r="AG154">
        <v>0</v>
      </c>
      <c r="AH154">
        <v>0</v>
      </c>
      <c r="AI154">
        <v>33.299999999999997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0.5</v>
      </c>
      <c r="AU154" t="s">
        <v>3</v>
      </c>
      <c r="AV154">
        <v>0</v>
      </c>
      <c r="AW154">
        <v>2</v>
      </c>
      <c r="AX154">
        <v>56612162</v>
      </c>
      <c r="AY154">
        <v>1</v>
      </c>
      <c r="AZ154">
        <v>0</v>
      </c>
      <c r="BA154">
        <v>202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ROUND(Y154*Source!I116,9)</f>
        <v>0</v>
      </c>
      <c r="CY154">
        <f t="shared" ref="CY154:CY160" si="97">AA154</f>
        <v>53.61</v>
      </c>
      <c r="CZ154">
        <f t="shared" ref="CZ154:CZ160" si="98">AE154</f>
        <v>1.61</v>
      </c>
      <c r="DA154">
        <f t="shared" ref="DA154:DA160" si="99">AI154</f>
        <v>33.299999999999997</v>
      </c>
      <c r="DB154">
        <f t="shared" ref="DB154:DB160" si="100">ROUND(ROUND(AT154*CZ154,2),6)</f>
        <v>0.81</v>
      </c>
      <c r="DC154">
        <f t="shared" ref="DC154:DC160" si="101">ROUND(ROUND(AT154*AG154,2),6)</f>
        <v>0</v>
      </c>
      <c r="DD154" t="s">
        <v>3</v>
      </c>
      <c r="DE154" t="s">
        <v>3</v>
      </c>
      <c r="DF154">
        <f t="shared" ref="DF154:DF160" si="102">ROUND(ROUND(AE154*AI154,2)*CX154,2)</f>
        <v>0</v>
      </c>
      <c r="DG154">
        <f t="shared" ref="DG154:DG165" si="103">ROUND(ROUND(AF154,2)*CX154,2)</f>
        <v>0</v>
      </c>
      <c r="DH154">
        <f t="shared" ref="DH154:DH165" si="104">ROUND(ROUND(AG154,2)*CX154,2)</f>
        <v>0</v>
      </c>
      <c r="DI154">
        <f t="shared" si="84"/>
        <v>0</v>
      </c>
      <c r="DJ154">
        <f t="shared" ref="DJ154:DJ160" si="105">DF154</f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ROW(Source!A116)</f>
        <v>116</v>
      </c>
      <c r="B155">
        <v>56611490</v>
      </c>
      <c r="C155">
        <v>56612146</v>
      </c>
      <c r="D155">
        <v>46724002</v>
      </c>
      <c r="E155">
        <v>1</v>
      </c>
      <c r="F155">
        <v>1</v>
      </c>
      <c r="G155">
        <v>27786564</v>
      </c>
      <c r="H155">
        <v>3</v>
      </c>
      <c r="I155" t="s">
        <v>507</v>
      </c>
      <c r="J155" t="s">
        <v>508</v>
      </c>
      <c r="K155" t="s">
        <v>509</v>
      </c>
      <c r="L155">
        <v>1327</v>
      </c>
      <c r="N155">
        <v>1005</v>
      </c>
      <c r="O155" t="s">
        <v>510</v>
      </c>
      <c r="P155" t="s">
        <v>510</v>
      </c>
      <c r="Q155">
        <v>1</v>
      </c>
      <c r="W155">
        <v>0</v>
      </c>
      <c r="X155">
        <v>-1214100842</v>
      </c>
      <c r="Y155">
        <f t="shared" si="96"/>
        <v>0.05</v>
      </c>
      <c r="AA155">
        <v>533.51</v>
      </c>
      <c r="AB155">
        <v>0</v>
      </c>
      <c r="AC155">
        <v>0</v>
      </c>
      <c r="AD155">
        <v>0</v>
      </c>
      <c r="AE155">
        <v>127.33</v>
      </c>
      <c r="AF155">
        <v>0</v>
      </c>
      <c r="AG155">
        <v>0</v>
      </c>
      <c r="AH155">
        <v>0</v>
      </c>
      <c r="AI155">
        <v>4.1900000000000004</v>
      </c>
      <c r="AJ155">
        <v>1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0.05</v>
      </c>
      <c r="AU155" t="s">
        <v>3</v>
      </c>
      <c r="AV155">
        <v>0</v>
      </c>
      <c r="AW155">
        <v>2</v>
      </c>
      <c r="AX155">
        <v>56612163</v>
      </c>
      <c r="AY155">
        <v>1</v>
      </c>
      <c r="AZ155">
        <v>0</v>
      </c>
      <c r="BA155">
        <v>203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ROUND(Y155*Source!I116,9)</f>
        <v>0</v>
      </c>
      <c r="CY155">
        <f t="shared" si="97"/>
        <v>533.51</v>
      </c>
      <c r="CZ155">
        <f t="shared" si="98"/>
        <v>127.33</v>
      </c>
      <c r="DA155">
        <f t="shared" si="99"/>
        <v>4.1900000000000004</v>
      </c>
      <c r="DB155">
        <f t="shared" si="100"/>
        <v>6.37</v>
      </c>
      <c r="DC155">
        <f t="shared" si="101"/>
        <v>0</v>
      </c>
      <c r="DD155" t="s">
        <v>3</v>
      </c>
      <c r="DE155" t="s">
        <v>3</v>
      </c>
      <c r="DF155">
        <f t="shared" si="102"/>
        <v>0</v>
      </c>
      <c r="DG155">
        <f t="shared" si="103"/>
        <v>0</v>
      </c>
      <c r="DH155">
        <f t="shared" si="104"/>
        <v>0</v>
      </c>
      <c r="DI155">
        <f t="shared" si="84"/>
        <v>0</v>
      </c>
      <c r="DJ155">
        <f t="shared" si="105"/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ROW(Source!A116)</f>
        <v>116</v>
      </c>
      <c r="B156">
        <v>56611490</v>
      </c>
      <c r="C156">
        <v>56612146</v>
      </c>
      <c r="D156">
        <v>37620224</v>
      </c>
      <c r="E156">
        <v>1</v>
      </c>
      <c r="F156">
        <v>1</v>
      </c>
      <c r="G156">
        <v>27786564</v>
      </c>
      <c r="H156">
        <v>3</v>
      </c>
      <c r="I156" t="s">
        <v>494</v>
      </c>
      <c r="J156" t="s">
        <v>495</v>
      </c>
      <c r="K156" t="s">
        <v>496</v>
      </c>
      <c r="L156">
        <v>1346</v>
      </c>
      <c r="N156">
        <v>1009</v>
      </c>
      <c r="O156" t="s">
        <v>104</v>
      </c>
      <c r="P156" t="s">
        <v>104</v>
      </c>
      <c r="Q156">
        <v>1</v>
      </c>
      <c r="W156">
        <v>0</v>
      </c>
      <c r="X156">
        <v>-1770684771</v>
      </c>
      <c r="Y156">
        <f t="shared" si="96"/>
        <v>2.52</v>
      </c>
      <c r="AA156">
        <v>63.64</v>
      </c>
      <c r="AB156">
        <v>0</v>
      </c>
      <c r="AC156">
        <v>0</v>
      </c>
      <c r="AD156">
        <v>0</v>
      </c>
      <c r="AE156">
        <v>6.27</v>
      </c>
      <c r="AF156">
        <v>0</v>
      </c>
      <c r="AG156">
        <v>0</v>
      </c>
      <c r="AH156">
        <v>0</v>
      </c>
      <c r="AI156">
        <v>10.15</v>
      </c>
      <c r="AJ156">
        <v>1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2.52</v>
      </c>
      <c r="AU156" t="s">
        <v>3</v>
      </c>
      <c r="AV156">
        <v>0</v>
      </c>
      <c r="AW156">
        <v>2</v>
      </c>
      <c r="AX156">
        <v>56612164</v>
      </c>
      <c r="AY156">
        <v>1</v>
      </c>
      <c r="AZ156">
        <v>0</v>
      </c>
      <c r="BA156">
        <v>204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ROUND(Y156*Source!I116,9)</f>
        <v>0</v>
      </c>
      <c r="CY156">
        <f t="shared" si="97"/>
        <v>63.64</v>
      </c>
      <c r="CZ156">
        <f t="shared" si="98"/>
        <v>6.27</v>
      </c>
      <c r="DA156">
        <f t="shared" si="99"/>
        <v>10.15</v>
      </c>
      <c r="DB156">
        <f t="shared" si="100"/>
        <v>15.8</v>
      </c>
      <c r="DC156">
        <f t="shared" si="101"/>
        <v>0</v>
      </c>
      <c r="DD156" t="s">
        <v>3</v>
      </c>
      <c r="DE156" t="s">
        <v>3</v>
      </c>
      <c r="DF156">
        <f t="shared" si="102"/>
        <v>0</v>
      </c>
      <c r="DG156">
        <f t="shared" si="103"/>
        <v>0</v>
      </c>
      <c r="DH156">
        <f t="shared" si="104"/>
        <v>0</v>
      </c>
      <c r="DI156">
        <f t="shared" si="84"/>
        <v>0</v>
      </c>
      <c r="DJ156">
        <f t="shared" si="105"/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ROW(Source!A116)</f>
        <v>116</v>
      </c>
      <c r="B157">
        <v>56611490</v>
      </c>
      <c r="C157">
        <v>56612146</v>
      </c>
      <c r="D157">
        <v>46724617</v>
      </c>
      <c r="E157">
        <v>1</v>
      </c>
      <c r="F157">
        <v>1</v>
      </c>
      <c r="G157">
        <v>27786564</v>
      </c>
      <c r="H157">
        <v>3</v>
      </c>
      <c r="I157" t="s">
        <v>511</v>
      </c>
      <c r="J157" t="s">
        <v>512</v>
      </c>
      <c r="K157" t="s">
        <v>513</v>
      </c>
      <c r="L157">
        <v>1354</v>
      </c>
      <c r="N157">
        <v>1010</v>
      </c>
      <c r="O157" t="s">
        <v>93</v>
      </c>
      <c r="P157" t="s">
        <v>93</v>
      </c>
      <c r="Q157">
        <v>1</v>
      </c>
      <c r="W157">
        <v>0</v>
      </c>
      <c r="X157">
        <v>-253095062</v>
      </c>
      <c r="Y157">
        <f t="shared" si="96"/>
        <v>3.2</v>
      </c>
      <c r="AA157">
        <v>24.54</v>
      </c>
      <c r="AB157">
        <v>0</v>
      </c>
      <c r="AC157">
        <v>0</v>
      </c>
      <c r="AD157">
        <v>0</v>
      </c>
      <c r="AE157">
        <v>3.22</v>
      </c>
      <c r="AF157">
        <v>0</v>
      </c>
      <c r="AG157">
        <v>0</v>
      </c>
      <c r="AH157">
        <v>0</v>
      </c>
      <c r="AI157">
        <v>7.62</v>
      </c>
      <c r="AJ157">
        <v>1</v>
      </c>
      <c r="AK157">
        <v>1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3.2</v>
      </c>
      <c r="AU157" t="s">
        <v>3</v>
      </c>
      <c r="AV157">
        <v>0</v>
      </c>
      <c r="AW157">
        <v>2</v>
      </c>
      <c r="AX157">
        <v>56612165</v>
      </c>
      <c r="AY157">
        <v>1</v>
      </c>
      <c r="AZ157">
        <v>0</v>
      </c>
      <c r="BA157">
        <v>205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ROUND(Y157*Source!I116,9)</f>
        <v>0</v>
      </c>
      <c r="CY157">
        <f t="shared" si="97"/>
        <v>24.54</v>
      </c>
      <c r="CZ157">
        <f t="shared" si="98"/>
        <v>3.22</v>
      </c>
      <c r="DA157">
        <f t="shared" si="99"/>
        <v>7.62</v>
      </c>
      <c r="DB157">
        <f t="shared" si="100"/>
        <v>10.3</v>
      </c>
      <c r="DC157">
        <f t="shared" si="101"/>
        <v>0</v>
      </c>
      <c r="DD157" t="s">
        <v>3</v>
      </c>
      <c r="DE157" t="s">
        <v>3</v>
      </c>
      <c r="DF157">
        <f t="shared" si="102"/>
        <v>0</v>
      </c>
      <c r="DG157">
        <f t="shared" si="103"/>
        <v>0</v>
      </c>
      <c r="DH157">
        <f t="shared" si="104"/>
        <v>0</v>
      </c>
      <c r="DI157">
        <f t="shared" si="84"/>
        <v>0</v>
      </c>
      <c r="DJ157">
        <f t="shared" si="105"/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ROW(Source!A116)</f>
        <v>116</v>
      </c>
      <c r="B158">
        <v>56611490</v>
      </c>
      <c r="C158">
        <v>56612146</v>
      </c>
      <c r="D158">
        <v>52044395</v>
      </c>
      <c r="E158">
        <v>1</v>
      </c>
      <c r="F158">
        <v>1</v>
      </c>
      <c r="G158">
        <v>27786564</v>
      </c>
      <c r="H158">
        <v>3</v>
      </c>
      <c r="I158" t="s">
        <v>514</v>
      </c>
      <c r="J158" t="s">
        <v>515</v>
      </c>
      <c r="K158" t="s">
        <v>516</v>
      </c>
      <c r="L158">
        <v>1348</v>
      </c>
      <c r="N158">
        <v>1009</v>
      </c>
      <c r="O158" t="s">
        <v>330</v>
      </c>
      <c r="P158" t="s">
        <v>330</v>
      </c>
      <c r="Q158">
        <v>1000</v>
      </c>
      <c r="W158">
        <v>0</v>
      </c>
      <c r="X158">
        <v>2137922803</v>
      </c>
      <c r="Y158">
        <f t="shared" si="96"/>
        <v>1.0000000000000001E-5</v>
      </c>
      <c r="AA158">
        <v>1198384.3999999999</v>
      </c>
      <c r="AB158">
        <v>0</v>
      </c>
      <c r="AC158">
        <v>0</v>
      </c>
      <c r="AD158">
        <v>0</v>
      </c>
      <c r="AE158">
        <v>81246.399999999994</v>
      </c>
      <c r="AF158">
        <v>0</v>
      </c>
      <c r="AG158">
        <v>0</v>
      </c>
      <c r="AH158">
        <v>0</v>
      </c>
      <c r="AI158">
        <v>14.75</v>
      </c>
      <c r="AJ158">
        <v>1</v>
      </c>
      <c r="AK158">
        <v>1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1.0000000000000001E-5</v>
      </c>
      <c r="AU158" t="s">
        <v>3</v>
      </c>
      <c r="AV158">
        <v>0</v>
      </c>
      <c r="AW158">
        <v>2</v>
      </c>
      <c r="AX158">
        <v>56612166</v>
      </c>
      <c r="AY158">
        <v>1</v>
      </c>
      <c r="AZ158">
        <v>0</v>
      </c>
      <c r="BA158">
        <v>206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ROUND(Y158*Source!I116,9)</f>
        <v>0</v>
      </c>
      <c r="CY158">
        <f t="shared" si="97"/>
        <v>1198384.3999999999</v>
      </c>
      <c r="CZ158">
        <f t="shared" si="98"/>
        <v>81246.399999999994</v>
      </c>
      <c r="DA158">
        <f t="shared" si="99"/>
        <v>14.75</v>
      </c>
      <c r="DB158">
        <f t="shared" si="100"/>
        <v>0.81</v>
      </c>
      <c r="DC158">
        <f t="shared" si="101"/>
        <v>0</v>
      </c>
      <c r="DD158" t="s">
        <v>3</v>
      </c>
      <c r="DE158" t="s">
        <v>3</v>
      </c>
      <c r="DF158">
        <f t="shared" si="102"/>
        <v>0</v>
      </c>
      <c r="DG158">
        <f t="shared" si="103"/>
        <v>0</v>
      </c>
      <c r="DH158">
        <f t="shared" si="104"/>
        <v>0</v>
      </c>
      <c r="DI158">
        <f t="shared" si="84"/>
        <v>0</v>
      </c>
      <c r="DJ158">
        <f t="shared" si="105"/>
        <v>0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ROW(Source!A116)</f>
        <v>116</v>
      </c>
      <c r="B159">
        <v>56611490</v>
      </c>
      <c r="C159">
        <v>56612146</v>
      </c>
      <c r="D159">
        <v>52044947</v>
      </c>
      <c r="E159">
        <v>1</v>
      </c>
      <c r="F159">
        <v>1</v>
      </c>
      <c r="G159">
        <v>27786564</v>
      </c>
      <c r="H159">
        <v>3</v>
      </c>
      <c r="I159" t="s">
        <v>517</v>
      </c>
      <c r="J159" t="s">
        <v>518</v>
      </c>
      <c r="K159" t="s">
        <v>519</v>
      </c>
      <c r="L159">
        <v>1296</v>
      </c>
      <c r="N159">
        <v>1013</v>
      </c>
      <c r="O159" t="s">
        <v>520</v>
      </c>
      <c r="P159" t="s">
        <v>520</v>
      </c>
      <c r="Q159">
        <v>1</v>
      </c>
      <c r="W159">
        <v>0</v>
      </c>
      <c r="X159">
        <v>-731562681</v>
      </c>
      <c r="Y159">
        <f t="shared" si="96"/>
        <v>0.6</v>
      </c>
      <c r="AA159">
        <v>101.3</v>
      </c>
      <c r="AB159">
        <v>0</v>
      </c>
      <c r="AC159">
        <v>0</v>
      </c>
      <c r="AD159">
        <v>0</v>
      </c>
      <c r="AE159">
        <v>16.260000000000002</v>
      </c>
      <c r="AF159">
        <v>0</v>
      </c>
      <c r="AG159">
        <v>0</v>
      </c>
      <c r="AH159">
        <v>0</v>
      </c>
      <c r="AI159">
        <v>6.23</v>
      </c>
      <c r="AJ159">
        <v>1</v>
      </c>
      <c r="AK159">
        <v>1</v>
      </c>
      <c r="AL159">
        <v>1</v>
      </c>
      <c r="AM159">
        <v>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0.6</v>
      </c>
      <c r="AU159" t="s">
        <v>3</v>
      </c>
      <c r="AV159">
        <v>0</v>
      </c>
      <c r="AW159">
        <v>2</v>
      </c>
      <c r="AX159">
        <v>56612167</v>
      </c>
      <c r="AY159">
        <v>1</v>
      </c>
      <c r="AZ159">
        <v>0</v>
      </c>
      <c r="BA159">
        <v>207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ROUND(Y159*Source!I116,9)</f>
        <v>0</v>
      </c>
      <c r="CY159">
        <f t="shared" si="97"/>
        <v>101.3</v>
      </c>
      <c r="CZ159">
        <f t="shared" si="98"/>
        <v>16.260000000000002</v>
      </c>
      <c r="DA159">
        <f t="shared" si="99"/>
        <v>6.23</v>
      </c>
      <c r="DB159">
        <f t="shared" si="100"/>
        <v>9.76</v>
      </c>
      <c r="DC159">
        <f t="shared" si="101"/>
        <v>0</v>
      </c>
      <c r="DD159" t="s">
        <v>3</v>
      </c>
      <c r="DE159" t="s">
        <v>3</v>
      </c>
      <c r="DF159">
        <f t="shared" si="102"/>
        <v>0</v>
      </c>
      <c r="DG159">
        <f t="shared" si="103"/>
        <v>0</v>
      </c>
      <c r="DH159">
        <f t="shared" si="104"/>
        <v>0</v>
      </c>
      <c r="DI159">
        <f t="shared" si="84"/>
        <v>0</v>
      </c>
      <c r="DJ159">
        <f t="shared" si="105"/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ROW(Source!A116)</f>
        <v>116</v>
      </c>
      <c r="B160">
        <v>56611490</v>
      </c>
      <c r="C160">
        <v>56612146</v>
      </c>
      <c r="D160">
        <v>36618846</v>
      </c>
      <c r="E160">
        <v>1</v>
      </c>
      <c r="F160">
        <v>1</v>
      </c>
      <c r="G160">
        <v>27786564</v>
      </c>
      <c r="H160">
        <v>3</v>
      </c>
      <c r="I160" t="s">
        <v>209</v>
      </c>
      <c r="J160" t="s">
        <v>211</v>
      </c>
      <c r="K160" t="s">
        <v>210</v>
      </c>
      <c r="L160">
        <v>1391</v>
      </c>
      <c r="N160">
        <v>1013</v>
      </c>
      <c r="O160" t="s">
        <v>194</v>
      </c>
      <c r="P160" t="s">
        <v>194</v>
      </c>
      <c r="Q160">
        <v>1</v>
      </c>
      <c r="W160">
        <v>0</v>
      </c>
      <c r="X160">
        <v>-1887196261</v>
      </c>
      <c r="Y160">
        <f t="shared" si="96"/>
        <v>1</v>
      </c>
      <c r="AA160">
        <v>17882.150000000001</v>
      </c>
      <c r="AB160">
        <v>0</v>
      </c>
      <c r="AC160">
        <v>0</v>
      </c>
      <c r="AD160">
        <v>0</v>
      </c>
      <c r="AE160">
        <v>2965.53</v>
      </c>
      <c r="AF160">
        <v>0</v>
      </c>
      <c r="AG160">
        <v>0</v>
      </c>
      <c r="AH160">
        <v>0</v>
      </c>
      <c r="AI160">
        <v>6.03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3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ROUND(Y160*Source!I116,9)</f>
        <v>0</v>
      </c>
      <c r="CY160">
        <f t="shared" si="97"/>
        <v>17882.150000000001</v>
      </c>
      <c r="CZ160">
        <f t="shared" si="98"/>
        <v>2965.53</v>
      </c>
      <c r="DA160">
        <f t="shared" si="99"/>
        <v>6.03</v>
      </c>
      <c r="DB160">
        <f t="shared" si="100"/>
        <v>2965.53</v>
      </c>
      <c r="DC160">
        <f t="shared" si="101"/>
        <v>0</v>
      </c>
      <c r="DD160" t="s">
        <v>3</v>
      </c>
      <c r="DE160" t="s">
        <v>3</v>
      </c>
      <c r="DF160">
        <f t="shared" si="102"/>
        <v>0</v>
      </c>
      <c r="DG160">
        <f t="shared" si="103"/>
        <v>0</v>
      </c>
      <c r="DH160">
        <f t="shared" si="104"/>
        <v>0</v>
      </c>
      <c r="DI160">
        <f t="shared" si="84"/>
        <v>0</v>
      </c>
      <c r="DJ160">
        <f t="shared" si="105"/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ROW(Source!A172)</f>
        <v>172</v>
      </c>
      <c r="B161">
        <v>56622523</v>
      </c>
      <c r="C161">
        <v>56612208</v>
      </c>
      <c r="D161">
        <v>47634407</v>
      </c>
      <c r="E161">
        <v>27786564</v>
      </c>
      <c r="F161">
        <v>1</v>
      </c>
      <c r="G161">
        <v>27786564</v>
      </c>
      <c r="H161">
        <v>1</v>
      </c>
      <c r="I161" t="s">
        <v>438</v>
      </c>
      <c r="J161" t="s">
        <v>3</v>
      </c>
      <c r="K161" t="s">
        <v>439</v>
      </c>
      <c r="L161">
        <v>1191</v>
      </c>
      <c r="N161">
        <v>1013</v>
      </c>
      <c r="O161" t="s">
        <v>440</v>
      </c>
      <c r="P161" t="s">
        <v>440</v>
      </c>
      <c r="Q161">
        <v>1</v>
      </c>
      <c r="W161">
        <v>0</v>
      </c>
      <c r="X161">
        <v>476480486</v>
      </c>
      <c r="Y161">
        <f>(AT161*1.1)</f>
        <v>29.458000000000002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26.78</v>
      </c>
      <c r="AU161" t="s">
        <v>22</v>
      </c>
      <c r="AV161">
        <v>1</v>
      </c>
      <c r="AW161">
        <v>2</v>
      </c>
      <c r="AX161">
        <v>56612213</v>
      </c>
      <c r="AY161">
        <v>1</v>
      </c>
      <c r="AZ161">
        <v>0</v>
      </c>
      <c r="BA161">
        <v>271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ROUND(AT161*Source!I172*AH161*AL161,2)</f>
        <v>0</v>
      </c>
      <c r="CV161">
        <f>ROUND(Y161*Source!I172,9)</f>
        <v>1.6570125</v>
      </c>
      <c r="CW161">
        <v>0</v>
      </c>
      <c r="CX161">
        <f>ROUND(Y161*Source!I172,9)</f>
        <v>1.6570125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ROUND((ROUND(AT161*CZ161,2)*1.1),6)</f>
        <v>0</v>
      </c>
      <c r="DC161">
        <f>ROUND((ROUND(AT161*AG161,2)*1.1),6)</f>
        <v>0</v>
      </c>
      <c r="DD161" t="s">
        <v>3</v>
      </c>
      <c r="DE161" t="s">
        <v>3</v>
      </c>
      <c r="DF161">
        <f t="shared" ref="DF161:DF167" si="106">ROUND(ROUND(AE161,2)*CX161,2)</f>
        <v>0</v>
      </c>
      <c r="DG161">
        <f t="shared" si="103"/>
        <v>0</v>
      </c>
      <c r="DH161">
        <f t="shared" si="104"/>
        <v>0</v>
      </c>
      <c r="DI161">
        <f t="shared" si="84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ROW(Source!A172)</f>
        <v>172</v>
      </c>
      <c r="B162">
        <v>56622523</v>
      </c>
      <c r="C162">
        <v>56612208</v>
      </c>
      <c r="D162">
        <v>47766425</v>
      </c>
      <c r="E162">
        <v>1</v>
      </c>
      <c r="F162">
        <v>1</v>
      </c>
      <c r="G162">
        <v>27786564</v>
      </c>
      <c r="H162">
        <v>2</v>
      </c>
      <c r="I162" t="s">
        <v>521</v>
      </c>
      <c r="J162" t="s">
        <v>522</v>
      </c>
      <c r="K162" t="s">
        <v>523</v>
      </c>
      <c r="L162">
        <v>1368</v>
      </c>
      <c r="N162">
        <v>1011</v>
      </c>
      <c r="O162" t="s">
        <v>444</v>
      </c>
      <c r="P162" t="s">
        <v>444</v>
      </c>
      <c r="Q162">
        <v>1</v>
      </c>
      <c r="W162">
        <v>0</v>
      </c>
      <c r="X162">
        <v>2010228649</v>
      </c>
      <c r="Y162">
        <f>(AT162*1.1)</f>
        <v>5.5000000000000007E-2</v>
      </c>
      <c r="AA162">
        <v>0</v>
      </c>
      <c r="AB162">
        <v>97.62</v>
      </c>
      <c r="AC162">
        <v>12.62</v>
      </c>
      <c r="AD162">
        <v>0</v>
      </c>
      <c r="AE162">
        <v>0</v>
      </c>
      <c r="AF162">
        <v>97.62</v>
      </c>
      <c r="AG162">
        <v>12.62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0.05</v>
      </c>
      <c r="AU162" t="s">
        <v>22</v>
      </c>
      <c r="AV162">
        <v>0</v>
      </c>
      <c r="AW162">
        <v>2</v>
      </c>
      <c r="AX162">
        <v>56612214</v>
      </c>
      <c r="AY162">
        <v>1</v>
      </c>
      <c r="AZ162">
        <v>0</v>
      </c>
      <c r="BA162">
        <v>272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ROUND(Y162*Source!I172*DO162,9)</f>
        <v>0</v>
      </c>
      <c r="CX162">
        <f>ROUND(Y162*Source!I172,9)</f>
        <v>3.0937500000000001E-3</v>
      </c>
      <c r="CY162">
        <f>AB162</f>
        <v>97.62</v>
      </c>
      <c r="CZ162">
        <f>AF162</f>
        <v>97.62</v>
      </c>
      <c r="DA162">
        <f>AJ162</f>
        <v>1</v>
      </c>
      <c r="DB162">
        <f>ROUND((ROUND(AT162*CZ162,2)*1.1),6)</f>
        <v>5.3680000000000003</v>
      </c>
      <c r="DC162">
        <f>ROUND((ROUND(AT162*AG162,2)*1.1),6)</f>
        <v>0.69299999999999995</v>
      </c>
      <c r="DD162" t="s">
        <v>3</v>
      </c>
      <c r="DE162" t="s">
        <v>3</v>
      </c>
      <c r="DF162">
        <f t="shared" si="106"/>
        <v>0</v>
      </c>
      <c r="DG162">
        <f t="shared" si="103"/>
        <v>0.3</v>
      </c>
      <c r="DH162">
        <f t="shared" si="104"/>
        <v>0.04</v>
      </c>
      <c r="DI162">
        <f t="shared" si="84"/>
        <v>0</v>
      </c>
      <c r="DJ162">
        <f>DG162</f>
        <v>0.3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ROW(Source!A172)</f>
        <v>172</v>
      </c>
      <c r="B163">
        <v>56622523</v>
      </c>
      <c r="C163">
        <v>56612208</v>
      </c>
      <c r="D163">
        <v>47634960</v>
      </c>
      <c r="E163">
        <v>27786564</v>
      </c>
      <c r="F163">
        <v>1</v>
      </c>
      <c r="G163">
        <v>27786564</v>
      </c>
      <c r="H163">
        <v>2</v>
      </c>
      <c r="I163" t="s">
        <v>448</v>
      </c>
      <c r="J163" t="s">
        <v>3</v>
      </c>
      <c r="K163" t="s">
        <v>449</v>
      </c>
      <c r="L163">
        <v>1344</v>
      </c>
      <c r="N163">
        <v>1008</v>
      </c>
      <c r="O163" t="s">
        <v>450</v>
      </c>
      <c r="P163" t="s">
        <v>450</v>
      </c>
      <c r="Q163">
        <v>1</v>
      </c>
      <c r="W163">
        <v>0</v>
      </c>
      <c r="X163">
        <v>-1180195794</v>
      </c>
      <c r="Y163">
        <f>(AT163*1.1)</f>
        <v>0.13200000000000001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0.12</v>
      </c>
      <c r="AU163" t="s">
        <v>22</v>
      </c>
      <c r="AV163">
        <v>0</v>
      </c>
      <c r="AW163">
        <v>2</v>
      </c>
      <c r="AX163">
        <v>56612215</v>
      </c>
      <c r="AY163">
        <v>1</v>
      </c>
      <c r="AZ163">
        <v>0</v>
      </c>
      <c r="BA163">
        <v>273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ROUND(Y163*Source!I172*DO163,9)</f>
        <v>0</v>
      </c>
      <c r="CX163">
        <f>ROUND(Y163*Source!I172,9)</f>
        <v>7.4250000000000002E-3</v>
      </c>
      <c r="CY163">
        <f>AB163</f>
        <v>1</v>
      </c>
      <c r="CZ163">
        <f>AF163</f>
        <v>1</v>
      </c>
      <c r="DA163">
        <f>AJ163</f>
        <v>1</v>
      </c>
      <c r="DB163">
        <f>ROUND((ROUND(AT163*CZ163,2)*1.1),6)</f>
        <v>0.13200000000000001</v>
      </c>
      <c r="DC163">
        <f>ROUND((ROUND(AT163*AG163,2)*1.1),6)</f>
        <v>0</v>
      </c>
      <c r="DD163" t="s">
        <v>3</v>
      </c>
      <c r="DE163" t="s">
        <v>3</v>
      </c>
      <c r="DF163">
        <f t="shared" si="106"/>
        <v>0</v>
      </c>
      <c r="DG163">
        <f t="shared" si="103"/>
        <v>0.01</v>
      </c>
      <c r="DH163">
        <f t="shared" si="104"/>
        <v>0</v>
      </c>
      <c r="DI163">
        <f t="shared" si="84"/>
        <v>0</v>
      </c>
      <c r="DJ163">
        <f>DG163</f>
        <v>0.01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ROW(Source!A172)</f>
        <v>172</v>
      </c>
      <c r="B164">
        <v>56622523</v>
      </c>
      <c r="C164">
        <v>56612208</v>
      </c>
      <c r="D164">
        <v>30409490</v>
      </c>
      <c r="E164">
        <v>1</v>
      </c>
      <c r="F164">
        <v>1</v>
      </c>
      <c r="G164">
        <v>27786564</v>
      </c>
      <c r="H164">
        <v>3</v>
      </c>
      <c r="I164" t="s">
        <v>255</v>
      </c>
      <c r="J164" t="s">
        <v>257</v>
      </c>
      <c r="K164" t="s">
        <v>256</v>
      </c>
      <c r="L164">
        <v>1339</v>
      </c>
      <c r="N164">
        <v>1007</v>
      </c>
      <c r="O164" t="s">
        <v>88</v>
      </c>
      <c r="P164" t="s">
        <v>88</v>
      </c>
      <c r="Q164">
        <v>1</v>
      </c>
      <c r="W164">
        <v>0</v>
      </c>
      <c r="X164">
        <v>-1933062003</v>
      </c>
      <c r="Y164">
        <f>AT164</f>
        <v>15</v>
      </c>
      <c r="AA164">
        <v>146.84</v>
      </c>
      <c r="AB164">
        <v>0</v>
      </c>
      <c r="AC164">
        <v>0</v>
      </c>
      <c r="AD164">
        <v>0</v>
      </c>
      <c r="AE164">
        <v>146.84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0</v>
      </c>
      <c r="AP164">
        <v>1</v>
      </c>
      <c r="AQ164">
        <v>0</v>
      </c>
      <c r="AR164">
        <v>0</v>
      </c>
      <c r="AS164" t="s">
        <v>3</v>
      </c>
      <c r="AT164">
        <v>15</v>
      </c>
      <c r="AU164" t="s">
        <v>3</v>
      </c>
      <c r="AV164">
        <v>0</v>
      </c>
      <c r="AW164">
        <v>1</v>
      </c>
      <c r="AX164">
        <v>-1</v>
      </c>
      <c r="AY164">
        <v>0</v>
      </c>
      <c r="AZ164">
        <v>0</v>
      </c>
      <c r="BA164" t="s">
        <v>3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ROUND(Y164*Source!I172,9)</f>
        <v>0.84375</v>
      </c>
      <c r="CY164">
        <f>AA164</f>
        <v>146.84</v>
      </c>
      <c r="CZ164">
        <f>AE164</f>
        <v>146.84</v>
      </c>
      <c r="DA164">
        <f>AI164</f>
        <v>1</v>
      </c>
      <c r="DB164">
        <f>ROUND(ROUND(AT164*CZ164,2),6)</f>
        <v>2202.6</v>
      </c>
      <c r="DC164">
        <f>ROUND(ROUND(AT164*AG164,2),6)</f>
        <v>0</v>
      </c>
      <c r="DD164" t="s">
        <v>3</v>
      </c>
      <c r="DE164" t="s">
        <v>3</v>
      </c>
      <c r="DF164">
        <f t="shared" si="106"/>
        <v>123.9</v>
      </c>
      <c r="DG164">
        <f t="shared" si="103"/>
        <v>0</v>
      </c>
      <c r="DH164">
        <f t="shared" si="104"/>
        <v>0</v>
      </c>
      <c r="DI164">
        <f t="shared" si="84"/>
        <v>0</v>
      </c>
      <c r="DJ164">
        <f>DF164</f>
        <v>123.9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ROW(Source!A173)</f>
        <v>173</v>
      </c>
      <c r="B165">
        <v>56611490</v>
      </c>
      <c r="C165">
        <v>56612208</v>
      </c>
      <c r="D165">
        <v>47634407</v>
      </c>
      <c r="E165">
        <v>27786564</v>
      </c>
      <c r="F165">
        <v>1</v>
      </c>
      <c r="G165">
        <v>27786564</v>
      </c>
      <c r="H165">
        <v>1</v>
      </c>
      <c r="I165" t="s">
        <v>438</v>
      </c>
      <c r="J165" t="s">
        <v>3</v>
      </c>
      <c r="K165" t="s">
        <v>439</v>
      </c>
      <c r="L165">
        <v>1191</v>
      </c>
      <c r="N165">
        <v>1013</v>
      </c>
      <c r="O165" t="s">
        <v>440</v>
      </c>
      <c r="P165" t="s">
        <v>440</v>
      </c>
      <c r="Q165">
        <v>1</v>
      </c>
      <c r="W165">
        <v>0</v>
      </c>
      <c r="X165">
        <v>476480486</v>
      </c>
      <c r="Y165">
        <f>(AT165*1.1)</f>
        <v>29.458000000000002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26.78</v>
      </c>
      <c r="AU165" t="s">
        <v>22</v>
      </c>
      <c r="AV165">
        <v>1</v>
      </c>
      <c r="AW165">
        <v>2</v>
      </c>
      <c r="AX165">
        <v>56612213</v>
      </c>
      <c r="AY165">
        <v>1</v>
      </c>
      <c r="AZ165">
        <v>0</v>
      </c>
      <c r="BA165">
        <v>275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ROUND(AT165*Source!I173*AH165*AL165,2)</f>
        <v>0</v>
      </c>
      <c r="CV165">
        <f>ROUND(Y165*Source!I173,9)</f>
        <v>1.6570125</v>
      </c>
      <c r="CW165">
        <v>0</v>
      </c>
      <c r="CX165">
        <f>ROUND(Y165*Source!I173,9)</f>
        <v>1.6570125</v>
      </c>
      <c r="CY165">
        <f>AD165</f>
        <v>0</v>
      </c>
      <c r="CZ165">
        <f>AH165</f>
        <v>0</v>
      </c>
      <c r="DA165">
        <f>AL165</f>
        <v>1</v>
      </c>
      <c r="DB165">
        <f>ROUND((ROUND(AT165*CZ165,2)*1.1),6)</f>
        <v>0</v>
      </c>
      <c r="DC165">
        <f>ROUND((ROUND(AT165*AG165,2)*1.1),6)</f>
        <v>0</v>
      </c>
      <c r="DD165" t="s">
        <v>3</v>
      </c>
      <c r="DE165" t="s">
        <v>3</v>
      </c>
      <c r="DF165">
        <f t="shared" si="106"/>
        <v>0</v>
      </c>
      <c r="DG165">
        <f t="shared" si="103"/>
        <v>0</v>
      </c>
      <c r="DH165">
        <f t="shared" si="104"/>
        <v>0</v>
      </c>
      <c r="DI165">
        <f t="shared" si="84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ROW(Source!A173)</f>
        <v>173</v>
      </c>
      <c r="B166">
        <v>56611490</v>
      </c>
      <c r="C166">
        <v>56612208</v>
      </c>
      <c r="D166">
        <v>47766425</v>
      </c>
      <c r="E166">
        <v>1</v>
      </c>
      <c r="F166">
        <v>1</v>
      </c>
      <c r="G166">
        <v>27786564</v>
      </c>
      <c r="H166">
        <v>2</v>
      </c>
      <c r="I166" t="s">
        <v>521</v>
      </c>
      <c r="J166" t="s">
        <v>522</v>
      </c>
      <c r="K166" t="s">
        <v>523</v>
      </c>
      <c r="L166">
        <v>1368</v>
      </c>
      <c r="N166">
        <v>1011</v>
      </c>
      <c r="O166" t="s">
        <v>444</v>
      </c>
      <c r="P166" t="s">
        <v>444</v>
      </c>
      <c r="Q166">
        <v>1</v>
      </c>
      <c r="W166">
        <v>0</v>
      </c>
      <c r="X166">
        <v>2010228649</v>
      </c>
      <c r="Y166">
        <f>(AT166*1.1)</f>
        <v>5.5000000000000007E-2</v>
      </c>
      <c r="AA166">
        <v>0</v>
      </c>
      <c r="AB166">
        <v>1298.3499999999999</v>
      </c>
      <c r="AC166">
        <v>435.52</v>
      </c>
      <c r="AD166">
        <v>0</v>
      </c>
      <c r="AE166">
        <v>0</v>
      </c>
      <c r="AF166">
        <v>97.62</v>
      </c>
      <c r="AG166">
        <v>12.62</v>
      </c>
      <c r="AH166">
        <v>0</v>
      </c>
      <c r="AI166">
        <v>1</v>
      </c>
      <c r="AJ166">
        <v>13.3</v>
      </c>
      <c r="AK166">
        <v>34.51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0.05</v>
      </c>
      <c r="AU166" t="s">
        <v>22</v>
      </c>
      <c r="AV166">
        <v>0</v>
      </c>
      <c r="AW166">
        <v>2</v>
      </c>
      <c r="AX166">
        <v>56612214</v>
      </c>
      <c r="AY166">
        <v>1</v>
      </c>
      <c r="AZ166">
        <v>0</v>
      </c>
      <c r="BA166">
        <v>276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ROUND(Y166*Source!I173*DO166,9)</f>
        <v>0</v>
      </c>
      <c r="CX166">
        <f>ROUND(Y166*Source!I173,9)</f>
        <v>3.0937500000000001E-3</v>
      </c>
      <c r="CY166">
        <f>AB166</f>
        <v>1298.3499999999999</v>
      </c>
      <c r="CZ166">
        <f>AF166</f>
        <v>97.62</v>
      </c>
      <c r="DA166">
        <f>AJ166</f>
        <v>13.3</v>
      </c>
      <c r="DB166">
        <f>ROUND((ROUND(AT166*CZ166,2)*1.1),6)</f>
        <v>5.3680000000000003</v>
      </c>
      <c r="DC166">
        <f>ROUND((ROUND(AT166*AG166,2)*1.1),6)</f>
        <v>0.69299999999999995</v>
      </c>
      <c r="DD166" t="s">
        <v>3</v>
      </c>
      <c r="DE166" t="s">
        <v>3</v>
      </c>
      <c r="DF166">
        <f t="shared" si="106"/>
        <v>0</v>
      </c>
      <c r="DG166">
        <f>ROUND(ROUND(AF166*AJ166,2)*CX166,2)</f>
        <v>4.0199999999999996</v>
      </c>
      <c r="DH166">
        <f>ROUND(ROUND(AG166*AK166,2)*CX166,2)</f>
        <v>1.35</v>
      </c>
      <c r="DI166">
        <f t="shared" si="84"/>
        <v>0</v>
      </c>
      <c r="DJ166">
        <f>DG166</f>
        <v>4.0199999999999996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ROW(Source!A173)</f>
        <v>173</v>
      </c>
      <c r="B167">
        <v>56611490</v>
      </c>
      <c r="C167">
        <v>56612208</v>
      </c>
      <c r="D167">
        <v>47634960</v>
      </c>
      <c r="E167">
        <v>27786564</v>
      </c>
      <c r="F167">
        <v>1</v>
      </c>
      <c r="G167">
        <v>27786564</v>
      </c>
      <c r="H167">
        <v>2</v>
      </c>
      <c r="I167" t="s">
        <v>448</v>
      </c>
      <c r="J167" t="s">
        <v>3</v>
      </c>
      <c r="K167" t="s">
        <v>449</v>
      </c>
      <c r="L167">
        <v>1344</v>
      </c>
      <c r="N167">
        <v>1008</v>
      </c>
      <c r="O167" t="s">
        <v>450</v>
      </c>
      <c r="P167" t="s">
        <v>450</v>
      </c>
      <c r="Q167">
        <v>1</v>
      </c>
      <c r="W167">
        <v>0</v>
      </c>
      <c r="X167">
        <v>-1180195794</v>
      </c>
      <c r="Y167">
        <f>(AT167*1.1)</f>
        <v>0.13200000000000001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0.12</v>
      </c>
      <c r="AU167" t="s">
        <v>22</v>
      </c>
      <c r="AV167">
        <v>0</v>
      </c>
      <c r="AW167">
        <v>2</v>
      </c>
      <c r="AX167">
        <v>56612215</v>
      </c>
      <c r="AY167">
        <v>1</v>
      </c>
      <c r="AZ167">
        <v>0</v>
      </c>
      <c r="BA167">
        <v>277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f>ROUND(Y167*Source!I173*DO167,9)</f>
        <v>0</v>
      </c>
      <c r="CX167">
        <f>ROUND(Y167*Source!I173,9)</f>
        <v>7.4250000000000002E-3</v>
      </c>
      <c r="CY167">
        <f>AB167</f>
        <v>1</v>
      </c>
      <c r="CZ167">
        <f>AF167</f>
        <v>1</v>
      </c>
      <c r="DA167">
        <f>AJ167</f>
        <v>1</v>
      </c>
      <c r="DB167">
        <f>ROUND((ROUND(AT167*CZ167,2)*1.1),6)</f>
        <v>0.13200000000000001</v>
      </c>
      <c r="DC167">
        <f>ROUND((ROUND(AT167*AG167,2)*1.1),6)</f>
        <v>0</v>
      </c>
      <c r="DD167" t="s">
        <v>3</v>
      </c>
      <c r="DE167" t="s">
        <v>3</v>
      </c>
      <c r="DF167">
        <f t="shared" si="106"/>
        <v>0</v>
      </c>
      <c r="DG167">
        <f t="shared" ref="DG167:DG206" si="107">ROUND(ROUND(AF167,2)*CX167,2)</f>
        <v>0.01</v>
      </c>
      <c r="DH167">
        <f t="shared" ref="DH167:DH206" si="108">ROUND(ROUND(AG167,2)*CX167,2)</f>
        <v>0</v>
      </c>
      <c r="DI167">
        <f t="shared" si="84"/>
        <v>0</v>
      </c>
      <c r="DJ167">
        <f>DG167</f>
        <v>0.01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ROW(Source!A173)</f>
        <v>173</v>
      </c>
      <c r="B168">
        <v>56611490</v>
      </c>
      <c r="C168">
        <v>56612208</v>
      </c>
      <c r="D168">
        <v>30409490</v>
      </c>
      <c r="E168">
        <v>1</v>
      </c>
      <c r="F168">
        <v>1</v>
      </c>
      <c r="G168">
        <v>27786564</v>
      </c>
      <c r="H168">
        <v>3</v>
      </c>
      <c r="I168" t="s">
        <v>255</v>
      </c>
      <c r="J168" t="s">
        <v>257</v>
      </c>
      <c r="K168" t="s">
        <v>256</v>
      </c>
      <c r="L168">
        <v>1339</v>
      </c>
      <c r="N168">
        <v>1007</v>
      </c>
      <c r="O168" t="s">
        <v>88</v>
      </c>
      <c r="P168" t="s">
        <v>88</v>
      </c>
      <c r="Q168">
        <v>1</v>
      </c>
      <c r="W168">
        <v>0</v>
      </c>
      <c r="X168">
        <v>-1933062003</v>
      </c>
      <c r="Y168">
        <f t="shared" ref="Y168:Y184" si="109">AT168</f>
        <v>15</v>
      </c>
      <c r="AA168">
        <v>1063.1199999999999</v>
      </c>
      <c r="AB168">
        <v>0</v>
      </c>
      <c r="AC168">
        <v>0</v>
      </c>
      <c r="AD168">
        <v>0</v>
      </c>
      <c r="AE168">
        <v>146.84</v>
      </c>
      <c r="AF168">
        <v>0</v>
      </c>
      <c r="AG168">
        <v>0</v>
      </c>
      <c r="AH168">
        <v>0</v>
      </c>
      <c r="AI168">
        <v>7.24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15</v>
      </c>
      <c r="AU168" t="s">
        <v>3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ROUND(Y168*Source!I173,9)</f>
        <v>0.84375</v>
      </c>
      <c r="CY168">
        <f t="shared" ref="CY168:CY196" si="110">AA168</f>
        <v>1063.1199999999999</v>
      </c>
      <c r="CZ168">
        <f t="shared" ref="CZ168:CZ196" si="111">AE168</f>
        <v>146.84</v>
      </c>
      <c r="DA168">
        <f t="shared" ref="DA168:DA196" si="112">AI168</f>
        <v>7.24</v>
      </c>
      <c r="DB168">
        <f t="shared" ref="DB168:DB184" si="113">ROUND(ROUND(AT168*CZ168,2),6)</f>
        <v>2202.6</v>
      </c>
      <c r="DC168">
        <f t="shared" ref="DC168:DC184" si="114">ROUND(ROUND(AT168*AG168,2),6)</f>
        <v>0</v>
      </c>
      <c r="DD168" t="s">
        <v>3</v>
      </c>
      <c r="DE168" t="s">
        <v>3</v>
      </c>
      <c r="DF168">
        <f>ROUND(ROUND(AE168*AI168,2)*CX168,2)</f>
        <v>897.01</v>
      </c>
      <c r="DG168">
        <f t="shared" si="107"/>
        <v>0</v>
      </c>
      <c r="DH168">
        <f t="shared" si="108"/>
        <v>0</v>
      </c>
      <c r="DI168">
        <f t="shared" si="84"/>
        <v>0</v>
      </c>
      <c r="DJ168">
        <f t="shared" ref="DJ168:DJ196" si="115">DF168</f>
        <v>897.01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ROW(Source!A176)</f>
        <v>176</v>
      </c>
      <c r="B169">
        <v>56622523</v>
      </c>
      <c r="C169">
        <v>56612218</v>
      </c>
      <c r="D169">
        <v>30409490</v>
      </c>
      <c r="E169">
        <v>1</v>
      </c>
      <c r="F169">
        <v>1</v>
      </c>
      <c r="G169">
        <v>27786564</v>
      </c>
      <c r="H169">
        <v>3</v>
      </c>
      <c r="I169" t="s">
        <v>255</v>
      </c>
      <c r="J169" t="s">
        <v>257</v>
      </c>
      <c r="K169" t="s">
        <v>256</v>
      </c>
      <c r="L169">
        <v>1339</v>
      </c>
      <c r="N169">
        <v>1007</v>
      </c>
      <c r="O169" t="s">
        <v>88</v>
      </c>
      <c r="P169" t="s">
        <v>88</v>
      </c>
      <c r="Q169">
        <v>1</v>
      </c>
      <c r="W169">
        <v>0</v>
      </c>
      <c r="X169">
        <v>-1933062003</v>
      </c>
      <c r="Y169">
        <f t="shared" si="109"/>
        <v>15</v>
      </c>
      <c r="AA169">
        <v>146.84</v>
      </c>
      <c r="AB169">
        <v>0</v>
      </c>
      <c r="AC169">
        <v>0</v>
      </c>
      <c r="AD169">
        <v>0</v>
      </c>
      <c r="AE169">
        <v>146.84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0</v>
      </c>
      <c r="AP169">
        <v>1</v>
      </c>
      <c r="AQ169">
        <v>0</v>
      </c>
      <c r="AR169">
        <v>0</v>
      </c>
      <c r="AS169" t="s">
        <v>3</v>
      </c>
      <c r="AT169">
        <v>15</v>
      </c>
      <c r="AU169" t="s">
        <v>3</v>
      </c>
      <c r="AV169">
        <v>0</v>
      </c>
      <c r="AW169">
        <v>1</v>
      </c>
      <c r="AX169">
        <v>-1</v>
      </c>
      <c r="AY169">
        <v>0</v>
      </c>
      <c r="AZ169">
        <v>0</v>
      </c>
      <c r="BA169" t="s">
        <v>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ROUND(Y169*Source!I176,9)</f>
        <v>0.28125</v>
      </c>
      <c r="CY169">
        <f t="shared" si="110"/>
        <v>146.84</v>
      </c>
      <c r="CZ169">
        <f t="shared" si="111"/>
        <v>146.84</v>
      </c>
      <c r="DA169">
        <f t="shared" si="112"/>
        <v>1</v>
      </c>
      <c r="DB169">
        <f t="shared" si="113"/>
        <v>2202.6</v>
      </c>
      <c r="DC169">
        <f t="shared" si="114"/>
        <v>0</v>
      </c>
      <c r="DD169" t="s">
        <v>3</v>
      </c>
      <c r="DE169" t="s">
        <v>3</v>
      </c>
      <c r="DF169">
        <f>ROUND(ROUND(AE169,2)*CX169,2)</f>
        <v>41.3</v>
      </c>
      <c r="DG169">
        <f t="shared" si="107"/>
        <v>0</v>
      </c>
      <c r="DH169">
        <f t="shared" si="108"/>
        <v>0</v>
      </c>
      <c r="DI169">
        <f t="shared" si="84"/>
        <v>0</v>
      </c>
      <c r="DJ169">
        <f t="shared" si="115"/>
        <v>41.3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ROW(Source!A177)</f>
        <v>177</v>
      </c>
      <c r="B170">
        <v>56611490</v>
      </c>
      <c r="C170">
        <v>56612218</v>
      </c>
      <c r="D170">
        <v>30409490</v>
      </c>
      <c r="E170">
        <v>1</v>
      </c>
      <c r="F170">
        <v>1</v>
      </c>
      <c r="G170">
        <v>27786564</v>
      </c>
      <c r="H170">
        <v>3</v>
      </c>
      <c r="I170" t="s">
        <v>255</v>
      </c>
      <c r="J170" t="s">
        <v>257</v>
      </c>
      <c r="K170" t="s">
        <v>256</v>
      </c>
      <c r="L170">
        <v>1339</v>
      </c>
      <c r="N170">
        <v>1007</v>
      </c>
      <c r="O170" t="s">
        <v>88</v>
      </c>
      <c r="P170" t="s">
        <v>88</v>
      </c>
      <c r="Q170">
        <v>1</v>
      </c>
      <c r="W170">
        <v>0</v>
      </c>
      <c r="X170">
        <v>-1933062003</v>
      </c>
      <c r="Y170">
        <f t="shared" si="109"/>
        <v>15</v>
      </c>
      <c r="AA170">
        <v>1063.1199999999999</v>
      </c>
      <c r="AB170">
        <v>0</v>
      </c>
      <c r="AC170">
        <v>0</v>
      </c>
      <c r="AD170">
        <v>0</v>
      </c>
      <c r="AE170">
        <v>146.84</v>
      </c>
      <c r="AF170">
        <v>0</v>
      </c>
      <c r="AG170">
        <v>0</v>
      </c>
      <c r="AH170">
        <v>0</v>
      </c>
      <c r="AI170">
        <v>7.24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15</v>
      </c>
      <c r="AU170" t="s">
        <v>3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ROUND(Y170*Source!I177,9)</f>
        <v>0.28125</v>
      </c>
      <c r="CY170">
        <f t="shared" si="110"/>
        <v>1063.1199999999999</v>
      </c>
      <c r="CZ170">
        <f t="shared" si="111"/>
        <v>146.84</v>
      </c>
      <c r="DA170">
        <f t="shared" si="112"/>
        <v>7.24</v>
      </c>
      <c r="DB170">
        <f t="shared" si="113"/>
        <v>2202.6</v>
      </c>
      <c r="DC170">
        <f t="shared" si="114"/>
        <v>0</v>
      </c>
      <c r="DD170" t="s">
        <v>3</v>
      </c>
      <c r="DE170" t="s">
        <v>3</v>
      </c>
      <c r="DF170">
        <f>ROUND(ROUND(AE170*AI170,2)*CX170,2)</f>
        <v>299</v>
      </c>
      <c r="DG170">
        <f t="shared" si="107"/>
        <v>0</v>
      </c>
      <c r="DH170">
        <f t="shared" si="108"/>
        <v>0</v>
      </c>
      <c r="DI170">
        <f t="shared" si="84"/>
        <v>0</v>
      </c>
      <c r="DJ170">
        <f t="shared" si="115"/>
        <v>299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ROW(Source!A180)</f>
        <v>180</v>
      </c>
      <c r="B171">
        <v>56622523</v>
      </c>
      <c r="C171">
        <v>56612223</v>
      </c>
      <c r="D171">
        <v>30409490</v>
      </c>
      <c r="E171">
        <v>1</v>
      </c>
      <c r="F171">
        <v>1</v>
      </c>
      <c r="G171">
        <v>27786564</v>
      </c>
      <c r="H171">
        <v>3</v>
      </c>
      <c r="I171" t="s">
        <v>255</v>
      </c>
      <c r="J171" t="s">
        <v>257</v>
      </c>
      <c r="K171" t="s">
        <v>256</v>
      </c>
      <c r="L171">
        <v>1339</v>
      </c>
      <c r="N171">
        <v>1007</v>
      </c>
      <c r="O171" t="s">
        <v>88</v>
      </c>
      <c r="P171" t="s">
        <v>88</v>
      </c>
      <c r="Q171">
        <v>1</v>
      </c>
      <c r="W171">
        <v>0</v>
      </c>
      <c r="X171">
        <v>-1933062003</v>
      </c>
      <c r="Y171">
        <f t="shared" si="109"/>
        <v>5</v>
      </c>
      <c r="AA171">
        <v>146.84</v>
      </c>
      <c r="AB171">
        <v>0</v>
      </c>
      <c r="AC171">
        <v>0</v>
      </c>
      <c r="AD171">
        <v>0</v>
      </c>
      <c r="AE171">
        <v>146.84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5</v>
      </c>
      <c r="AU171" t="s">
        <v>3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ROUND(Y171*Source!I180,9)</f>
        <v>-0.375</v>
      </c>
      <c r="CY171">
        <f t="shared" si="110"/>
        <v>146.84</v>
      </c>
      <c r="CZ171">
        <f t="shared" si="111"/>
        <v>146.84</v>
      </c>
      <c r="DA171">
        <f t="shared" si="112"/>
        <v>1</v>
      </c>
      <c r="DB171">
        <f t="shared" si="113"/>
        <v>734.2</v>
      </c>
      <c r="DC171">
        <f t="shared" si="114"/>
        <v>0</v>
      </c>
      <c r="DD171" t="s">
        <v>3</v>
      </c>
      <c r="DE171" t="s">
        <v>3</v>
      </c>
      <c r="DF171">
        <f>ROUND(ROUND(AE171,2)*CX171,2)</f>
        <v>-55.07</v>
      </c>
      <c r="DG171">
        <f t="shared" si="107"/>
        <v>0</v>
      </c>
      <c r="DH171">
        <f t="shared" si="108"/>
        <v>0</v>
      </c>
      <c r="DI171">
        <f t="shared" si="84"/>
        <v>0</v>
      </c>
      <c r="DJ171">
        <f t="shared" si="115"/>
        <v>-55.07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ROW(Source!A181)</f>
        <v>181</v>
      </c>
      <c r="B172">
        <v>56611490</v>
      </c>
      <c r="C172">
        <v>56612223</v>
      </c>
      <c r="D172">
        <v>30409490</v>
      </c>
      <c r="E172">
        <v>1</v>
      </c>
      <c r="F172">
        <v>1</v>
      </c>
      <c r="G172">
        <v>27786564</v>
      </c>
      <c r="H172">
        <v>3</v>
      </c>
      <c r="I172" t="s">
        <v>255</v>
      </c>
      <c r="J172" t="s">
        <v>257</v>
      </c>
      <c r="K172" t="s">
        <v>256</v>
      </c>
      <c r="L172">
        <v>1339</v>
      </c>
      <c r="N172">
        <v>1007</v>
      </c>
      <c r="O172" t="s">
        <v>88</v>
      </c>
      <c r="P172" t="s">
        <v>88</v>
      </c>
      <c r="Q172">
        <v>1</v>
      </c>
      <c r="W172">
        <v>0</v>
      </c>
      <c r="X172">
        <v>-1933062003</v>
      </c>
      <c r="Y172">
        <f t="shared" si="109"/>
        <v>5</v>
      </c>
      <c r="AA172">
        <v>1063.1199999999999</v>
      </c>
      <c r="AB172">
        <v>0</v>
      </c>
      <c r="AC172">
        <v>0</v>
      </c>
      <c r="AD172">
        <v>0</v>
      </c>
      <c r="AE172">
        <v>146.84</v>
      </c>
      <c r="AF172">
        <v>0</v>
      </c>
      <c r="AG172">
        <v>0</v>
      </c>
      <c r="AH172">
        <v>0</v>
      </c>
      <c r="AI172">
        <v>7.24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5</v>
      </c>
      <c r="AU172" t="s">
        <v>3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ROUND(Y172*Source!I181,9)</f>
        <v>-0.375</v>
      </c>
      <c r="CY172">
        <f t="shared" si="110"/>
        <v>1063.1199999999999</v>
      </c>
      <c r="CZ172">
        <f t="shared" si="111"/>
        <v>146.84</v>
      </c>
      <c r="DA172">
        <f t="shared" si="112"/>
        <v>7.24</v>
      </c>
      <c r="DB172">
        <f t="shared" si="113"/>
        <v>734.2</v>
      </c>
      <c r="DC172">
        <f t="shared" si="114"/>
        <v>0</v>
      </c>
      <c r="DD172" t="s">
        <v>3</v>
      </c>
      <c r="DE172" t="s">
        <v>3</v>
      </c>
      <c r="DF172">
        <f>ROUND(ROUND(AE172*AI172,2)*CX172,2)</f>
        <v>-398.67</v>
      </c>
      <c r="DG172">
        <f t="shared" si="107"/>
        <v>0</v>
      </c>
      <c r="DH172">
        <f t="shared" si="108"/>
        <v>0</v>
      </c>
      <c r="DI172">
        <f t="shared" si="84"/>
        <v>0</v>
      </c>
      <c r="DJ172">
        <f t="shared" si="115"/>
        <v>-398.67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ROW(Source!A184)</f>
        <v>184</v>
      </c>
      <c r="B173">
        <v>56622523</v>
      </c>
      <c r="C173">
        <v>56612228</v>
      </c>
      <c r="D173">
        <v>30409494</v>
      </c>
      <c r="E173">
        <v>1</v>
      </c>
      <c r="F173">
        <v>1</v>
      </c>
      <c r="G173">
        <v>27786564</v>
      </c>
      <c r="H173">
        <v>3</v>
      </c>
      <c r="I173" t="s">
        <v>273</v>
      </c>
      <c r="J173" t="s">
        <v>275</v>
      </c>
      <c r="K173" t="s">
        <v>274</v>
      </c>
      <c r="L173">
        <v>1346</v>
      </c>
      <c r="N173">
        <v>1009</v>
      </c>
      <c r="O173" t="s">
        <v>104</v>
      </c>
      <c r="P173" t="s">
        <v>104</v>
      </c>
      <c r="Q173">
        <v>1</v>
      </c>
      <c r="W173">
        <v>0</v>
      </c>
      <c r="X173">
        <v>-1082088882</v>
      </c>
      <c r="Y173">
        <f t="shared" si="109"/>
        <v>4</v>
      </c>
      <c r="AA173">
        <v>57.93</v>
      </c>
      <c r="AB173">
        <v>0</v>
      </c>
      <c r="AC173">
        <v>0</v>
      </c>
      <c r="AD173">
        <v>0</v>
      </c>
      <c r="AE173">
        <v>57.93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0</v>
      </c>
      <c r="AP173">
        <v>1</v>
      </c>
      <c r="AQ173">
        <v>0</v>
      </c>
      <c r="AR173">
        <v>0</v>
      </c>
      <c r="AS173" t="s">
        <v>3</v>
      </c>
      <c r="AT173">
        <v>4</v>
      </c>
      <c r="AU173" t="s">
        <v>3</v>
      </c>
      <c r="AV173">
        <v>0</v>
      </c>
      <c r="AW173">
        <v>1</v>
      </c>
      <c r="AX173">
        <v>-1</v>
      </c>
      <c r="AY173">
        <v>0</v>
      </c>
      <c r="AZ173">
        <v>0</v>
      </c>
      <c r="BA173" t="s">
        <v>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ROUND(Y173*Source!I184,9)</f>
        <v>0.3</v>
      </c>
      <c r="CY173">
        <f t="shared" si="110"/>
        <v>57.93</v>
      </c>
      <c r="CZ173">
        <f t="shared" si="111"/>
        <v>57.93</v>
      </c>
      <c r="DA173">
        <f t="shared" si="112"/>
        <v>1</v>
      </c>
      <c r="DB173">
        <f t="shared" si="113"/>
        <v>231.72</v>
      </c>
      <c r="DC173">
        <f t="shared" si="114"/>
        <v>0</v>
      </c>
      <c r="DD173" t="s">
        <v>3</v>
      </c>
      <c r="DE173" t="s">
        <v>3</v>
      </c>
      <c r="DF173">
        <f>ROUND(ROUND(AE173,2)*CX173,2)</f>
        <v>17.38</v>
      </c>
      <c r="DG173">
        <f t="shared" si="107"/>
        <v>0</v>
      </c>
      <c r="DH173">
        <f t="shared" si="108"/>
        <v>0</v>
      </c>
      <c r="DI173">
        <f t="shared" si="84"/>
        <v>0</v>
      </c>
      <c r="DJ173">
        <f t="shared" si="115"/>
        <v>17.38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ROW(Source!A185)</f>
        <v>185</v>
      </c>
      <c r="B174">
        <v>56611490</v>
      </c>
      <c r="C174">
        <v>56612228</v>
      </c>
      <c r="D174">
        <v>30409494</v>
      </c>
      <c r="E174">
        <v>1</v>
      </c>
      <c r="F174">
        <v>1</v>
      </c>
      <c r="G174">
        <v>27786564</v>
      </c>
      <c r="H174">
        <v>3</v>
      </c>
      <c r="I174" t="s">
        <v>273</v>
      </c>
      <c r="J174" t="s">
        <v>275</v>
      </c>
      <c r="K174" t="s">
        <v>274</v>
      </c>
      <c r="L174">
        <v>1346</v>
      </c>
      <c r="N174">
        <v>1009</v>
      </c>
      <c r="O174" t="s">
        <v>104</v>
      </c>
      <c r="P174" t="s">
        <v>104</v>
      </c>
      <c r="Q174">
        <v>1</v>
      </c>
      <c r="W174">
        <v>0</v>
      </c>
      <c r="X174">
        <v>-1082088882</v>
      </c>
      <c r="Y174">
        <f t="shared" si="109"/>
        <v>4</v>
      </c>
      <c r="AA174">
        <v>149.46</v>
      </c>
      <c r="AB174">
        <v>0</v>
      </c>
      <c r="AC174">
        <v>0</v>
      </c>
      <c r="AD174">
        <v>0</v>
      </c>
      <c r="AE174">
        <v>57.93</v>
      </c>
      <c r="AF174">
        <v>0</v>
      </c>
      <c r="AG174">
        <v>0</v>
      </c>
      <c r="AH174">
        <v>0</v>
      </c>
      <c r="AI174">
        <v>2.58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 t="s">
        <v>3</v>
      </c>
      <c r="AT174">
        <v>4</v>
      </c>
      <c r="AU174" t="s">
        <v>3</v>
      </c>
      <c r="AV174">
        <v>0</v>
      </c>
      <c r="AW174">
        <v>1</v>
      </c>
      <c r="AX174">
        <v>-1</v>
      </c>
      <c r="AY174">
        <v>0</v>
      </c>
      <c r="AZ174">
        <v>0</v>
      </c>
      <c r="BA174" t="s">
        <v>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ROUND(Y174*Source!I185,9)</f>
        <v>0.3</v>
      </c>
      <c r="CY174">
        <f t="shared" si="110"/>
        <v>149.46</v>
      </c>
      <c r="CZ174">
        <f t="shared" si="111"/>
        <v>57.93</v>
      </c>
      <c r="DA174">
        <f t="shared" si="112"/>
        <v>2.58</v>
      </c>
      <c r="DB174">
        <f t="shared" si="113"/>
        <v>231.72</v>
      </c>
      <c r="DC174">
        <f t="shared" si="114"/>
        <v>0</v>
      </c>
      <c r="DD174" t="s">
        <v>3</v>
      </c>
      <c r="DE174" t="s">
        <v>3</v>
      </c>
      <c r="DF174">
        <f>ROUND(ROUND(AE174*AI174,2)*CX174,2)</f>
        <v>44.84</v>
      </c>
      <c r="DG174">
        <f t="shared" si="107"/>
        <v>0</v>
      </c>
      <c r="DH174">
        <f t="shared" si="108"/>
        <v>0</v>
      </c>
      <c r="DI174">
        <f t="shared" si="84"/>
        <v>0</v>
      </c>
      <c r="DJ174">
        <f t="shared" si="115"/>
        <v>44.84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ROW(Source!A229)</f>
        <v>229</v>
      </c>
      <c r="B175">
        <v>56622523</v>
      </c>
      <c r="C175">
        <v>56612247</v>
      </c>
      <c r="D175">
        <v>49108184</v>
      </c>
      <c r="E175">
        <v>1</v>
      </c>
      <c r="F175">
        <v>1</v>
      </c>
      <c r="G175">
        <v>27786564</v>
      </c>
      <c r="H175">
        <v>3</v>
      </c>
      <c r="I175" t="s">
        <v>86</v>
      </c>
      <c r="J175" t="s">
        <v>89</v>
      </c>
      <c r="K175" t="s">
        <v>304</v>
      </c>
      <c r="L175">
        <v>1339</v>
      </c>
      <c r="N175">
        <v>1007</v>
      </c>
      <c r="O175" t="s">
        <v>88</v>
      </c>
      <c r="P175" t="s">
        <v>88</v>
      </c>
      <c r="Q175">
        <v>1</v>
      </c>
      <c r="W175">
        <v>0</v>
      </c>
      <c r="X175">
        <v>921520</v>
      </c>
      <c r="Y175">
        <f t="shared" si="109"/>
        <v>110</v>
      </c>
      <c r="AA175">
        <v>104.99</v>
      </c>
      <c r="AB175">
        <v>0</v>
      </c>
      <c r="AC175">
        <v>0</v>
      </c>
      <c r="AD175">
        <v>0</v>
      </c>
      <c r="AE175">
        <v>104.99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0</v>
      </c>
      <c r="AP175">
        <v>1</v>
      </c>
      <c r="AQ175">
        <v>0</v>
      </c>
      <c r="AR175">
        <v>0</v>
      </c>
      <c r="AS175" t="s">
        <v>3</v>
      </c>
      <c r="AT175">
        <v>110</v>
      </c>
      <c r="AU175" t="s">
        <v>3</v>
      </c>
      <c r="AV175">
        <v>0</v>
      </c>
      <c r="AW175">
        <v>1</v>
      </c>
      <c r="AX175">
        <v>-1</v>
      </c>
      <c r="AY175">
        <v>0</v>
      </c>
      <c r="AZ175">
        <v>0</v>
      </c>
      <c r="BA175" t="s">
        <v>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ROUND(Y175*Source!I229,9)</f>
        <v>0.50049999999999994</v>
      </c>
      <c r="CY175">
        <f t="shared" si="110"/>
        <v>104.99</v>
      </c>
      <c r="CZ175">
        <f t="shared" si="111"/>
        <v>104.99</v>
      </c>
      <c r="DA175">
        <f t="shared" si="112"/>
        <v>1</v>
      </c>
      <c r="DB175">
        <f t="shared" si="113"/>
        <v>11548.9</v>
      </c>
      <c r="DC175">
        <f t="shared" si="114"/>
        <v>0</v>
      </c>
      <c r="DD175" t="s">
        <v>3</v>
      </c>
      <c r="DE175" t="s">
        <v>3</v>
      </c>
      <c r="DF175">
        <f>ROUND(ROUND(AE175,2)*CX175,2)</f>
        <v>52.55</v>
      </c>
      <c r="DG175">
        <f t="shared" si="107"/>
        <v>0</v>
      </c>
      <c r="DH175">
        <f t="shared" si="108"/>
        <v>0</v>
      </c>
      <c r="DI175">
        <f t="shared" si="84"/>
        <v>0</v>
      </c>
      <c r="DJ175">
        <f t="shared" si="115"/>
        <v>52.55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ROW(Source!A230)</f>
        <v>230</v>
      </c>
      <c r="B176">
        <v>56611490</v>
      </c>
      <c r="C176">
        <v>56612247</v>
      </c>
      <c r="D176">
        <v>49108184</v>
      </c>
      <c r="E176">
        <v>1</v>
      </c>
      <c r="F176">
        <v>1</v>
      </c>
      <c r="G176">
        <v>27786564</v>
      </c>
      <c r="H176">
        <v>3</v>
      </c>
      <c r="I176" t="s">
        <v>86</v>
      </c>
      <c r="J176" t="s">
        <v>89</v>
      </c>
      <c r="K176" t="s">
        <v>304</v>
      </c>
      <c r="L176">
        <v>1339</v>
      </c>
      <c r="N176">
        <v>1007</v>
      </c>
      <c r="O176" t="s">
        <v>88</v>
      </c>
      <c r="P176" t="s">
        <v>88</v>
      </c>
      <c r="Q176">
        <v>1</v>
      </c>
      <c r="W176">
        <v>0</v>
      </c>
      <c r="X176">
        <v>921520</v>
      </c>
      <c r="Y176">
        <f t="shared" si="109"/>
        <v>110</v>
      </c>
      <c r="AA176">
        <v>808.99</v>
      </c>
      <c r="AB176">
        <v>0</v>
      </c>
      <c r="AC176">
        <v>0</v>
      </c>
      <c r="AD176">
        <v>0</v>
      </c>
      <c r="AE176">
        <v>104.99</v>
      </c>
      <c r="AF176">
        <v>0</v>
      </c>
      <c r="AG176">
        <v>0</v>
      </c>
      <c r="AH176">
        <v>0</v>
      </c>
      <c r="AI176">
        <v>7.69</v>
      </c>
      <c r="AJ176">
        <v>1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 t="s">
        <v>3</v>
      </c>
      <c r="AT176">
        <v>110</v>
      </c>
      <c r="AU176" t="s">
        <v>3</v>
      </c>
      <c r="AV176">
        <v>0</v>
      </c>
      <c r="AW176">
        <v>1</v>
      </c>
      <c r="AX176">
        <v>-1</v>
      </c>
      <c r="AY176">
        <v>0</v>
      </c>
      <c r="AZ176">
        <v>0</v>
      </c>
      <c r="BA176" t="s">
        <v>3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ROUND(Y176*Source!I230,9)</f>
        <v>0.50049999999999994</v>
      </c>
      <c r="CY176">
        <f t="shared" si="110"/>
        <v>808.99</v>
      </c>
      <c r="CZ176">
        <f t="shared" si="111"/>
        <v>104.99</v>
      </c>
      <c r="DA176">
        <f t="shared" si="112"/>
        <v>7.69</v>
      </c>
      <c r="DB176">
        <f t="shared" si="113"/>
        <v>11548.9</v>
      </c>
      <c r="DC176">
        <f t="shared" si="114"/>
        <v>0</v>
      </c>
      <c r="DD176" t="s">
        <v>3</v>
      </c>
      <c r="DE176" t="s">
        <v>3</v>
      </c>
      <c r="DF176">
        <f>ROUND(ROUND(AE176*AI176,2)*CX176,2)</f>
        <v>404.09</v>
      </c>
      <c r="DG176">
        <f t="shared" si="107"/>
        <v>0</v>
      </c>
      <c r="DH176">
        <f t="shared" si="108"/>
        <v>0</v>
      </c>
      <c r="DI176">
        <f t="shared" si="84"/>
        <v>0</v>
      </c>
      <c r="DJ176">
        <f t="shared" si="115"/>
        <v>404.09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ROW(Source!A233)</f>
        <v>233</v>
      </c>
      <c r="B177">
        <v>56622523</v>
      </c>
      <c r="C177">
        <v>56612258</v>
      </c>
      <c r="D177">
        <v>46725728</v>
      </c>
      <c r="E177">
        <v>1</v>
      </c>
      <c r="F177">
        <v>1</v>
      </c>
      <c r="G177">
        <v>27786564</v>
      </c>
      <c r="H177">
        <v>3</v>
      </c>
      <c r="I177" t="s">
        <v>313</v>
      </c>
      <c r="J177" t="s">
        <v>315</v>
      </c>
      <c r="K177" t="s">
        <v>314</v>
      </c>
      <c r="L177">
        <v>1339</v>
      </c>
      <c r="N177">
        <v>1007</v>
      </c>
      <c r="O177" t="s">
        <v>88</v>
      </c>
      <c r="P177" t="s">
        <v>88</v>
      </c>
      <c r="Q177">
        <v>1</v>
      </c>
      <c r="W177">
        <v>0</v>
      </c>
      <c r="X177">
        <v>-520181400</v>
      </c>
      <c r="Y177">
        <f t="shared" si="109"/>
        <v>162</v>
      </c>
      <c r="AA177">
        <v>517.14</v>
      </c>
      <c r="AB177">
        <v>0</v>
      </c>
      <c r="AC177">
        <v>0</v>
      </c>
      <c r="AD177">
        <v>0</v>
      </c>
      <c r="AE177">
        <v>517.14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0</v>
      </c>
      <c r="AP177">
        <v>1</v>
      </c>
      <c r="AQ177">
        <v>0</v>
      </c>
      <c r="AR177">
        <v>0</v>
      </c>
      <c r="AS177" t="s">
        <v>3</v>
      </c>
      <c r="AT177">
        <v>162</v>
      </c>
      <c r="AU177" t="s">
        <v>3</v>
      </c>
      <c r="AV177">
        <v>0</v>
      </c>
      <c r="AW177">
        <v>1</v>
      </c>
      <c r="AX177">
        <v>-1</v>
      </c>
      <c r="AY177">
        <v>0</v>
      </c>
      <c r="AZ177">
        <v>0</v>
      </c>
      <c r="BA177" t="s">
        <v>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ROUND(Y177*Source!I233,9)</f>
        <v>0.21060000000000001</v>
      </c>
      <c r="CY177">
        <f t="shared" si="110"/>
        <v>517.14</v>
      </c>
      <c r="CZ177">
        <f t="shared" si="111"/>
        <v>517.14</v>
      </c>
      <c r="DA177">
        <f t="shared" si="112"/>
        <v>1</v>
      </c>
      <c r="DB177">
        <f t="shared" si="113"/>
        <v>83776.679999999993</v>
      </c>
      <c r="DC177">
        <f t="shared" si="114"/>
        <v>0</v>
      </c>
      <c r="DD177" t="s">
        <v>3</v>
      </c>
      <c r="DE177" t="s">
        <v>3</v>
      </c>
      <c r="DF177">
        <f>ROUND(ROUND(AE177,2)*CX177,2)</f>
        <v>108.91</v>
      </c>
      <c r="DG177">
        <f t="shared" si="107"/>
        <v>0</v>
      </c>
      <c r="DH177">
        <f t="shared" si="108"/>
        <v>0</v>
      </c>
      <c r="DI177">
        <f t="shared" si="84"/>
        <v>0</v>
      </c>
      <c r="DJ177">
        <f t="shared" si="115"/>
        <v>108.91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ROW(Source!A234)</f>
        <v>234</v>
      </c>
      <c r="B178">
        <v>56611490</v>
      </c>
      <c r="C178">
        <v>56612258</v>
      </c>
      <c r="D178">
        <v>46725728</v>
      </c>
      <c r="E178">
        <v>1</v>
      </c>
      <c r="F178">
        <v>1</v>
      </c>
      <c r="G178">
        <v>27786564</v>
      </c>
      <c r="H178">
        <v>3</v>
      </c>
      <c r="I178" t="s">
        <v>313</v>
      </c>
      <c r="J178" t="s">
        <v>315</v>
      </c>
      <c r="K178" t="s">
        <v>314</v>
      </c>
      <c r="L178">
        <v>1339</v>
      </c>
      <c r="N178">
        <v>1007</v>
      </c>
      <c r="O178" t="s">
        <v>88</v>
      </c>
      <c r="P178" t="s">
        <v>88</v>
      </c>
      <c r="Q178">
        <v>1</v>
      </c>
      <c r="W178">
        <v>0</v>
      </c>
      <c r="X178">
        <v>-520181400</v>
      </c>
      <c r="Y178">
        <f t="shared" si="109"/>
        <v>162</v>
      </c>
      <c r="AA178">
        <v>5715.46</v>
      </c>
      <c r="AB178">
        <v>0</v>
      </c>
      <c r="AC178">
        <v>0</v>
      </c>
      <c r="AD178">
        <v>0</v>
      </c>
      <c r="AE178">
        <v>517.14</v>
      </c>
      <c r="AF178">
        <v>0</v>
      </c>
      <c r="AG178">
        <v>0</v>
      </c>
      <c r="AH178">
        <v>0</v>
      </c>
      <c r="AI178">
        <v>11.03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 t="s">
        <v>3</v>
      </c>
      <c r="AT178">
        <v>162</v>
      </c>
      <c r="AU178" t="s">
        <v>3</v>
      </c>
      <c r="AV178">
        <v>0</v>
      </c>
      <c r="AW178">
        <v>1</v>
      </c>
      <c r="AX178">
        <v>-1</v>
      </c>
      <c r="AY178">
        <v>0</v>
      </c>
      <c r="AZ178">
        <v>0</v>
      </c>
      <c r="BA178" t="s">
        <v>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ROUND(Y178*Source!I234,9)</f>
        <v>0.21060000000000001</v>
      </c>
      <c r="CY178">
        <f t="shared" si="110"/>
        <v>5715.46</v>
      </c>
      <c r="CZ178">
        <f t="shared" si="111"/>
        <v>517.14</v>
      </c>
      <c r="DA178">
        <f t="shared" si="112"/>
        <v>11.03</v>
      </c>
      <c r="DB178">
        <f t="shared" si="113"/>
        <v>83776.679999999993</v>
      </c>
      <c r="DC178">
        <f t="shared" si="114"/>
        <v>0</v>
      </c>
      <c r="DD178" t="s">
        <v>3</v>
      </c>
      <c r="DE178" t="s">
        <v>3</v>
      </c>
      <c r="DF178">
        <f>ROUND(ROUND(AE178*AI178,2)*CX178,2)</f>
        <v>1201.27</v>
      </c>
      <c r="DG178">
        <f t="shared" si="107"/>
        <v>0</v>
      </c>
      <c r="DH178">
        <f t="shared" si="108"/>
        <v>0</v>
      </c>
      <c r="DI178">
        <f t="shared" si="84"/>
        <v>0</v>
      </c>
      <c r="DJ178">
        <f t="shared" si="115"/>
        <v>1201.27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ROW(Source!A237)</f>
        <v>237</v>
      </c>
      <c r="B179">
        <v>56622523</v>
      </c>
      <c r="C179">
        <v>56612273</v>
      </c>
      <c r="D179">
        <v>46725728</v>
      </c>
      <c r="E179">
        <v>1</v>
      </c>
      <c r="F179">
        <v>1</v>
      </c>
      <c r="G179">
        <v>27786564</v>
      </c>
      <c r="H179">
        <v>3</v>
      </c>
      <c r="I179" t="s">
        <v>313</v>
      </c>
      <c r="J179" t="s">
        <v>315</v>
      </c>
      <c r="K179" t="s">
        <v>314</v>
      </c>
      <c r="L179">
        <v>1339</v>
      </c>
      <c r="N179">
        <v>1007</v>
      </c>
      <c r="O179" t="s">
        <v>88</v>
      </c>
      <c r="P179" t="s">
        <v>88</v>
      </c>
      <c r="Q179">
        <v>1</v>
      </c>
      <c r="W179">
        <v>0</v>
      </c>
      <c r="X179">
        <v>-520181400</v>
      </c>
      <c r="Y179">
        <f t="shared" si="109"/>
        <v>10.199999999999999</v>
      </c>
      <c r="AA179">
        <v>517.14</v>
      </c>
      <c r="AB179">
        <v>0</v>
      </c>
      <c r="AC179">
        <v>0</v>
      </c>
      <c r="AD179">
        <v>0</v>
      </c>
      <c r="AE179">
        <v>517.14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0</v>
      </c>
      <c r="AP179">
        <v>1</v>
      </c>
      <c r="AQ179">
        <v>0</v>
      </c>
      <c r="AR179">
        <v>0</v>
      </c>
      <c r="AS179" t="s">
        <v>3</v>
      </c>
      <c r="AT179">
        <v>10.199999999999999</v>
      </c>
      <c r="AU179" t="s">
        <v>3</v>
      </c>
      <c r="AV179">
        <v>0</v>
      </c>
      <c r="AW179">
        <v>1</v>
      </c>
      <c r="AX179">
        <v>-1</v>
      </c>
      <c r="AY179">
        <v>0</v>
      </c>
      <c r="AZ179">
        <v>0</v>
      </c>
      <c r="BA179" t="s">
        <v>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ROUND(Y179*Source!I237,9)</f>
        <v>1.3259999999999999E-2</v>
      </c>
      <c r="CY179">
        <f t="shared" si="110"/>
        <v>517.14</v>
      </c>
      <c r="CZ179">
        <f t="shared" si="111"/>
        <v>517.14</v>
      </c>
      <c r="DA179">
        <f t="shared" si="112"/>
        <v>1</v>
      </c>
      <c r="DB179">
        <f t="shared" si="113"/>
        <v>5274.83</v>
      </c>
      <c r="DC179">
        <f t="shared" si="114"/>
        <v>0</v>
      </c>
      <c r="DD179" t="s">
        <v>3</v>
      </c>
      <c r="DE179" t="s">
        <v>3</v>
      </c>
      <c r="DF179">
        <f>ROUND(ROUND(AE179,2)*CX179,2)</f>
        <v>6.86</v>
      </c>
      <c r="DG179">
        <f t="shared" si="107"/>
        <v>0</v>
      </c>
      <c r="DH179">
        <f t="shared" si="108"/>
        <v>0</v>
      </c>
      <c r="DI179">
        <f t="shared" si="84"/>
        <v>0</v>
      </c>
      <c r="DJ179">
        <f t="shared" si="115"/>
        <v>6.86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ROW(Source!A238)</f>
        <v>238</v>
      </c>
      <c r="B180">
        <v>56611490</v>
      </c>
      <c r="C180">
        <v>56612273</v>
      </c>
      <c r="D180">
        <v>46725728</v>
      </c>
      <c r="E180">
        <v>1</v>
      </c>
      <c r="F180">
        <v>1</v>
      </c>
      <c r="G180">
        <v>27786564</v>
      </c>
      <c r="H180">
        <v>3</v>
      </c>
      <c r="I180" t="s">
        <v>313</v>
      </c>
      <c r="J180" t="s">
        <v>315</v>
      </c>
      <c r="K180" t="s">
        <v>314</v>
      </c>
      <c r="L180">
        <v>1339</v>
      </c>
      <c r="N180">
        <v>1007</v>
      </c>
      <c r="O180" t="s">
        <v>88</v>
      </c>
      <c r="P180" t="s">
        <v>88</v>
      </c>
      <c r="Q180">
        <v>1</v>
      </c>
      <c r="W180">
        <v>0</v>
      </c>
      <c r="X180">
        <v>-520181400</v>
      </c>
      <c r="Y180">
        <f t="shared" si="109"/>
        <v>10.199999999999999</v>
      </c>
      <c r="AA180">
        <v>5715.46</v>
      </c>
      <c r="AB180">
        <v>0</v>
      </c>
      <c r="AC180">
        <v>0</v>
      </c>
      <c r="AD180">
        <v>0</v>
      </c>
      <c r="AE180">
        <v>517.14</v>
      </c>
      <c r="AF180">
        <v>0</v>
      </c>
      <c r="AG180">
        <v>0</v>
      </c>
      <c r="AH180">
        <v>0</v>
      </c>
      <c r="AI180">
        <v>11.03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10.199999999999999</v>
      </c>
      <c r="AU180" t="s">
        <v>3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ROUND(Y180*Source!I238,9)</f>
        <v>1.3259999999999999E-2</v>
      </c>
      <c r="CY180">
        <f t="shared" si="110"/>
        <v>5715.46</v>
      </c>
      <c r="CZ180">
        <f t="shared" si="111"/>
        <v>517.14</v>
      </c>
      <c r="DA180">
        <f t="shared" si="112"/>
        <v>11.03</v>
      </c>
      <c r="DB180">
        <f t="shared" si="113"/>
        <v>5274.83</v>
      </c>
      <c r="DC180">
        <f t="shared" si="114"/>
        <v>0</v>
      </c>
      <c r="DD180" t="s">
        <v>3</v>
      </c>
      <c r="DE180" t="s">
        <v>3</v>
      </c>
      <c r="DF180">
        <f>ROUND(ROUND(AE180*AI180,2)*CX180,2)</f>
        <v>75.64</v>
      </c>
      <c r="DG180">
        <f t="shared" si="107"/>
        <v>0</v>
      </c>
      <c r="DH180">
        <f t="shared" si="108"/>
        <v>0</v>
      </c>
      <c r="DI180">
        <f t="shared" si="84"/>
        <v>0</v>
      </c>
      <c r="DJ180">
        <f t="shared" si="115"/>
        <v>75.64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ROW(Source!A241)</f>
        <v>241</v>
      </c>
      <c r="B181">
        <v>56622523</v>
      </c>
      <c r="C181">
        <v>56612279</v>
      </c>
      <c r="D181">
        <v>46725956</v>
      </c>
      <c r="E181">
        <v>1</v>
      </c>
      <c r="F181">
        <v>1</v>
      </c>
      <c r="G181">
        <v>27786564</v>
      </c>
      <c r="H181">
        <v>3</v>
      </c>
      <c r="I181" t="s">
        <v>328</v>
      </c>
      <c r="J181" t="s">
        <v>331</v>
      </c>
      <c r="K181" t="s">
        <v>329</v>
      </c>
      <c r="L181">
        <v>1348</v>
      </c>
      <c r="N181">
        <v>1009</v>
      </c>
      <c r="O181" t="s">
        <v>330</v>
      </c>
      <c r="P181" t="s">
        <v>330</v>
      </c>
      <c r="Q181">
        <v>1000</v>
      </c>
      <c r="W181">
        <v>0</v>
      </c>
      <c r="X181">
        <v>1855215121</v>
      </c>
      <c r="Y181">
        <f t="shared" si="109"/>
        <v>9.58</v>
      </c>
      <c r="AA181">
        <v>296.7</v>
      </c>
      <c r="AB181">
        <v>0</v>
      </c>
      <c r="AC181">
        <v>0</v>
      </c>
      <c r="AD181">
        <v>0</v>
      </c>
      <c r="AE181">
        <v>296.7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0</v>
      </c>
      <c r="AP181">
        <v>1</v>
      </c>
      <c r="AQ181">
        <v>0</v>
      </c>
      <c r="AR181">
        <v>0</v>
      </c>
      <c r="AS181" t="s">
        <v>3</v>
      </c>
      <c r="AT181">
        <v>9.58</v>
      </c>
      <c r="AU181" t="s">
        <v>3</v>
      </c>
      <c r="AV181">
        <v>0</v>
      </c>
      <c r="AW181">
        <v>1</v>
      </c>
      <c r="AX181">
        <v>-1</v>
      </c>
      <c r="AY181">
        <v>0</v>
      </c>
      <c r="AZ181">
        <v>0</v>
      </c>
      <c r="BA181" t="s">
        <v>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ROUND(Y181*Source!I241,9)</f>
        <v>0.12454</v>
      </c>
      <c r="CY181">
        <f t="shared" si="110"/>
        <v>296.7</v>
      </c>
      <c r="CZ181">
        <f t="shared" si="111"/>
        <v>296.7</v>
      </c>
      <c r="DA181">
        <f t="shared" si="112"/>
        <v>1</v>
      </c>
      <c r="DB181">
        <f t="shared" si="113"/>
        <v>2842.39</v>
      </c>
      <c r="DC181">
        <f t="shared" si="114"/>
        <v>0</v>
      </c>
      <c r="DD181" t="s">
        <v>3</v>
      </c>
      <c r="DE181" t="s">
        <v>3</v>
      </c>
      <c r="DF181">
        <f>ROUND(ROUND(AE181,2)*CX181,2)</f>
        <v>36.950000000000003</v>
      </c>
      <c r="DG181">
        <f t="shared" si="107"/>
        <v>0</v>
      </c>
      <c r="DH181">
        <f t="shared" si="108"/>
        <v>0</v>
      </c>
      <c r="DI181">
        <f t="shared" si="84"/>
        <v>0</v>
      </c>
      <c r="DJ181">
        <f t="shared" si="115"/>
        <v>36.950000000000003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ROW(Source!A242)</f>
        <v>242</v>
      </c>
      <c r="B182">
        <v>56611490</v>
      </c>
      <c r="C182">
        <v>56612279</v>
      </c>
      <c r="D182">
        <v>46725956</v>
      </c>
      <c r="E182">
        <v>1</v>
      </c>
      <c r="F182">
        <v>1</v>
      </c>
      <c r="G182">
        <v>27786564</v>
      </c>
      <c r="H182">
        <v>3</v>
      </c>
      <c r="I182" t="s">
        <v>328</v>
      </c>
      <c r="J182" t="s">
        <v>331</v>
      </c>
      <c r="K182" t="s">
        <v>329</v>
      </c>
      <c r="L182">
        <v>1348</v>
      </c>
      <c r="N182">
        <v>1009</v>
      </c>
      <c r="O182" t="s">
        <v>330</v>
      </c>
      <c r="P182" t="s">
        <v>330</v>
      </c>
      <c r="Q182">
        <v>1000</v>
      </c>
      <c r="W182">
        <v>0</v>
      </c>
      <c r="X182">
        <v>1855215121</v>
      </c>
      <c r="Y182">
        <f t="shared" si="109"/>
        <v>9.58</v>
      </c>
      <c r="AA182">
        <v>4566.21</v>
      </c>
      <c r="AB182">
        <v>0</v>
      </c>
      <c r="AC182">
        <v>0</v>
      </c>
      <c r="AD182">
        <v>0</v>
      </c>
      <c r="AE182">
        <v>296.7</v>
      </c>
      <c r="AF182">
        <v>0</v>
      </c>
      <c r="AG182">
        <v>0</v>
      </c>
      <c r="AH182">
        <v>0</v>
      </c>
      <c r="AI182">
        <v>15.39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 t="s">
        <v>3</v>
      </c>
      <c r="AT182">
        <v>9.58</v>
      </c>
      <c r="AU182" t="s">
        <v>3</v>
      </c>
      <c r="AV182">
        <v>0</v>
      </c>
      <c r="AW182">
        <v>1</v>
      </c>
      <c r="AX182">
        <v>-1</v>
      </c>
      <c r="AY182">
        <v>0</v>
      </c>
      <c r="AZ182">
        <v>0</v>
      </c>
      <c r="BA182" t="s">
        <v>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ROUND(Y182*Source!I242,9)</f>
        <v>0.12454</v>
      </c>
      <c r="CY182">
        <f t="shared" si="110"/>
        <v>4566.21</v>
      </c>
      <c r="CZ182">
        <f t="shared" si="111"/>
        <v>296.7</v>
      </c>
      <c r="DA182">
        <f t="shared" si="112"/>
        <v>15.39</v>
      </c>
      <c r="DB182">
        <f t="shared" si="113"/>
        <v>2842.39</v>
      </c>
      <c r="DC182">
        <f t="shared" si="114"/>
        <v>0</v>
      </c>
      <c r="DD182" t="s">
        <v>3</v>
      </c>
      <c r="DE182" t="s">
        <v>3</v>
      </c>
      <c r="DF182">
        <f>ROUND(ROUND(AE182*AI182,2)*CX182,2)</f>
        <v>568.67999999999995</v>
      </c>
      <c r="DG182">
        <f t="shared" si="107"/>
        <v>0</v>
      </c>
      <c r="DH182">
        <f t="shared" si="108"/>
        <v>0</v>
      </c>
      <c r="DI182">
        <f t="shared" si="84"/>
        <v>0</v>
      </c>
      <c r="DJ182">
        <f t="shared" si="115"/>
        <v>568.67999999999995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ROW(Source!A245)</f>
        <v>245</v>
      </c>
      <c r="B183">
        <v>56622523</v>
      </c>
      <c r="C183">
        <v>56612293</v>
      </c>
      <c r="D183">
        <v>46725956</v>
      </c>
      <c r="E183">
        <v>1</v>
      </c>
      <c r="F183">
        <v>1</v>
      </c>
      <c r="G183">
        <v>27786564</v>
      </c>
      <c r="H183">
        <v>3</v>
      </c>
      <c r="I183" t="s">
        <v>328</v>
      </c>
      <c r="J183" t="s">
        <v>331</v>
      </c>
      <c r="K183" t="s">
        <v>329</v>
      </c>
      <c r="L183">
        <v>1348</v>
      </c>
      <c r="N183">
        <v>1009</v>
      </c>
      <c r="O183" t="s">
        <v>330</v>
      </c>
      <c r="P183" t="s">
        <v>330</v>
      </c>
      <c r="Q183">
        <v>1000</v>
      </c>
      <c r="W183">
        <v>0</v>
      </c>
      <c r="X183">
        <v>1855215121</v>
      </c>
      <c r="Y183">
        <f t="shared" si="109"/>
        <v>9.58</v>
      </c>
      <c r="AA183">
        <v>296.7</v>
      </c>
      <c r="AB183">
        <v>0</v>
      </c>
      <c r="AC183">
        <v>0</v>
      </c>
      <c r="AD183">
        <v>0</v>
      </c>
      <c r="AE183">
        <v>296.7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0</v>
      </c>
      <c r="AP183">
        <v>1</v>
      </c>
      <c r="AQ183">
        <v>0</v>
      </c>
      <c r="AR183">
        <v>0</v>
      </c>
      <c r="AS183" t="s">
        <v>3</v>
      </c>
      <c r="AT183">
        <v>9.58</v>
      </c>
      <c r="AU183" t="s">
        <v>3</v>
      </c>
      <c r="AV183">
        <v>0</v>
      </c>
      <c r="AW183">
        <v>1</v>
      </c>
      <c r="AX183">
        <v>-1</v>
      </c>
      <c r="AY183">
        <v>0</v>
      </c>
      <c r="AZ183">
        <v>0</v>
      </c>
      <c r="BA183" t="s">
        <v>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ROUND(Y183*Source!I245,9)</f>
        <v>0.12454</v>
      </c>
      <c r="CY183">
        <f t="shared" si="110"/>
        <v>296.7</v>
      </c>
      <c r="CZ183">
        <f t="shared" si="111"/>
        <v>296.7</v>
      </c>
      <c r="DA183">
        <f t="shared" si="112"/>
        <v>1</v>
      </c>
      <c r="DB183">
        <f t="shared" si="113"/>
        <v>2842.39</v>
      </c>
      <c r="DC183">
        <f t="shared" si="114"/>
        <v>0</v>
      </c>
      <c r="DD183" t="s">
        <v>3</v>
      </c>
      <c r="DE183" t="s">
        <v>3</v>
      </c>
      <c r="DF183">
        <f>ROUND(ROUND(AE183,2)*CX183,2)</f>
        <v>36.950000000000003</v>
      </c>
      <c r="DG183">
        <f t="shared" si="107"/>
        <v>0</v>
      </c>
      <c r="DH183">
        <f t="shared" si="108"/>
        <v>0</v>
      </c>
      <c r="DI183">
        <f t="shared" si="84"/>
        <v>0</v>
      </c>
      <c r="DJ183">
        <f t="shared" si="115"/>
        <v>36.950000000000003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ROW(Source!A246)</f>
        <v>246</v>
      </c>
      <c r="B184">
        <v>56611490</v>
      </c>
      <c r="C184">
        <v>56612293</v>
      </c>
      <c r="D184">
        <v>46725956</v>
      </c>
      <c r="E184">
        <v>1</v>
      </c>
      <c r="F184">
        <v>1</v>
      </c>
      <c r="G184">
        <v>27786564</v>
      </c>
      <c r="H184">
        <v>3</v>
      </c>
      <c r="I184" t="s">
        <v>328</v>
      </c>
      <c r="J184" t="s">
        <v>331</v>
      </c>
      <c r="K184" t="s">
        <v>329</v>
      </c>
      <c r="L184">
        <v>1348</v>
      </c>
      <c r="N184">
        <v>1009</v>
      </c>
      <c r="O184" t="s">
        <v>330</v>
      </c>
      <c r="P184" t="s">
        <v>330</v>
      </c>
      <c r="Q184">
        <v>1000</v>
      </c>
      <c r="W184">
        <v>0</v>
      </c>
      <c r="X184">
        <v>1855215121</v>
      </c>
      <c r="Y184">
        <f t="shared" si="109"/>
        <v>9.58</v>
      </c>
      <c r="AA184">
        <v>4566.21</v>
      </c>
      <c r="AB184">
        <v>0</v>
      </c>
      <c r="AC184">
        <v>0</v>
      </c>
      <c r="AD184">
        <v>0</v>
      </c>
      <c r="AE184">
        <v>296.7</v>
      </c>
      <c r="AF184">
        <v>0</v>
      </c>
      <c r="AG184">
        <v>0</v>
      </c>
      <c r="AH184">
        <v>0</v>
      </c>
      <c r="AI184">
        <v>15.39</v>
      </c>
      <c r="AJ184">
        <v>1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 t="s">
        <v>3</v>
      </c>
      <c r="AT184">
        <v>9.58</v>
      </c>
      <c r="AU184" t="s">
        <v>3</v>
      </c>
      <c r="AV184">
        <v>0</v>
      </c>
      <c r="AW184">
        <v>1</v>
      </c>
      <c r="AX184">
        <v>-1</v>
      </c>
      <c r="AY184">
        <v>0</v>
      </c>
      <c r="AZ184">
        <v>0</v>
      </c>
      <c r="BA184" t="s">
        <v>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ROUND(Y184*Source!I246,9)</f>
        <v>0.12454</v>
      </c>
      <c r="CY184">
        <f t="shared" si="110"/>
        <v>4566.21</v>
      </c>
      <c r="CZ184">
        <f t="shared" si="111"/>
        <v>296.7</v>
      </c>
      <c r="DA184">
        <f t="shared" si="112"/>
        <v>15.39</v>
      </c>
      <c r="DB184">
        <f t="shared" si="113"/>
        <v>2842.39</v>
      </c>
      <c r="DC184">
        <f t="shared" si="114"/>
        <v>0</v>
      </c>
      <c r="DD184" t="s">
        <v>3</v>
      </c>
      <c r="DE184" t="s">
        <v>3</v>
      </c>
      <c r="DF184">
        <f>ROUND(ROUND(AE184*AI184,2)*CX184,2)</f>
        <v>568.67999999999995</v>
      </c>
      <c r="DG184">
        <f t="shared" si="107"/>
        <v>0</v>
      </c>
      <c r="DH184">
        <f t="shared" si="108"/>
        <v>0</v>
      </c>
      <c r="DI184">
        <f t="shared" si="84"/>
        <v>0</v>
      </c>
      <c r="DJ184">
        <f t="shared" si="115"/>
        <v>568.67999999999995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ROW(Source!A249)</f>
        <v>249</v>
      </c>
      <c r="B185">
        <v>56622523</v>
      </c>
      <c r="C185">
        <v>56612307</v>
      </c>
      <c r="D185">
        <v>46725956</v>
      </c>
      <c r="E185">
        <v>1</v>
      </c>
      <c r="F185">
        <v>1</v>
      </c>
      <c r="G185">
        <v>27786564</v>
      </c>
      <c r="H185">
        <v>3</v>
      </c>
      <c r="I185" t="s">
        <v>328</v>
      </c>
      <c r="J185" t="s">
        <v>331</v>
      </c>
      <c r="K185" t="s">
        <v>329</v>
      </c>
      <c r="L185">
        <v>1348</v>
      </c>
      <c r="N185">
        <v>1009</v>
      </c>
      <c r="O185" t="s">
        <v>330</v>
      </c>
      <c r="P185" t="s">
        <v>330</v>
      </c>
      <c r="Q185">
        <v>1000</v>
      </c>
      <c r="W185">
        <v>0</v>
      </c>
      <c r="X185">
        <v>1855215121</v>
      </c>
      <c r="Y185">
        <f>(AT185*5)</f>
        <v>12</v>
      </c>
      <c r="AA185">
        <v>296.7</v>
      </c>
      <c r="AB185">
        <v>0</v>
      </c>
      <c r="AC185">
        <v>0</v>
      </c>
      <c r="AD185">
        <v>0</v>
      </c>
      <c r="AE185">
        <v>296.7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3</v>
      </c>
      <c r="AT185">
        <v>2.4</v>
      </c>
      <c r="AU185" t="s">
        <v>340</v>
      </c>
      <c r="AV185">
        <v>0</v>
      </c>
      <c r="AW185">
        <v>1</v>
      </c>
      <c r="AX185">
        <v>-1</v>
      </c>
      <c r="AY185">
        <v>0</v>
      </c>
      <c r="AZ185">
        <v>0</v>
      </c>
      <c r="BA185" t="s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ROUND(Y185*Source!I249,9)</f>
        <v>0.156</v>
      </c>
      <c r="CY185">
        <f t="shared" si="110"/>
        <v>296.7</v>
      </c>
      <c r="CZ185">
        <f t="shared" si="111"/>
        <v>296.7</v>
      </c>
      <c r="DA185">
        <f t="shared" si="112"/>
        <v>1</v>
      </c>
      <c r="DB185">
        <f>ROUND((ROUND(AT185*CZ185,2)*5),6)</f>
        <v>3560.4</v>
      </c>
      <c r="DC185">
        <f>ROUND((ROUND(AT185*AG185,2)*5),6)</f>
        <v>0</v>
      </c>
      <c r="DD185" t="s">
        <v>3</v>
      </c>
      <c r="DE185" t="s">
        <v>3</v>
      </c>
      <c r="DF185">
        <f>ROUND(ROUND(AE185,2)*CX185,2)</f>
        <v>46.29</v>
      </c>
      <c r="DG185">
        <f t="shared" si="107"/>
        <v>0</v>
      </c>
      <c r="DH185">
        <f t="shared" si="108"/>
        <v>0</v>
      </c>
      <c r="DI185">
        <f t="shared" si="84"/>
        <v>0</v>
      </c>
      <c r="DJ185">
        <f t="shared" si="115"/>
        <v>46.29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ROW(Source!A250)</f>
        <v>250</v>
      </c>
      <c r="B186">
        <v>56611490</v>
      </c>
      <c r="C186">
        <v>56612307</v>
      </c>
      <c r="D186">
        <v>46725956</v>
      </c>
      <c r="E186">
        <v>1</v>
      </c>
      <c r="F186">
        <v>1</v>
      </c>
      <c r="G186">
        <v>27786564</v>
      </c>
      <c r="H186">
        <v>3</v>
      </c>
      <c r="I186" t="s">
        <v>328</v>
      </c>
      <c r="J186" t="s">
        <v>331</v>
      </c>
      <c r="K186" t="s">
        <v>329</v>
      </c>
      <c r="L186">
        <v>1348</v>
      </c>
      <c r="N186">
        <v>1009</v>
      </c>
      <c r="O186" t="s">
        <v>330</v>
      </c>
      <c r="P186" t="s">
        <v>330</v>
      </c>
      <c r="Q186">
        <v>1000</v>
      </c>
      <c r="W186">
        <v>0</v>
      </c>
      <c r="X186">
        <v>1855215121</v>
      </c>
      <c r="Y186">
        <f>(AT186*5)</f>
        <v>12</v>
      </c>
      <c r="AA186">
        <v>4566.21</v>
      </c>
      <c r="AB186">
        <v>0</v>
      </c>
      <c r="AC186">
        <v>0</v>
      </c>
      <c r="AD186">
        <v>0</v>
      </c>
      <c r="AE186">
        <v>296.7</v>
      </c>
      <c r="AF186">
        <v>0</v>
      </c>
      <c r="AG186">
        <v>0</v>
      </c>
      <c r="AH186">
        <v>0</v>
      </c>
      <c r="AI186">
        <v>15.39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2.4</v>
      </c>
      <c r="AU186" t="s">
        <v>340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ROUND(Y186*Source!I250,9)</f>
        <v>0.156</v>
      </c>
      <c r="CY186">
        <f t="shared" si="110"/>
        <v>4566.21</v>
      </c>
      <c r="CZ186">
        <f t="shared" si="111"/>
        <v>296.7</v>
      </c>
      <c r="DA186">
        <f t="shared" si="112"/>
        <v>15.39</v>
      </c>
      <c r="DB186">
        <f>ROUND((ROUND(AT186*CZ186,2)*5),6)</f>
        <v>3560.4</v>
      </c>
      <c r="DC186">
        <f>ROUND((ROUND(AT186*AG186,2)*5),6)</f>
        <v>0</v>
      </c>
      <c r="DD186" t="s">
        <v>3</v>
      </c>
      <c r="DE186" t="s">
        <v>3</v>
      </c>
      <c r="DF186">
        <f>ROUND(ROUND(AE186*AI186,2)*CX186,2)</f>
        <v>712.33</v>
      </c>
      <c r="DG186">
        <f t="shared" si="107"/>
        <v>0</v>
      </c>
      <c r="DH186">
        <f t="shared" si="108"/>
        <v>0</v>
      </c>
      <c r="DI186">
        <f t="shared" si="84"/>
        <v>0</v>
      </c>
      <c r="DJ186">
        <f t="shared" si="115"/>
        <v>712.33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ROW(Source!A253)</f>
        <v>253</v>
      </c>
      <c r="B187">
        <v>56622523</v>
      </c>
      <c r="C187">
        <v>56612314</v>
      </c>
      <c r="D187">
        <v>46725958</v>
      </c>
      <c r="E187">
        <v>1</v>
      </c>
      <c r="F187">
        <v>1</v>
      </c>
      <c r="G187">
        <v>27786564</v>
      </c>
      <c r="H187">
        <v>3</v>
      </c>
      <c r="I187" t="s">
        <v>343</v>
      </c>
      <c r="J187" t="s">
        <v>345</v>
      </c>
      <c r="K187" t="s">
        <v>344</v>
      </c>
      <c r="L187">
        <v>1348</v>
      </c>
      <c r="N187">
        <v>1009</v>
      </c>
      <c r="O187" t="s">
        <v>330</v>
      </c>
      <c r="P187" t="s">
        <v>330</v>
      </c>
      <c r="Q187">
        <v>1000</v>
      </c>
      <c r="W187">
        <v>0</v>
      </c>
      <c r="X187">
        <v>-1899420918</v>
      </c>
      <c r="Y187">
        <f t="shared" ref="Y187:Y192" si="116">AT187</f>
        <v>9.66</v>
      </c>
      <c r="AA187">
        <v>307.58999999999997</v>
      </c>
      <c r="AB187">
        <v>0</v>
      </c>
      <c r="AC187">
        <v>0</v>
      </c>
      <c r="AD187">
        <v>0</v>
      </c>
      <c r="AE187">
        <v>307.58999999999997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0</v>
      </c>
      <c r="AP187">
        <v>1</v>
      </c>
      <c r="AQ187">
        <v>0</v>
      </c>
      <c r="AR187">
        <v>0</v>
      </c>
      <c r="AS187" t="s">
        <v>3</v>
      </c>
      <c r="AT187">
        <v>9.66</v>
      </c>
      <c r="AU187" t="s">
        <v>3</v>
      </c>
      <c r="AV187">
        <v>0</v>
      </c>
      <c r="AW187">
        <v>1</v>
      </c>
      <c r="AX187">
        <v>-1</v>
      </c>
      <c r="AY187">
        <v>0</v>
      </c>
      <c r="AZ187">
        <v>0</v>
      </c>
      <c r="BA187" t="s">
        <v>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ROUND(Y187*Source!I253,9)</f>
        <v>0.33810000000000001</v>
      </c>
      <c r="CY187">
        <f t="shared" si="110"/>
        <v>307.58999999999997</v>
      </c>
      <c r="CZ187">
        <f t="shared" si="111"/>
        <v>307.58999999999997</v>
      </c>
      <c r="DA187">
        <f t="shared" si="112"/>
        <v>1</v>
      </c>
      <c r="DB187">
        <f t="shared" ref="DB187:DB192" si="117">ROUND(ROUND(AT187*CZ187,2),6)</f>
        <v>2971.32</v>
      </c>
      <c r="DC187">
        <f t="shared" ref="DC187:DC192" si="118">ROUND(ROUND(AT187*AG187,2),6)</f>
        <v>0</v>
      </c>
      <c r="DD187" t="s">
        <v>3</v>
      </c>
      <c r="DE187" t="s">
        <v>3</v>
      </c>
      <c r="DF187">
        <f>ROUND(ROUND(AE187,2)*CX187,2)</f>
        <v>104</v>
      </c>
      <c r="DG187">
        <f t="shared" si="107"/>
        <v>0</v>
      </c>
      <c r="DH187">
        <f t="shared" si="108"/>
        <v>0</v>
      </c>
      <c r="DI187">
        <f t="shared" si="84"/>
        <v>0</v>
      </c>
      <c r="DJ187">
        <f t="shared" si="115"/>
        <v>104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ROW(Source!A254)</f>
        <v>254</v>
      </c>
      <c r="B188">
        <v>56611490</v>
      </c>
      <c r="C188">
        <v>56612314</v>
      </c>
      <c r="D188">
        <v>46725958</v>
      </c>
      <c r="E188">
        <v>1</v>
      </c>
      <c r="F188">
        <v>1</v>
      </c>
      <c r="G188">
        <v>27786564</v>
      </c>
      <c r="H188">
        <v>3</v>
      </c>
      <c r="I188" t="s">
        <v>343</v>
      </c>
      <c r="J188" t="s">
        <v>345</v>
      </c>
      <c r="K188" t="s">
        <v>344</v>
      </c>
      <c r="L188">
        <v>1348</v>
      </c>
      <c r="N188">
        <v>1009</v>
      </c>
      <c r="O188" t="s">
        <v>330</v>
      </c>
      <c r="P188" t="s">
        <v>330</v>
      </c>
      <c r="Q188">
        <v>1000</v>
      </c>
      <c r="W188">
        <v>0</v>
      </c>
      <c r="X188">
        <v>-1899420918</v>
      </c>
      <c r="Y188">
        <f t="shared" si="116"/>
        <v>9.66</v>
      </c>
      <c r="AA188">
        <v>4712.28</v>
      </c>
      <c r="AB188">
        <v>0</v>
      </c>
      <c r="AC188">
        <v>0</v>
      </c>
      <c r="AD188">
        <v>0</v>
      </c>
      <c r="AE188">
        <v>307.58999999999997</v>
      </c>
      <c r="AF188">
        <v>0</v>
      </c>
      <c r="AG188">
        <v>0</v>
      </c>
      <c r="AH188">
        <v>0</v>
      </c>
      <c r="AI188">
        <v>15.32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3</v>
      </c>
      <c r="AT188">
        <v>9.66</v>
      </c>
      <c r="AU188" t="s">
        <v>3</v>
      </c>
      <c r="AV188">
        <v>0</v>
      </c>
      <c r="AW188">
        <v>1</v>
      </c>
      <c r="AX188">
        <v>-1</v>
      </c>
      <c r="AY188">
        <v>0</v>
      </c>
      <c r="AZ188">
        <v>0</v>
      </c>
      <c r="BA188" t="s">
        <v>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ROUND(Y188*Source!I254,9)</f>
        <v>0.33810000000000001</v>
      </c>
      <c r="CY188">
        <f t="shared" si="110"/>
        <v>4712.28</v>
      </c>
      <c r="CZ188">
        <f t="shared" si="111"/>
        <v>307.58999999999997</v>
      </c>
      <c r="DA188">
        <f t="shared" si="112"/>
        <v>15.32</v>
      </c>
      <c r="DB188">
        <f t="shared" si="117"/>
        <v>2971.32</v>
      </c>
      <c r="DC188">
        <f t="shared" si="118"/>
        <v>0</v>
      </c>
      <c r="DD188" t="s">
        <v>3</v>
      </c>
      <c r="DE188" t="s">
        <v>3</v>
      </c>
      <c r="DF188">
        <f>ROUND(ROUND(AE188*AI188,2)*CX188,2)</f>
        <v>1593.22</v>
      </c>
      <c r="DG188">
        <f t="shared" si="107"/>
        <v>0</v>
      </c>
      <c r="DH188">
        <f t="shared" si="108"/>
        <v>0</v>
      </c>
      <c r="DI188">
        <f t="shared" si="84"/>
        <v>0</v>
      </c>
      <c r="DJ188">
        <f t="shared" si="115"/>
        <v>1593.22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ROW(Source!A298)</f>
        <v>298</v>
      </c>
      <c r="B189">
        <v>56622523</v>
      </c>
      <c r="C189">
        <v>56612341</v>
      </c>
      <c r="D189">
        <v>49108184</v>
      </c>
      <c r="E189">
        <v>1</v>
      </c>
      <c r="F189">
        <v>1</v>
      </c>
      <c r="G189">
        <v>27786564</v>
      </c>
      <c r="H189">
        <v>3</v>
      </c>
      <c r="I189" t="s">
        <v>86</v>
      </c>
      <c r="J189" t="s">
        <v>89</v>
      </c>
      <c r="K189" t="s">
        <v>304</v>
      </c>
      <c r="L189">
        <v>1339</v>
      </c>
      <c r="N189">
        <v>1007</v>
      </c>
      <c r="O189" t="s">
        <v>88</v>
      </c>
      <c r="P189" t="s">
        <v>88</v>
      </c>
      <c r="Q189">
        <v>1</v>
      </c>
      <c r="W189">
        <v>0</v>
      </c>
      <c r="X189">
        <v>921520</v>
      </c>
      <c r="Y189">
        <f t="shared" si="116"/>
        <v>110</v>
      </c>
      <c r="AA189">
        <v>104.99</v>
      </c>
      <c r="AB189">
        <v>0</v>
      </c>
      <c r="AC189">
        <v>0</v>
      </c>
      <c r="AD189">
        <v>0</v>
      </c>
      <c r="AE189">
        <v>104.99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0</v>
      </c>
      <c r="AP189">
        <v>1</v>
      </c>
      <c r="AQ189">
        <v>0</v>
      </c>
      <c r="AR189">
        <v>0</v>
      </c>
      <c r="AS189" t="s">
        <v>3</v>
      </c>
      <c r="AT189">
        <v>110</v>
      </c>
      <c r="AU189" t="s">
        <v>3</v>
      </c>
      <c r="AV189">
        <v>0</v>
      </c>
      <c r="AW189">
        <v>1</v>
      </c>
      <c r="AX189">
        <v>-1</v>
      </c>
      <c r="AY189">
        <v>0</v>
      </c>
      <c r="AZ189">
        <v>0</v>
      </c>
      <c r="BA189" t="s">
        <v>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ROUND(Y189*Source!I298,9)</f>
        <v>0</v>
      </c>
      <c r="CY189">
        <f t="shared" si="110"/>
        <v>104.99</v>
      </c>
      <c r="CZ189">
        <f t="shared" si="111"/>
        <v>104.99</v>
      </c>
      <c r="DA189">
        <f t="shared" si="112"/>
        <v>1</v>
      </c>
      <c r="DB189">
        <f t="shared" si="117"/>
        <v>11548.9</v>
      </c>
      <c r="DC189">
        <f t="shared" si="118"/>
        <v>0</v>
      </c>
      <c r="DD189" t="s">
        <v>3</v>
      </c>
      <c r="DE189" t="s">
        <v>3</v>
      </c>
      <c r="DF189">
        <f>ROUND(ROUND(AE189,2)*CX189,2)</f>
        <v>0</v>
      </c>
      <c r="DG189">
        <f t="shared" si="107"/>
        <v>0</v>
      </c>
      <c r="DH189">
        <f t="shared" si="108"/>
        <v>0</v>
      </c>
      <c r="DI189">
        <f t="shared" si="84"/>
        <v>0</v>
      </c>
      <c r="DJ189">
        <f t="shared" si="115"/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ROW(Source!A299)</f>
        <v>299</v>
      </c>
      <c r="B190">
        <v>56611490</v>
      </c>
      <c r="C190">
        <v>56612341</v>
      </c>
      <c r="D190">
        <v>49108184</v>
      </c>
      <c r="E190">
        <v>1</v>
      </c>
      <c r="F190">
        <v>1</v>
      </c>
      <c r="G190">
        <v>27786564</v>
      </c>
      <c r="H190">
        <v>3</v>
      </c>
      <c r="I190" t="s">
        <v>86</v>
      </c>
      <c r="J190" t="s">
        <v>89</v>
      </c>
      <c r="K190" t="s">
        <v>304</v>
      </c>
      <c r="L190">
        <v>1339</v>
      </c>
      <c r="N190">
        <v>1007</v>
      </c>
      <c r="O190" t="s">
        <v>88</v>
      </c>
      <c r="P190" t="s">
        <v>88</v>
      </c>
      <c r="Q190">
        <v>1</v>
      </c>
      <c r="W190">
        <v>0</v>
      </c>
      <c r="X190">
        <v>921520</v>
      </c>
      <c r="Y190">
        <f t="shared" si="116"/>
        <v>110</v>
      </c>
      <c r="AA190">
        <v>808.99</v>
      </c>
      <c r="AB190">
        <v>0</v>
      </c>
      <c r="AC190">
        <v>0</v>
      </c>
      <c r="AD190">
        <v>0</v>
      </c>
      <c r="AE190">
        <v>104.99</v>
      </c>
      <c r="AF190">
        <v>0</v>
      </c>
      <c r="AG190">
        <v>0</v>
      </c>
      <c r="AH190">
        <v>0</v>
      </c>
      <c r="AI190">
        <v>7.69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110</v>
      </c>
      <c r="AU190" t="s">
        <v>3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ROUND(Y190*Source!I299,9)</f>
        <v>0</v>
      </c>
      <c r="CY190">
        <f t="shared" si="110"/>
        <v>808.99</v>
      </c>
      <c r="CZ190">
        <f t="shared" si="111"/>
        <v>104.99</v>
      </c>
      <c r="DA190">
        <f t="shared" si="112"/>
        <v>7.69</v>
      </c>
      <c r="DB190">
        <f t="shared" si="117"/>
        <v>11548.9</v>
      </c>
      <c r="DC190">
        <f t="shared" si="118"/>
        <v>0</v>
      </c>
      <c r="DD190" t="s">
        <v>3</v>
      </c>
      <c r="DE190" t="s">
        <v>3</v>
      </c>
      <c r="DF190">
        <f>ROUND(ROUND(AE190*AI190,2)*CX190,2)</f>
        <v>0</v>
      </c>
      <c r="DG190">
        <f t="shared" si="107"/>
        <v>0</v>
      </c>
      <c r="DH190">
        <f t="shared" si="108"/>
        <v>0</v>
      </c>
      <c r="DI190">
        <f t="shared" si="84"/>
        <v>0</v>
      </c>
      <c r="DJ190">
        <f t="shared" si="115"/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ROW(Source!A302)</f>
        <v>302</v>
      </c>
      <c r="B191">
        <v>56622523</v>
      </c>
      <c r="C191">
        <v>56612352</v>
      </c>
      <c r="D191">
        <v>46724066</v>
      </c>
      <c r="E191">
        <v>1</v>
      </c>
      <c r="F191">
        <v>1</v>
      </c>
      <c r="G191">
        <v>27786564</v>
      </c>
      <c r="H191">
        <v>3</v>
      </c>
      <c r="I191" t="s">
        <v>364</v>
      </c>
      <c r="J191" t="s">
        <v>366</v>
      </c>
      <c r="K191" t="s">
        <v>365</v>
      </c>
      <c r="L191">
        <v>1339</v>
      </c>
      <c r="N191">
        <v>1007</v>
      </c>
      <c r="O191" t="s">
        <v>88</v>
      </c>
      <c r="P191" t="s">
        <v>88</v>
      </c>
      <c r="Q191">
        <v>1</v>
      </c>
      <c r="W191">
        <v>0</v>
      </c>
      <c r="X191">
        <v>1868310757</v>
      </c>
      <c r="Y191">
        <f t="shared" si="116"/>
        <v>12</v>
      </c>
      <c r="AA191">
        <v>160.62</v>
      </c>
      <c r="AB191">
        <v>0</v>
      </c>
      <c r="AC191">
        <v>0</v>
      </c>
      <c r="AD191">
        <v>0</v>
      </c>
      <c r="AE191">
        <v>160.62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12</v>
      </c>
      <c r="AU191" t="s">
        <v>3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ROUND(Y191*Source!I302,9)</f>
        <v>0</v>
      </c>
      <c r="CY191">
        <f t="shared" si="110"/>
        <v>160.62</v>
      </c>
      <c r="CZ191">
        <f t="shared" si="111"/>
        <v>160.62</v>
      </c>
      <c r="DA191">
        <f t="shared" si="112"/>
        <v>1</v>
      </c>
      <c r="DB191">
        <f t="shared" si="117"/>
        <v>1927.44</v>
      </c>
      <c r="DC191">
        <f t="shared" si="118"/>
        <v>0</v>
      </c>
      <c r="DD191" t="s">
        <v>3</v>
      </c>
      <c r="DE191" t="s">
        <v>3</v>
      </c>
      <c r="DF191">
        <f>ROUND(ROUND(AE191,2)*CX191,2)</f>
        <v>0</v>
      </c>
      <c r="DG191">
        <f t="shared" si="107"/>
        <v>0</v>
      </c>
      <c r="DH191">
        <f t="shared" si="108"/>
        <v>0</v>
      </c>
      <c r="DI191">
        <f t="shared" si="84"/>
        <v>0</v>
      </c>
      <c r="DJ191">
        <f t="shared" si="115"/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ROW(Source!A303)</f>
        <v>303</v>
      </c>
      <c r="B192">
        <v>56611490</v>
      </c>
      <c r="C192">
        <v>56612352</v>
      </c>
      <c r="D192">
        <v>46724066</v>
      </c>
      <c r="E192">
        <v>1</v>
      </c>
      <c r="F192">
        <v>1</v>
      </c>
      <c r="G192">
        <v>27786564</v>
      </c>
      <c r="H192">
        <v>3</v>
      </c>
      <c r="I192" t="s">
        <v>364</v>
      </c>
      <c r="J192" t="s">
        <v>366</v>
      </c>
      <c r="K192" t="s">
        <v>365</v>
      </c>
      <c r="L192">
        <v>1339</v>
      </c>
      <c r="N192">
        <v>1007</v>
      </c>
      <c r="O192" t="s">
        <v>88</v>
      </c>
      <c r="P192" t="s">
        <v>88</v>
      </c>
      <c r="Q192">
        <v>1</v>
      </c>
      <c r="W192">
        <v>0</v>
      </c>
      <c r="X192">
        <v>1868310757</v>
      </c>
      <c r="Y192">
        <f t="shared" si="116"/>
        <v>12</v>
      </c>
      <c r="AA192">
        <v>2913.04</v>
      </c>
      <c r="AB192">
        <v>0</v>
      </c>
      <c r="AC192">
        <v>0</v>
      </c>
      <c r="AD192">
        <v>0</v>
      </c>
      <c r="AE192">
        <v>160.62</v>
      </c>
      <c r="AF192">
        <v>0</v>
      </c>
      <c r="AG192">
        <v>0</v>
      </c>
      <c r="AH192">
        <v>0</v>
      </c>
      <c r="AI192">
        <v>18.100000000000001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12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ROUND(Y192*Source!I303,9)</f>
        <v>0</v>
      </c>
      <c r="CY192">
        <f t="shared" si="110"/>
        <v>2913.04</v>
      </c>
      <c r="CZ192">
        <f t="shared" si="111"/>
        <v>160.62</v>
      </c>
      <c r="DA192">
        <f t="shared" si="112"/>
        <v>18.100000000000001</v>
      </c>
      <c r="DB192">
        <f t="shared" si="117"/>
        <v>1927.44</v>
      </c>
      <c r="DC192">
        <f t="shared" si="118"/>
        <v>0</v>
      </c>
      <c r="DD192" t="s">
        <v>3</v>
      </c>
      <c r="DE192" t="s">
        <v>3</v>
      </c>
      <c r="DF192">
        <f>ROUND(ROUND(AE192*AI192,2)*CX192,2)</f>
        <v>0</v>
      </c>
      <c r="DG192">
        <f t="shared" si="107"/>
        <v>0</v>
      </c>
      <c r="DH192">
        <f t="shared" si="108"/>
        <v>0</v>
      </c>
      <c r="DI192">
        <f t="shared" si="84"/>
        <v>0</v>
      </c>
      <c r="DJ192">
        <f t="shared" si="115"/>
        <v>0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ROW(Source!A306)</f>
        <v>306</v>
      </c>
      <c r="B193">
        <v>56622523</v>
      </c>
      <c r="C193">
        <v>56612360</v>
      </c>
      <c r="D193">
        <v>46725956</v>
      </c>
      <c r="E193">
        <v>1</v>
      </c>
      <c r="F193">
        <v>1</v>
      </c>
      <c r="G193">
        <v>27786564</v>
      </c>
      <c r="H193">
        <v>3</v>
      </c>
      <c r="I193" t="s">
        <v>328</v>
      </c>
      <c r="J193" t="s">
        <v>331</v>
      </c>
      <c r="K193" t="s">
        <v>329</v>
      </c>
      <c r="L193">
        <v>1348</v>
      </c>
      <c r="N193">
        <v>1009</v>
      </c>
      <c r="O193" t="s">
        <v>330</v>
      </c>
      <c r="P193" t="s">
        <v>330</v>
      </c>
      <c r="Q193">
        <v>1000</v>
      </c>
      <c r="W193">
        <v>0</v>
      </c>
      <c r="X193">
        <v>1855215121</v>
      </c>
      <c r="Y193">
        <f>(AT193*1.33)</f>
        <v>14.231</v>
      </c>
      <c r="AA193">
        <v>296.7</v>
      </c>
      <c r="AB193">
        <v>0</v>
      </c>
      <c r="AC193">
        <v>0</v>
      </c>
      <c r="AD193">
        <v>0</v>
      </c>
      <c r="AE193">
        <v>296.7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0</v>
      </c>
      <c r="AP193">
        <v>1</v>
      </c>
      <c r="AQ193">
        <v>0</v>
      </c>
      <c r="AR193">
        <v>0</v>
      </c>
      <c r="AS193" t="s">
        <v>3</v>
      </c>
      <c r="AT193">
        <v>10.7</v>
      </c>
      <c r="AU193" t="s">
        <v>374</v>
      </c>
      <c r="AV193">
        <v>0</v>
      </c>
      <c r="AW193">
        <v>1</v>
      </c>
      <c r="AX193">
        <v>-1</v>
      </c>
      <c r="AY193">
        <v>0</v>
      </c>
      <c r="AZ193">
        <v>0</v>
      </c>
      <c r="BA193" t="s">
        <v>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ROUND(Y193*Source!I306,9)</f>
        <v>0</v>
      </c>
      <c r="CY193">
        <f t="shared" si="110"/>
        <v>296.7</v>
      </c>
      <c r="CZ193">
        <f t="shared" si="111"/>
        <v>296.7</v>
      </c>
      <c r="DA193">
        <f t="shared" si="112"/>
        <v>1</v>
      </c>
      <c r="DB193">
        <f>ROUND((ROUND(AT193*CZ193,2)*1.33),6)</f>
        <v>4222.3377</v>
      </c>
      <c r="DC193">
        <f>ROUND((ROUND(AT193*AG193,2)*1.33),6)</f>
        <v>0</v>
      </c>
      <c r="DD193" t="s">
        <v>3</v>
      </c>
      <c r="DE193" t="s">
        <v>3</v>
      </c>
      <c r="DF193">
        <f>ROUND(ROUND(AE193,2)*CX193,2)</f>
        <v>0</v>
      </c>
      <c r="DG193">
        <f t="shared" si="107"/>
        <v>0</v>
      </c>
      <c r="DH193">
        <f t="shared" si="108"/>
        <v>0</v>
      </c>
      <c r="DI193">
        <f t="shared" ref="DI193:DI206" si="119">ROUND(ROUND(AH193,2)*CX193,2)</f>
        <v>0</v>
      </c>
      <c r="DJ193">
        <f t="shared" si="115"/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ROW(Source!A307)</f>
        <v>307</v>
      </c>
      <c r="B194">
        <v>56611490</v>
      </c>
      <c r="C194">
        <v>56612360</v>
      </c>
      <c r="D194">
        <v>46725956</v>
      </c>
      <c r="E194">
        <v>1</v>
      </c>
      <c r="F194">
        <v>1</v>
      </c>
      <c r="G194">
        <v>27786564</v>
      </c>
      <c r="H194">
        <v>3</v>
      </c>
      <c r="I194" t="s">
        <v>328</v>
      </c>
      <c r="J194" t="s">
        <v>331</v>
      </c>
      <c r="K194" t="s">
        <v>329</v>
      </c>
      <c r="L194">
        <v>1348</v>
      </c>
      <c r="N194">
        <v>1009</v>
      </c>
      <c r="O194" t="s">
        <v>330</v>
      </c>
      <c r="P194" t="s">
        <v>330</v>
      </c>
      <c r="Q194">
        <v>1000</v>
      </c>
      <c r="W194">
        <v>0</v>
      </c>
      <c r="X194">
        <v>1855215121</v>
      </c>
      <c r="Y194">
        <f>(AT194*1.33)</f>
        <v>14.231</v>
      </c>
      <c r="AA194">
        <v>4566.21</v>
      </c>
      <c r="AB194">
        <v>0</v>
      </c>
      <c r="AC194">
        <v>0</v>
      </c>
      <c r="AD194">
        <v>0</v>
      </c>
      <c r="AE194">
        <v>296.7</v>
      </c>
      <c r="AF194">
        <v>0</v>
      </c>
      <c r="AG194">
        <v>0</v>
      </c>
      <c r="AH194">
        <v>0</v>
      </c>
      <c r="AI194">
        <v>15.39</v>
      </c>
      <c r="AJ194">
        <v>1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 t="s">
        <v>3</v>
      </c>
      <c r="AT194">
        <v>10.7</v>
      </c>
      <c r="AU194" t="s">
        <v>374</v>
      </c>
      <c r="AV194">
        <v>0</v>
      </c>
      <c r="AW194">
        <v>1</v>
      </c>
      <c r="AX194">
        <v>-1</v>
      </c>
      <c r="AY194">
        <v>0</v>
      </c>
      <c r="AZ194">
        <v>0</v>
      </c>
      <c r="BA194" t="s">
        <v>3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ROUND(Y194*Source!I307,9)</f>
        <v>0</v>
      </c>
      <c r="CY194">
        <f t="shared" si="110"/>
        <v>4566.21</v>
      </c>
      <c r="CZ194">
        <f t="shared" si="111"/>
        <v>296.7</v>
      </c>
      <c r="DA194">
        <f t="shared" si="112"/>
        <v>15.39</v>
      </c>
      <c r="DB194">
        <f>ROUND((ROUND(AT194*CZ194,2)*1.33),6)</f>
        <v>4222.3377</v>
      </c>
      <c r="DC194">
        <f>ROUND((ROUND(AT194*AG194,2)*1.33),6)</f>
        <v>0</v>
      </c>
      <c r="DD194" t="s">
        <v>3</v>
      </c>
      <c r="DE194" t="s">
        <v>3</v>
      </c>
      <c r="DF194">
        <f>ROUND(ROUND(AE194*AI194,2)*CX194,2)</f>
        <v>0</v>
      </c>
      <c r="DG194">
        <f t="shared" si="107"/>
        <v>0</v>
      </c>
      <c r="DH194">
        <f t="shared" si="108"/>
        <v>0</v>
      </c>
      <c r="DI194">
        <f t="shared" si="119"/>
        <v>0</v>
      </c>
      <c r="DJ194">
        <f t="shared" si="115"/>
        <v>0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ROW(Source!A310)</f>
        <v>310</v>
      </c>
      <c r="B195">
        <v>56622523</v>
      </c>
      <c r="C195">
        <v>56612367</v>
      </c>
      <c r="D195">
        <v>46725961</v>
      </c>
      <c r="E195">
        <v>1</v>
      </c>
      <c r="F195">
        <v>1</v>
      </c>
      <c r="G195">
        <v>27786564</v>
      </c>
      <c r="H195">
        <v>3</v>
      </c>
      <c r="I195" t="s">
        <v>380</v>
      </c>
      <c r="J195" t="s">
        <v>382</v>
      </c>
      <c r="K195" t="s">
        <v>381</v>
      </c>
      <c r="L195">
        <v>1348</v>
      </c>
      <c r="N195">
        <v>1009</v>
      </c>
      <c r="O195" t="s">
        <v>330</v>
      </c>
      <c r="P195" t="s">
        <v>330</v>
      </c>
      <c r="Q195">
        <v>1000</v>
      </c>
      <c r="W195">
        <v>0</v>
      </c>
      <c r="X195">
        <v>-1088409324</v>
      </c>
      <c r="Y195">
        <f>(AT195*1.33)</f>
        <v>9.4962</v>
      </c>
      <c r="AA195">
        <v>293.51</v>
      </c>
      <c r="AB195">
        <v>0</v>
      </c>
      <c r="AC195">
        <v>0</v>
      </c>
      <c r="AD195">
        <v>0</v>
      </c>
      <c r="AE195">
        <v>293.51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0</v>
      </c>
      <c r="AP195">
        <v>1</v>
      </c>
      <c r="AQ195">
        <v>0</v>
      </c>
      <c r="AR195">
        <v>0</v>
      </c>
      <c r="AS195" t="s">
        <v>3</v>
      </c>
      <c r="AT195">
        <v>7.14</v>
      </c>
      <c r="AU195" t="s">
        <v>374</v>
      </c>
      <c r="AV195">
        <v>0</v>
      </c>
      <c r="AW195">
        <v>1</v>
      </c>
      <c r="AX195">
        <v>-1</v>
      </c>
      <c r="AY195">
        <v>0</v>
      </c>
      <c r="AZ195">
        <v>0</v>
      </c>
      <c r="BA195" t="s">
        <v>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ROUND(Y195*Source!I310,9)</f>
        <v>0</v>
      </c>
      <c r="CY195">
        <f t="shared" si="110"/>
        <v>293.51</v>
      </c>
      <c r="CZ195">
        <f t="shared" si="111"/>
        <v>293.51</v>
      </c>
      <c r="DA195">
        <f t="shared" si="112"/>
        <v>1</v>
      </c>
      <c r="DB195">
        <f>ROUND((ROUND(AT195*CZ195,2)*1.33),6)</f>
        <v>2787.2278000000001</v>
      </c>
      <c r="DC195">
        <f>ROUND((ROUND(AT195*AG195,2)*1.33),6)</f>
        <v>0</v>
      </c>
      <c r="DD195" t="s">
        <v>3</v>
      </c>
      <c r="DE195" t="s">
        <v>3</v>
      </c>
      <c r="DF195">
        <f>ROUND(ROUND(AE195,2)*CX195,2)</f>
        <v>0</v>
      </c>
      <c r="DG195">
        <f t="shared" si="107"/>
        <v>0</v>
      </c>
      <c r="DH195">
        <f t="shared" si="108"/>
        <v>0</v>
      </c>
      <c r="DI195">
        <f t="shared" si="119"/>
        <v>0</v>
      </c>
      <c r="DJ195">
        <f t="shared" si="115"/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ROW(Source!A311)</f>
        <v>311</v>
      </c>
      <c r="B196">
        <v>56611490</v>
      </c>
      <c r="C196">
        <v>56612367</v>
      </c>
      <c r="D196">
        <v>46725961</v>
      </c>
      <c r="E196">
        <v>1</v>
      </c>
      <c r="F196">
        <v>1</v>
      </c>
      <c r="G196">
        <v>27786564</v>
      </c>
      <c r="H196">
        <v>3</v>
      </c>
      <c r="I196" t="s">
        <v>380</v>
      </c>
      <c r="J196" t="s">
        <v>382</v>
      </c>
      <c r="K196" t="s">
        <v>381</v>
      </c>
      <c r="L196">
        <v>1348</v>
      </c>
      <c r="N196">
        <v>1009</v>
      </c>
      <c r="O196" t="s">
        <v>330</v>
      </c>
      <c r="P196" t="s">
        <v>330</v>
      </c>
      <c r="Q196">
        <v>1000</v>
      </c>
      <c r="W196">
        <v>0</v>
      </c>
      <c r="X196">
        <v>-1088409324</v>
      </c>
      <c r="Y196">
        <f>(AT196*1.33)</f>
        <v>9.4962</v>
      </c>
      <c r="AA196">
        <v>5154.04</v>
      </c>
      <c r="AB196">
        <v>0</v>
      </c>
      <c r="AC196">
        <v>0</v>
      </c>
      <c r="AD196">
        <v>0</v>
      </c>
      <c r="AE196">
        <v>293.51</v>
      </c>
      <c r="AF196">
        <v>0</v>
      </c>
      <c r="AG196">
        <v>0</v>
      </c>
      <c r="AH196">
        <v>0</v>
      </c>
      <c r="AI196">
        <v>17.559999999999999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 t="s">
        <v>3</v>
      </c>
      <c r="AT196">
        <v>7.14</v>
      </c>
      <c r="AU196" t="s">
        <v>374</v>
      </c>
      <c r="AV196">
        <v>0</v>
      </c>
      <c r="AW196">
        <v>1</v>
      </c>
      <c r="AX196">
        <v>-1</v>
      </c>
      <c r="AY196">
        <v>0</v>
      </c>
      <c r="AZ196">
        <v>0</v>
      </c>
      <c r="BA196" t="s">
        <v>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ROUND(Y196*Source!I311,9)</f>
        <v>0</v>
      </c>
      <c r="CY196">
        <f t="shared" si="110"/>
        <v>5154.04</v>
      </c>
      <c r="CZ196">
        <f t="shared" si="111"/>
        <v>293.51</v>
      </c>
      <c r="DA196">
        <f t="shared" si="112"/>
        <v>17.559999999999999</v>
      </c>
      <c r="DB196">
        <f>ROUND((ROUND(AT196*CZ196,2)*1.33),6)</f>
        <v>2787.2278000000001</v>
      </c>
      <c r="DC196">
        <f>ROUND((ROUND(AT196*AG196,2)*1.33),6)</f>
        <v>0</v>
      </c>
      <c r="DD196" t="s">
        <v>3</v>
      </c>
      <c r="DE196" t="s">
        <v>3</v>
      </c>
      <c r="DF196">
        <f>ROUND(ROUND(AE196*AI196,2)*CX196,2)</f>
        <v>0</v>
      </c>
      <c r="DG196">
        <f t="shared" si="107"/>
        <v>0</v>
      </c>
      <c r="DH196">
        <f t="shared" si="108"/>
        <v>0</v>
      </c>
      <c r="DI196">
        <f t="shared" si="119"/>
        <v>0</v>
      </c>
      <c r="DJ196">
        <f t="shared" si="115"/>
        <v>0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ROW(Source!A314)</f>
        <v>314</v>
      </c>
      <c r="B197">
        <v>56622523</v>
      </c>
      <c r="C197">
        <v>56612374</v>
      </c>
      <c r="D197">
        <v>47634407</v>
      </c>
      <c r="E197">
        <v>27786564</v>
      </c>
      <c r="F197">
        <v>1</v>
      </c>
      <c r="G197">
        <v>27786564</v>
      </c>
      <c r="H197">
        <v>1</v>
      </c>
      <c r="I197" t="s">
        <v>438</v>
      </c>
      <c r="J197" t="s">
        <v>3</v>
      </c>
      <c r="K197" t="s">
        <v>439</v>
      </c>
      <c r="L197">
        <v>1191</v>
      </c>
      <c r="N197">
        <v>1013</v>
      </c>
      <c r="O197" t="s">
        <v>440</v>
      </c>
      <c r="P197" t="s">
        <v>440</v>
      </c>
      <c r="Q197">
        <v>1</v>
      </c>
      <c r="W197">
        <v>0</v>
      </c>
      <c r="X197">
        <v>476480486</v>
      </c>
      <c r="Y197">
        <f>(AT197*1.1)</f>
        <v>84.37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76.7</v>
      </c>
      <c r="AU197" t="s">
        <v>22</v>
      </c>
      <c r="AV197">
        <v>1</v>
      </c>
      <c r="AW197">
        <v>2</v>
      </c>
      <c r="AX197">
        <v>56612376</v>
      </c>
      <c r="AY197">
        <v>1</v>
      </c>
      <c r="AZ197">
        <v>0</v>
      </c>
      <c r="BA197">
        <v>495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U197">
        <f>ROUND(AT197*Source!I314*AH197*AL197,2)</f>
        <v>0</v>
      </c>
      <c r="CV197">
        <f>ROUND(Y197*Source!I314,9)</f>
        <v>0</v>
      </c>
      <c r="CW197">
        <v>0</v>
      </c>
      <c r="CX197">
        <f>ROUND(Y197*Source!I314,9)</f>
        <v>0</v>
      </c>
      <c r="CY197">
        <f>AD197</f>
        <v>0</v>
      </c>
      <c r="CZ197">
        <f>AH197</f>
        <v>0</v>
      </c>
      <c r="DA197">
        <f>AL197</f>
        <v>1</v>
      </c>
      <c r="DB197">
        <f>ROUND((ROUND(AT197*CZ197,2)*1.1),6)</f>
        <v>0</v>
      </c>
      <c r="DC197">
        <f>ROUND((ROUND(AT197*AG197,2)*1.1),6)</f>
        <v>0</v>
      </c>
      <c r="DD197" t="s">
        <v>3</v>
      </c>
      <c r="DE197" t="s">
        <v>3</v>
      </c>
      <c r="DF197">
        <f>ROUND(ROUND(AE197,2)*CX197,2)</f>
        <v>0</v>
      </c>
      <c r="DG197">
        <f t="shared" si="107"/>
        <v>0</v>
      </c>
      <c r="DH197">
        <f t="shared" si="108"/>
        <v>0</v>
      </c>
      <c r="DI197">
        <f t="shared" si="119"/>
        <v>0</v>
      </c>
      <c r="DJ197">
        <f>DI197</f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ROW(Source!A315)</f>
        <v>315</v>
      </c>
      <c r="B198">
        <v>56611490</v>
      </c>
      <c r="C198">
        <v>56612374</v>
      </c>
      <c r="D198">
        <v>47634407</v>
      </c>
      <c r="E198">
        <v>27786564</v>
      </c>
      <c r="F198">
        <v>1</v>
      </c>
      <c r="G198">
        <v>27786564</v>
      </c>
      <c r="H198">
        <v>1</v>
      </c>
      <c r="I198" t="s">
        <v>438</v>
      </c>
      <c r="J198" t="s">
        <v>3</v>
      </c>
      <c r="K198" t="s">
        <v>439</v>
      </c>
      <c r="L198">
        <v>1191</v>
      </c>
      <c r="N198">
        <v>1013</v>
      </c>
      <c r="O198" t="s">
        <v>440</v>
      </c>
      <c r="P198" t="s">
        <v>440</v>
      </c>
      <c r="Q198">
        <v>1</v>
      </c>
      <c r="W198">
        <v>0</v>
      </c>
      <c r="X198">
        <v>476480486</v>
      </c>
      <c r="Y198">
        <f>(AT198*1.1)</f>
        <v>84.37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76.7</v>
      </c>
      <c r="AU198" t="s">
        <v>22</v>
      </c>
      <c r="AV198">
        <v>1</v>
      </c>
      <c r="AW198">
        <v>2</v>
      </c>
      <c r="AX198">
        <v>56612376</v>
      </c>
      <c r="AY198">
        <v>1</v>
      </c>
      <c r="AZ198">
        <v>0</v>
      </c>
      <c r="BA198">
        <v>496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U198">
        <f>ROUND(AT198*Source!I315*AH198*AL198,2)</f>
        <v>0</v>
      </c>
      <c r="CV198">
        <f>ROUND(Y198*Source!I315,9)</f>
        <v>0</v>
      </c>
      <c r="CW198">
        <v>0</v>
      </c>
      <c r="CX198">
        <f>ROUND(Y198*Source!I315,9)</f>
        <v>0</v>
      </c>
      <c r="CY198">
        <f>AD198</f>
        <v>0</v>
      </c>
      <c r="CZ198">
        <f>AH198</f>
        <v>0</v>
      </c>
      <c r="DA198">
        <f>AL198</f>
        <v>1</v>
      </c>
      <c r="DB198">
        <f>ROUND((ROUND(AT198*CZ198,2)*1.1),6)</f>
        <v>0</v>
      </c>
      <c r="DC198">
        <f>ROUND((ROUND(AT198*AG198,2)*1.1),6)</f>
        <v>0</v>
      </c>
      <c r="DD198" t="s">
        <v>3</v>
      </c>
      <c r="DE198" t="s">
        <v>3</v>
      </c>
      <c r="DF198">
        <f>ROUND(ROUND(AE198,2)*CX198,2)</f>
        <v>0</v>
      </c>
      <c r="DG198">
        <f t="shared" si="107"/>
        <v>0</v>
      </c>
      <c r="DH198">
        <f t="shared" si="108"/>
        <v>0</v>
      </c>
      <c r="DI198">
        <f t="shared" si="119"/>
        <v>0</v>
      </c>
      <c r="DJ198">
        <f>DI198</f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ROW(Source!A361)</f>
        <v>361</v>
      </c>
      <c r="B199">
        <v>56622523</v>
      </c>
      <c r="C199">
        <v>56612400</v>
      </c>
      <c r="D199">
        <v>49108184</v>
      </c>
      <c r="E199">
        <v>1</v>
      </c>
      <c r="F199">
        <v>1</v>
      </c>
      <c r="G199">
        <v>27786564</v>
      </c>
      <c r="H199">
        <v>3</v>
      </c>
      <c r="I199" t="s">
        <v>86</v>
      </c>
      <c r="J199" t="s">
        <v>89</v>
      </c>
      <c r="K199" t="s">
        <v>304</v>
      </c>
      <c r="L199">
        <v>1339</v>
      </c>
      <c r="N199">
        <v>1007</v>
      </c>
      <c r="O199" t="s">
        <v>88</v>
      </c>
      <c r="P199" t="s">
        <v>88</v>
      </c>
      <c r="Q199">
        <v>1</v>
      </c>
      <c r="W199">
        <v>0</v>
      </c>
      <c r="X199">
        <v>921520</v>
      </c>
      <c r="Y199">
        <f t="shared" ref="Y199:Y206" si="120">AT199</f>
        <v>110</v>
      </c>
      <c r="AA199">
        <v>104.99</v>
      </c>
      <c r="AB199">
        <v>0</v>
      </c>
      <c r="AC199">
        <v>0</v>
      </c>
      <c r="AD199">
        <v>0</v>
      </c>
      <c r="AE199">
        <v>104.99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0</v>
      </c>
      <c r="AP199">
        <v>1</v>
      </c>
      <c r="AQ199">
        <v>0</v>
      </c>
      <c r="AR199">
        <v>0</v>
      </c>
      <c r="AS199" t="s">
        <v>3</v>
      </c>
      <c r="AT199">
        <v>110</v>
      </c>
      <c r="AU199" t="s">
        <v>3</v>
      </c>
      <c r="AV199">
        <v>0</v>
      </c>
      <c r="AW199">
        <v>1</v>
      </c>
      <c r="AX199">
        <v>-1</v>
      </c>
      <c r="AY199">
        <v>0</v>
      </c>
      <c r="AZ199">
        <v>0</v>
      </c>
      <c r="BA199" t="s">
        <v>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ROUND(Y199*Source!I361,9)</f>
        <v>0</v>
      </c>
      <c r="CY199">
        <f t="shared" ref="CY199:CY206" si="121">AA199</f>
        <v>104.99</v>
      </c>
      <c r="CZ199">
        <f t="shared" ref="CZ199:CZ206" si="122">AE199</f>
        <v>104.99</v>
      </c>
      <c r="DA199">
        <f t="shared" ref="DA199:DA206" si="123">AI199</f>
        <v>1</v>
      </c>
      <c r="DB199">
        <f t="shared" ref="DB199:DB206" si="124">ROUND(ROUND(AT199*CZ199,2),6)</f>
        <v>11548.9</v>
      </c>
      <c r="DC199">
        <f t="shared" ref="DC199:DC206" si="125">ROUND(ROUND(AT199*AG199,2),6)</f>
        <v>0</v>
      </c>
      <c r="DD199" t="s">
        <v>3</v>
      </c>
      <c r="DE199" t="s">
        <v>3</v>
      </c>
      <c r="DF199">
        <f>ROUND(ROUND(AE199,2)*CX199,2)</f>
        <v>0</v>
      </c>
      <c r="DG199">
        <f t="shared" si="107"/>
        <v>0</v>
      </c>
      <c r="DH199">
        <f t="shared" si="108"/>
        <v>0</v>
      </c>
      <c r="DI199">
        <f t="shared" si="119"/>
        <v>0</v>
      </c>
      <c r="DJ199">
        <f t="shared" ref="DJ199:DJ206" si="126">DF199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ROW(Source!A362)</f>
        <v>362</v>
      </c>
      <c r="B200">
        <v>56611490</v>
      </c>
      <c r="C200">
        <v>56612400</v>
      </c>
      <c r="D200">
        <v>49108184</v>
      </c>
      <c r="E200">
        <v>1</v>
      </c>
      <c r="F200">
        <v>1</v>
      </c>
      <c r="G200">
        <v>27786564</v>
      </c>
      <c r="H200">
        <v>3</v>
      </c>
      <c r="I200" t="s">
        <v>86</v>
      </c>
      <c r="J200" t="s">
        <v>89</v>
      </c>
      <c r="K200" t="s">
        <v>304</v>
      </c>
      <c r="L200">
        <v>1339</v>
      </c>
      <c r="N200">
        <v>1007</v>
      </c>
      <c r="O200" t="s">
        <v>88</v>
      </c>
      <c r="P200" t="s">
        <v>88</v>
      </c>
      <c r="Q200">
        <v>1</v>
      </c>
      <c r="W200">
        <v>0</v>
      </c>
      <c r="X200">
        <v>921520</v>
      </c>
      <c r="Y200">
        <f t="shared" si="120"/>
        <v>110</v>
      </c>
      <c r="AA200">
        <v>808.99</v>
      </c>
      <c r="AB200">
        <v>0</v>
      </c>
      <c r="AC200">
        <v>0</v>
      </c>
      <c r="AD200">
        <v>0</v>
      </c>
      <c r="AE200">
        <v>104.99</v>
      </c>
      <c r="AF200">
        <v>0</v>
      </c>
      <c r="AG200">
        <v>0</v>
      </c>
      <c r="AH200">
        <v>0</v>
      </c>
      <c r="AI200">
        <v>7.69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110</v>
      </c>
      <c r="AU200" t="s">
        <v>3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ROUND(Y200*Source!I362,9)</f>
        <v>0</v>
      </c>
      <c r="CY200">
        <f t="shared" si="121"/>
        <v>808.99</v>
      </c>
      <c r="CZ200">
        <f t="shared" si="122"/>
        <v>104.99</v>
      </c>
      <c r="DA200">
        <f t="shared" si="123"/>
        <v>7.69</v>
      </c>
      <c r="DB200">
        <f t="shared" si="124"/>
        <v>11548.9</v>
      </c>
      <c r="DC200">
        <f t="shared" si="125"/>
        <v>0</v>
      </c>
      <c r="DD200" t="s">
        <v>3</v>
      </c>
      <c r="DE200" t="s">
        <v>3</v>
      </c>
      <c r="DF200">
        <f>ROUND(ROUND(AE200*AI200,2)*CX200,2)</f>
        <v>0</v>
      </c>
      <c r="DG200">
        <f t="shared" si="107"/>
        <v>0</v>
      </c>
      <c r="DH200">
        <f t="shared" si="108"/>
        <v>0</v>
      </c>
      <c r="DI200">
        <f t="shared" si="119"/>
        <v>0</v>
      </c>
      <c r="DJ200">
        <f t="shared" si="126"/>
        <v>0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ROW(Source!A365)</f>
        <v>365</v>
      </c>
      <c r="B201">
        <v>56622523</v>
      </c>
      <c r="C201">
        <v>56612411</v>
      </c>
      <c r="D201">
        <v>46725728</v>
      </c>
      <c r="E201">
        <v>1</v>
      </c>
      <c r="F201">
        <v>1</v>
      </c>
      <c r="G201">
        <v>27786564</v>
      </c>
      <c r="H201">
        <v>3</v>
      </c>
      <c r="I201" t="s">
        <v>313</v>
      </c>
      <c r="J201" t="s">
        <v>315</v>
      </c>
      <c r="K201" t="s">
        <v>314</v>
      </c>
      <c r="L201">
        <v>1339</v>
      </c>
      <c r="N201">
        <v>1007</v>
      </c>
      <c r="O201" t="s">
        <v>88</v>
      </c>
      <c r="P201" t="s">
        <v>88</v>
      </c>
      <c r="Q201">
        <v>1</v>
      </c>
      <c r="W201">
        <v>0</v>
      </c>
      <c r="X201">
        <v>-520181400</v>
      </c>
      <c r="Y201">
        <f t="shared" si="120"/>
        <v>162</v>
      </c>
      <c r="AA201">
        <v>517.14</v>
      </c>
      <c r="AB201">
        <v>0</v>
      </c>
      <c r="AC201">
        <v>0</v>
      </c>
      <c r="AD201">
        <v>0</v>
      </c>
      <c r="AE201">
        <v>517.14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0</v>
      </c>
      <c r="AP201">
        <v>1</v>
      </c>
      <c r="AQ201">
        <v>0</v>
      </c>
      <c r="AR201">
        <v>0</v>
      </c>
      <c r="AS201" t="s">
        <v>3</v>
      </c>
      <c r="AT201">
        <v>162</v>
      </c>
      <c r="AU201" t="s">
        <v>3</v>
      </c>
      <c r="AV201">
        <v>0</v>
      </c>
      <c r="AW201">
        <v>1</v>
      </c>
      <c r="AX201">
        <v>-1</v>
      </c>
      <c r="AY201">
        <v>0</v>
      </c>
      <c r="AZ201">
        <v>0</v>
      </c>
      <c r="BA201" t="s">
        <v>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ROUND(Y201*Source!I365,9)</f>
        <v>0</v>
      </c>
      <c r="CY201">
        <f t="shared" si="121"/>
        <v>517.14</v>
      </c>
      <c r="CZ201">
        <f t="shared" si="122"/>
        <v>517.14</v>
      </c>
      <c r="DA201">
        <f t="shared" si="123"/>
        <v>1</v>
      </c>
      <c r="DB201">
        <f t="shared" si="124"/>
        <v>83776.679999999993</v>
      </c>
      <c r="DC201">
        <f t="shared" si="125"/>
        <v>0</v>
      </c>
      <c r="DD201" t="s">
        <v>3</v>
      </c>
      <c r="DE201" t="s">
        <v>3</v>
      </c>
      <c r="DF201">
        <f>ROUND(ROUND(AE201,2)*CX201,2)</f>
        <v>0</v>
      </c>
      <c r="DG201">
        <f t="shared" si="107"/>
        <v>0</v>
      </c>
      <c r="DH201">
        <f t="shared" si="108"/>
        <v>0</v>
      </c>
      <c r="DI201">
        <f t="shared" si="119"/>
        <v>0</v>
      </c>
      <c r="DJ201">
        <f t="shared" si="126"/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ROW(Source!A366)</f>
        <v>366</v>
      </c>
      <c r="B202">
        <v>56611490</v>
      </c>
      <c r="C202">
        <v>56612411</v>
      </c>
      <c r="D202">
        <v>46725728</v>
      </c>
      <c r="E202">
        <v>1</v>
      </c>
      <c r="F202">
        <v>1</v>
      </c>
      <c r="G202">
        <v>27786564</v>
      </c>
      <c r="H202">
        <v>3</v>
      </c>
      <c r="I202" t="s">
        <v>313</v>
      </c>
      <c r="J202" t="s">
        <v>315</v>
      </c>
      <c r="K202" t="s">
        <v>314</v>
      </c>
      <c r="L202">
        <v>1339</v>
      </c>
      <c r="N202">
        <v>1007</v>
      </c>
      <c r="O202" t="s">
        <v>88</v>
      </c>
      <c r="P202" t="s">
        <v>88</v>
      </c>
      <c r="Q202">
        <v>1</v>
      </c>
      <c r="W202">
        <v>0</v>
      </c>
      <c r="X202">
        <v>-520181400</v>
      </c>
      <c r="Y202">
        <f t="shared" si="120"/>
        <v>162</v>
      </c>
      <c r="AA202">
        <v>5715.46</v>
      </c>
      <c r="AB202">
        <v>0</v>
      </c>
      <c r="AC202">
        <v>0</v>
      </c>
      <c r="AD202">
        <v>0</v>
      </c>
      <c r="AE202">
        <v>517.14</v>
      </c>
      <c r="AF202">
        <v>0</v>
      </c>
      <c r="AG202">
        <v>0</v>
      </c>
      <c r="AH202">
        <v>0</v>
      </c>
      <c r="AI202">
        <v>11.03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 t="s">
        <v>3</v>
      </c>
      <c r="AT202">
        <v>162</v>
      </c>
      <c r="AU202" t="s">
        <v>3</v>
      </c>
      <c r="AV202">
        <v>0</v>
      </c>
      <c r="AW202">
        <v>1</v>
      </c>
      <c r="AX202">
        <v>-1</v>
      </c>
      <c r="AY202">
        <v>0</v>
      </c>
      <c r="AZ202">
        <v>0</v>
      </c>
      <c r="BA202" t="s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ROUND(Y202*Source!I366,9)</f>
        <v>0</v>
      </c>
      <c r="CY202">
        <f t="shared" si="121"/>
        <v>5715.46</v>
      </c>
      <c r="CZ202">
        <f t="shared" si="122"/>
        <v>517.14</v>
      </c>
      <c r="DA202">
        <f t="shared" si="123"/>
        <v>11.03</v>
      </c>
      <c r="DB202">
        <f t="shared" si="124"/>
        <v>83776.679999999993</v>
      </c>
      <c r="DC202">
        <f t="shared" si="125"/>
        <v>0</v>
      </c>
      <c r="DD202" t="s">
        <v>3</v>
      </c>
      <c r="DE202" t="s">
        <v>3</v>
      </c>
      <c r="DF202">
        <f>ROUND(ROUND(AE202*AI202,2)*CX202,2)</f>
        <v>0</v>
      </c>
      <c r="DG202">
        <f t="shared" si="107"/>
        <v>0</v>
      </c>
      <c r="DH202">
        <f t="shared" si="108"/>
        <v>0</v>
      </c>
      <c r="DI202">
        <f t="shared" si="119"/>
        <v>0</v>
      </c>
      <c r="DJ202">
        <f t="shared" si="126"/>
        <v>0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ROW(Source!A369)</f>
        <v>369</v>
      </c>
      <c r="B203">
        <v>56622523</v>
      </c>
      <c r="C203">
        <v>56612426</v>
      </c>
      <c r="D203">
        <v>46725728</v>
      </c>
      <c r="E203">
        <v>1</v>
      </c>
      <c r="F203">
        <v>1</v>
      </c>
      <c r="G203">
        <v>27786564</v>
      </c>
      <c r="H203">
        <v>3</v>
      </c>
      <c r="I203" t="s">
        <v>313</v>
      </c>
      <c r="J203" t="s">
        <v>315</v>
      </c>
      <c r="K203" t="s">
        <v>314</v>
      </c>
      <c r="L203">
        <v>1339</v>
      </c>
      <c r="N203">
        <v>1007</v>
      </c>
      <c r="O203" t="s">
        <v>88</v>
      </c>
      <c r="P203" t="s">
        <v>88</v>
      </c>
      <c r="Q203">
        <v>1</v>
      </c>
      <c r="W203">
        <v>0</v>
      </c>
      <c r="X203">
        <v>-520181400</v>
      </c>
      <c r="Y203">
        <f t="shared" si="120"/>
        <v>10.199999999999999</v>
      </c>
      <c r="AA203">
        <v>517.14</v>
      </c>
      <c r="AB203">
        <v>0</v>
      </c>
      <c r="AC203">
        <v>0</v>
      </c>
      <c r="AD203">
        <v>0</v>
      </c>
      <c r="AE203">
        <v>517.14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0</v>
      </c>
      <c r="AP203">
        <v>1</v>
      </c>
      <c r="AQ203">
        <v>0</v>
      </c>
      <c r="AR203">
        <v>0</v>
      </c>
      <c r="AS203" t="s">
        <v>3</v>
      </c>
      <c r="AT203">
        <v>10.199999999999999</v>
      </c>
      <c r="AU203" t="s">
        <v>3</v>
      </c>
      <c r="AV203">
        <v>0</v>
      </c>
      <c r="AW203">
        <v>1</v>
      </c>
      <c r="AX203">
        <v>-1</v>
      </c>
      <c r="AY203">
        <v>0</v>
      </c>
      <c r="AZ203">
        <v>0</v>
      </c>
      <c r="BA203" t="s">
        <v>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ROUND(Y203*Source!I369,9)</f>
        <v>0</v>
      </c>
      <c r="CY203">
        <f t="shared" si="121"/>
        <v>517.14</v>
      </c>
      <c r="CZ203">
        <f t="shared" si="122"/>
        <v>517.14</v>
      </c>
      <c r="DA203">
        <f t="shared" si="123"/>
        <v>1</v>
      </c>
      <c r="DB203">
        <f t="shared" si="124"/>
        <v>5274.83</v>
      </c>
      <c r="DC203">
        <f t="shared" si="125"/>
        <v>0</v>
      </c>
      <c r="DD203" t="s">
        <v>3</v>
      </c>
      <c r="DE203" t="s">
        <v>3</v>
      </c>
      <c r="DF203">
        <f>ROUND(ROUND(AE203,2)*CX203,2)</f>
        <v>0</v>
      </c>
      <c r="DG203">
        <f t="shared" si="107"/>
        <v>0</v>
      </c>
      <c r="DH203">
        <f t="shared" si="108"/>
        <v>0</v>
      </c>
      <c r="DI203">
        <f t="shared" si="119"/>
        <v>0</v>
      </c>
      <c r="DJ203">
        <f t="shared" si="126"/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ROW(Source!A370)</f>
        <v>370</v>
      </c>
      <c r="B204">
        <v>56611490</v>
      </c>
      <c r="C204">
        <v>56612426</v>
      </c>
      <c r="D204">
        <v>46725728</v>
      </c>
      <c r="E204">
        <v>1</v>
      </c>
      <c r="F204">
        <v>1</v>
      </c>
      <c r="G204">
        <v>27786564</v>
      </c>
      <c r="H204">
        <v>3</v>
      </c>
      <c r="I204" t="s">
        <v>313</v>
      </c>
      <c r="J204" t="s">
        <v>315</v>
      </c>
      <c r="K204" t="s">
        <v>314</v>
      </c>
      <c r="L204">
        <v>1339</v>
      </c>
      <c r="N204">
        <v>1007</v>
      </c>
      <c r="O204" t="s">
        <v>88</v>
      </c>
      <c r="P204" t="s">
        <v>88</v>
      </c>
      <c r="Q204">
        <v>1</v>
      </c>
      <c r="W204">
        <v>0</v>
      </c>
      <c r="X204">
        <v>-520181400</v>
      </c>
      <c r="Y204">
        <f t="shared" si="120"/>
        <v>10.199999999999999</v>
      </c>
      <c r="AA204">
        <v>5715.46</v>
      </c>
      <c r="AB204">
        <v>0</v>
      </c>
      <c r="AC204">
        <v>0</v>
      </c>
      <c r="AD204">
        <v>0</v>
      </c>
      <c r="AE204">
        <v>517.14</v>
      </c>
      <c r="AF204">
        <v>0</v>
      </c>
      <c r="AG204">
        <v>0</v>
      </c>
      <c r="AH204">
        <v>0</v>
      </c>
      <c r="AI204">
        <v>11.03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10.199999999999999</v>
      </c>
      <c r="AU204" t="s">
        <v>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ROUND(Y204*Source!I370,9)</f>
        <v>0</v>
      </c>
      <c r="CY204">
        <f t="shared" si="121"/>
        <v>5715.46</v>
      </c>
      <c r="CZ204">
        <f t="shared" si="122"/>
        <v>517.14</v>
      </c>
      <c r="DA204">
        <f t="shared" si="123"/>
        <v>11.03</v>
      </c>
      <c r="DB204">
        <f t="shared" si="124"/>
        <v>5274.83</v>
      </c>
      <c r="DC204">
        <f t="shared" si="125"/>
        <v>0</v>
      </c>
      <c r="DD204" t="s">
        <v>3</v>
      </c>
      <c r="DE204" t="s">
        <v>3</v>
      </c>
      <c r="DF204">
        <f>ROUND(ROUND(AE204*AI204,2)*CX204,2)</f>
        <v>0</v>
      </c>
      <c r="DG204">
        <f t="shared" si="107"/>
        <v>0</v>
      </c>
      <c r="DH204">
        <f t="shared" si="108"/>
        <v>0</v>
      </c>
      <c r="DI204">
        <f t="shared" si="119"/>
        <v>0</v>
      </c>
      <c r="DJ204">
        <f t="shared" si="126"/>
        <v>0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ROW(Source!A373)</f>
        <v>373</v>
      </c>
      <c r="B205">
        <v>56622523</v>
      </c>
      <c r="C205">
        <v>56612432</v>
      </c>
      <c r="D205">
        <v>46724065</v>
      </c>
      <c r="E205">
        <v>1</v>
      </c>
      <c r="F205">
        <v>1</v>
      </c>
      <c r="G205">
        <v>27786564</v>
      </c>
      <c r="H205">
        <v>3</v>
      </c>
      <c r="I205" t="s">
        <v>420</v>
      </c>
      <c r="J205" t="s">
        <v>422</v>
      </c>
      <c r="K205" t="s">
        <v>421</v>
      </c>
      <c r="L205">
        <v>1339</v>
      </c>
      <c r="N205">
        <v>1007</v>
      </c>
      <c r="O205" t="s">
        <v>88</v>
      </c>
      <c r="P205" t="s">
        <v>88</v>
      </c>
      <c r="Q205">
        <v>1</v>
      </c>
      <c r="W205">
        <v>0</v>
      </c>
      <c r="X205">
        <v>1202100556</v>
      </c>
      <c r="Y205">
        <f t="shared" si="120"/>
        <v>100</v>
      </c>
      <c r="AA205">
        <v>165.8</v>
      </c>
      <c r="AB205">
        <v>0</v>
      </c>
      <c r="AC205">
        <v>0</v>
      </c>
      <c r="AD205">
        <v>0</v>
      </c>
      <c r="AE205">
        <v>165.8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0</v>
      </c>
      <c r="AP205">
        <v>1</v>
      </c>
      <c r="AQ205">
        <v>0</v>
      </c>
      <c r="AR205">
        <v>0</v>
      </c>
      <c r="AS205" t="s">
        <v>3</v>
      </c>
      <c r="AT205">
        <v>100</v>
      </c>
      <c r="AU205" t="s">
        <v>3</v>
      </c>
      <c r="AV205">
        <v>0</v>
      </c>
      <c r="AW205">
        <v>1</v>
      </c>
      <c r="AX205">
        <v>-1</v>
      </c>
      <c r="AY205">
        <v>0</v>
      </c>
      <c r="AZ205">
        <v>0</v>
      </c>
      <c r="BA205" t="s">
        <v>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ROUND(Y205*Source!I373,9)</f>
        <v>0</v>
      </c>
      <c r="CY205">
        <f t="shared" si="121"/>
        <v>165.8</v>
      </c>
      <c r="CZ205">
        <f t="shared" si="122"/>
        <v>165.8</v>
      </c>
      <c r="DA205">
        <f t="shared" si="123"/>
        <v>1</v>
      </c>
      <c r="DB205">
        <f t="shared" si="124"/>
        <v>16580</v>
      </c>
      <c r="DC205">
        <f t="shared" si="125"/>
        <v>0</v>
      </c>
      <c r="DD205" t="s">
        <v>3</v>
      </c>
      <c r="DE205" t="s">
        <v>3</v>
      </c>
      <c r="DF205">
        <f>ROUND(ROUND(AE205,2)*CX205,2)</f>
        <v>0</v>
      </c>
      <c r="DG205">
        <f t="shared" si="107"/>
        <v>0</v>
      </c>
      <c r="DH205">
        <f t="shared" si="108"/>
        <v>0</v>
      </c>
      <c r="DI205">
        <f t="shared" si="119"/>
        <v>0</v>
      </c>
      <c r="DJ205">
        <f t="shared" si="126"/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ROW(Source!A374)</f>
        <v>374</v>
      </c>
      <c r="B206">
        <v>56611490</v>
      </c>
      <c r="C206">
        <v>56612432</v>
      </c>
      <c r="D206">
        <v>46724065</v>
      </c>
      <c r="E206">
        <v>1</v>
      </c>
      <c r="F206">
        <v>1</v>
      </c>
      <c r="G206">
        <v>27786564</v>
      </c>
      <c r="H206">
        <v>3</v>
      </c>
      <c r="I206" t="s">
        <v>420</v>
      </c>
      <c r="J206" t="s">
        <v>422</v>
      </c>
      <c r="K206" t="s">
        <v>421</v>
      </c>
      <c r="L206">
        <v>1339</v>
      </c>
      <c r="N206">
        <v>1007</v>
      </c>
      <c r="O206" t="s">
        <v>88</v>
      </c>
      <c r="P206" t="s">
        <v>88</v>
      </c>
      <c r="Q206">
        <v>1</v>
      </c>
      <c r="W206">
        <v>0</v>
      </c>
      <c r="X206">
        <v>1202100556</v>
      </c>
      <c r="Y206">
        <f t="shared" si="120"/>
        <v>100</v>
      </c>
      <c r="AA206">
        <v>2978.74</v>
      </c>
      <c r="AB206">
        <v>0</v>
      </c>
      <c r="AC206">
        <v>0</v>
      </c>
      <c r="AD206">
        <v>0</v>
      </c>
      <c r="AE206">
        <v>165.8</v>
      </c>
      <c r="AF206">
        <v>0</v>
      </c>
      <c r="AG206">
        <v>0</v>
      </c>
      <c r="AH206">
        <v>0</v>
      </c>
      <c r="AI206">
        <v>17.93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100</v>
      </c>
      <c r="AU206" t="s">
        <v>3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ROUND(Y206*Source!I374,9)</f>
        <v>0</v>
      </c>
      <c r="CY206">
        <f t="shared" si="121"/>
        <v>2978.74</v>
      </c>
      <c r="CZ206">
        <f t="shared" si="122"/>
        <v>165.8</v>
      </c>
      <c r="DA206">
        <f t="shared" si="123"/>
        <v>17.93</v>
      </c>
      <c r="DB206">
        <f t="shared" si="124"/>
        <v>16580</v>
      </c>
      <c r="DC206">
        <f t="shared" si="125"/>
        <v>0</v>
      </c>
      <c r="DD206" t="s">
        <v>3</v>
      </c>
      <c r="DE206" t="s">
        <v>3</v>
      </c>
      <c r="DF206">
        <f>ROUND(ROUND(AE206*AI206,2)*CX206,2)</f>
        <v>0</v>
      </c>
      <c r="DG206">
        <f t="shared" si="107"/>
        <v>0</v>
      </c>
      <c r="DH206">
        <f t="shared" si="108"/>
        <v>0</v>
      </c>
      <c r="DI206">
        <f t="shared" si="119"/>
        <v>0</v>
      </c>
      <c r="DJ206">
        <f t="shared" si="126"/>
        <v>0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4368-D0AA-4AC0-9BE5-4B97261491BB}">
  <dimension ref="A1:AR60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56611960</v>
      </c>
      <c r="C1">
        <v>56611958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438</v>
      </c>
      <c r="J1" t="s">
        <v>3</v>
      </c>
      <c r="K1" t="s">
        <v>439</v>
      </c>
      <c r="L1">
        <v>1191</v>
      </c>
      <c r="N1">
        <v>1013</v>
      </c>
      <c r="O1" t="s">
        <v>440</v>
      </c>
      <c r="P1" t="s">
        <v>440</v>
      </c>
      <c r="Q1">
        <v>1</v>
      </c>
      <c r="X1">
        <v>192.7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22</v>
      </c>
      <c r="AG1">
        <v>211.97</v>
      </c>
      <c r="AH1">
        <v>2</v>
      </c>
      <c r="AI1">
        <v>56611959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56611960</v>
      </c>
      <c r="C2">
        <v>56611958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438</v>
      </c>
      <c r="J2" t="s">
        <v>3</v>
      </c>
      <c r="K2" t="s">
        <v>439</v>
      </c>
      <c r="L2">
        <v>1191</v>
      </c>
      <c r="N2">
        <v>1013</v>
      </c>
      <c r="O2" t="s">
        <v>440</v>
      </c>
      <c r="P2" t="s">
        <v>440</v>
      </c>
      <c r="Q2">
        <v>1</v>
      </c>
      <c r="X2">
        <v>192.7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22</v>
      </c>
      <c r="AG2">
        <v>211.97</v>
      </c>
      <c r="AH2">
        <v>2</v>
      </c>
      <c r="AI2">
        <v>56611959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56611966</v>
      </c>
      <c r="C3">
        <v>56611961</v>
      </c>
      <c r="D3">
        <v>27731869</v>
      </c>
      <c r="E3">
        <v>27731863</v>
      </c>
      <c r="F3">
        <v>1</v>
      </c>
      <c r="G3">
        <v>27786564</v>
      </c>
      <c r="H3">
        <v>1</v>
      </c>
      <c r="I3" t="s">
        <v>438</v>
      </c>
      <c r="J3" t="s">
        <v>3</v>
      </c>
      <c r="K3" t="s">
        <v>439</v>
      </c>
      <c r="L3">
        <v>1191</v>
      </c>
      <c r="N3">
        <v>1013</v>
      </c>
      <c r="O3" t="s">
        <v>440</v>
      </c>
      <c r="P3" t="s">
        <v>440</v>
      </c>
      <c r="Q3">
        <v>1</v>
      </c>
      <c r="X3">
        <v>2.95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22</v>
      </c>
      <c r="AG3">
        <v>3.2450000000000006</v>
      </c>
      <c r="AH3">
        <v>2</v>
      </c>
      <c r="AI3">
        <v>56611962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ROW(Source!A30)</f>
        <v>30</v>
      </c>
      <c r="B4">
        <v>56611967</v>
      </c>
      <c r="C4">
        <v>56611961</v>
      </c>
      <c r="D4">
        <v>27810822</v>
      </c>
      <c r="E4">
        <v>1</v>
      </c>
      <c r="F4">
        <v>1</v>
      </c>
      <c r="G4">
        <v>27786564</v>
      </c>
      <c r="H4">
        <v>2</v>
      </c>
      <c r="I4" t="s">
        <v>441</v>
      </c>
      <c r="J4" t="s">
        <v>442</v>
      </c>
      <c r="K4" t="s">
        <v>443</v>
      </c>
      <c r="L4">
        <v>1368</v>
      </c>
      <c r="N4">
        <v>1011</v>
      </c>
      <c r="O4" t="s">
        <v>444</v>
      </c>
      <c r="P4" t="s">
        <v>444</v>
      </c>
      <c r="Q4">
        <v>1</v>
      </c>
      <c r="X4">
        <v>7.4139999999999997</v>
      </c>
      <c r="Y4">
        <v>0</v>
      </c>
      <c r="Z4">
        <v>147.49</v>
      </c>
      <c r="AA4">
        <v>14.54</v>
      </c>
      <c r="AB4">
        <v>0</v>
      </c>
      <c r="AC4">
        <v>0</v>
      </c>
      <c r="AD4">
        <v>1</v>
      </c>
      <c r="AE4">
        <v>0</v>
      </c>
      <c r="AF4" t="s">
        <v>22</v>
      </c>
      <c r="AG4">
        <v>8.1554000000000002</v>
      </c>
      <c r="AH4">
        <v>2</v>
      </c>
      <c r="AI4">
        <v>56611963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ROW(Source!A30)</f>
        <v>30</v>
      </c>
      <c r="B5">
        <v>56611968</v>
      </c>
      <c r="C5">
        <v>56611961</v>
      </c>
      <c r="D5">
        <v>27810834</v>
      </c>
      <c r="E5">
        <v>1</v>
      </c>
      <c r="F5">
        <v>1</v>
      </c>
      <c r="G5">
        <v>27786564</v>
      </c>
      <c r="H5">
        <v>2</v>
      </c>
      <c r="I5" t="s">
        <v>445</v>
      </c>
      <c r="J5" t="s">
        <v>446</v>
      </c>
      <c r="K5" t="s">
        <v>447</v>
      </c>
      <c r="L5">
        <v>1368</v>
      </c>
      <c r="N5">
        <v>1011</v>
      </c>
      <c r="O5" t="s">
        <v>444</v>
      </c>
      <c r="P5" t="s">
        <v>444</v>
      </c>
      <c r="Q5">
        <v>1</v>
      </c>
      <c r="X5">
        <v>1.6975</v>
      </c>
      <c r="Y5">
        <v>0</v>
      </c>
      <c r="Z5">
        <v>145.59</v>
      </c>
      <c r="AA5">
        <v>14.54</v>
      </c>
      <c r="AB5">
        <v>0</v>
      </c>
      <c r="AC5">
        <v>0</v>
      </c>
      <c r="AD5">
        <v>1</v>
      </c>
      <c r="AE5">
        <v>0</v>
      </c>
      <c r="AF5" t="s">
        <v>22</v>
      </c>
      <c r="AG5">
        <v>1.8672500000000001</v>
      </c>
      <c r="AH5">
        <v>2</v>
      </c>
      <c r="AI5">
        <v>56611964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ROW(Source!A31)</f>
        <v>31</v>
      </c>
      <c r="B6">
        <v>56611966</v>
      </c>
      <c r="C6">
        <v>56611961</v>
      </c>
      <c r="D6">
        <v>27731869</v>
      </c>
      <c r="E6">
        <v>27731863</v>
      </c>
      <c r="F6">
        <v>1</v>
      </c>
      <c r="G6">
        <v>27786564</v>
      </c>
      <c r="H6">
        <v>1</v>
      </c>
      <c r="I6" t="s">
        <v>438</v>
      </c>
      <c r="J6" t="s">
        <v>3</v>
      </c>
      <c r="K6" t="s">
        <v>439</v>
      </c>
      <c r="L6">
        <v>1191</v>
      </c>
      <c r="N6">
        <v>1013</v>
      </c>
      <c r="O6" t="s">
        <v>440</v>
      </c>
      <c r="P6" t="s">
        <v>440</v>
      </c>
      <c r="Q6">
        <v>1</v>
      </c>
      <c r="X6">
        <v>2.95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22</v>
      </c>
      <c r="AG6">
        <v>3.2450000000000006</v>
      </c>
      <c r="AH6">
        <v>2</v>
      </c>
      <c r="AI6">
        <v>56611962</v>
      </c>
      <c r="AJ6">
        <v>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ROW(Source!A31)</f>
        <v>31</v>
      </c>
      <c r="B7">
        <v>56611967</v>
      </c>
      <c r="C7">
        <v>56611961</v>
      </c>
      <c r="D7">
        <v>27810822</v>
      </c>
      <c r="E7">
        <v>1</v>
      </c>
      <c r="F7">
        <v>1</v>
      </c>
      <c r="G7">
        <v>27786564</v>
      </c>
      <c r="H7">
        <v>2</v>
      </c>
      <c r="I7" t="s">
        <v>441</v>
      </c>
      <c r="J7" t="s">
        <v>442</v>
      </c>
      <c r="K7" t="s">
        <v>443</v>
      </c>
      <c r="L7">
        <v>1368</v>
      </c>
      <c r="N7">
        <v>1011</v>
      </c>
      <c r="O7" t="s">
        <v>444</v>
      </c>
      <c r="P7" t="s">
        <v>444</v>
      </c>
      <c r="Q7">
        <v>1</v>
      </c>
      <c r="X7">
        <v>7.4139999999999997</v>
      </c>
      <c r="Y7">
        <v>0</v>
      </c>
      <c r="Z7">
        <v>147.49</v>
      </c>
      <c r="AA7">
        <v>14.54</v>
      </c>
      <c r="AB7">
        <v>0</v>
      </c>
      <c r="AC7">
        <v>0</v>
      </c>
      <c r="AD7">
        <v>1</v>
      </c>
      <c r="AE7">
        <v>0</v>
      </c>
      <c r="AF7" t="s">
        <v>22</v>
      </c>
      <c r="AG7">
        <v>8.1554000000000002</v>
      </c>
      <c r="AH7">
        <v>2</v>
      </c>
      <c r="AI7">
        <v>56611963</v>
      </c>
      <c r="AJ7">
        <v>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ROW(Source!A31)</f>
        <v>31</v>
      </c>
      <c r="B8">
        <v>56611968</v>
      </c>
      <c r="C8">
        <v>56611961</v>
      </c>
      <c r="D8">
        <v>27810834</v>
      </c>
      <c r="E8">
        <v>1</v>
      </c>
      <c r="F8">
        <v>1</v>
      </c>
      <c r="G8">
        <v>27786564</v>
      </c>
      <c r="H8">
        <v>2</v>
      </c>
      <c r="I8" t="s">
        <v>445</v>
      </c>
      <c r="J8" t="s">
        <v>446</v>
      </c>
      <c r="K8" t="s">
        <v>447</v>
      </c>
      <c r="L8">
        <v>1368</v>
      </c>
      <c r="N8">
        <v>1011</v>
      </c>
      <c r="O8" t="s">
        <v>444</v>
      </c>
      <c r="P8" t="s">
        <v>444</v>
      </c>
      <c r="Q8">
        <v>1</v>
      </c>
      <c r="X8">
        <v>1.6975</v>
      </c>
      <c r="Y8">
        <v>0</v>
      </c>
      <c r="Z8">
        <v>145.59</v>
      </c>
      <c r="AA8">
        <v>14.54</v>
      </c>
      <c r="AB8">
        <v>0</v>
      </c>
      <c r="AC8">
        <v>0</v>
      </c>
      <c r="AD8">
        <v>1</v>
      </c>
      <c r="AE8">
        <v>0</v>
      </c>
      <c r="AF8" t="s">
        <v>22</v>
      </c>
      <c r="AG8">
        <v>1.8672500000000001</v>
      </c>
      <c r="AH8">
        <v>2</v>
      </c>
      <c r="AI8">
        <v>56611964</v>
      </c>
      <c r="AJ8">
        <v>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56611972</v>
      </c>
      <c r="C9">
        <v>56611969</v>
      </c>
      <c r="D9">
        <v>47634407</v>
      </c>
      <c r="E9">
        <v>27786564</v>
      </c>
      <c r="F9">
        <v>1</v>
      </c>
      <c r="G9">
        <v>27786564</v>
      </c>
      <c r="H9">
        <v>1</v>
      </c>
      <c r="I9" t="s">
        <v>438</v>
      </c>
      <c r="J9" t="s">
        <v>3</v>
      </c>
      <c r="K9" t="s">
        <v>439</v>
      </c>
      <c r="L9">
        <v>1191</v>
      </c>
      <c r="N9">
        <v>1013</v>
      </c>
      <c r="O9" t="s">
        <v>440</v>
      </c>
      <c r="P9" t="s">
        <v>440</v>
      </c>
      <c r="Q9">
        <v>1</v>
      </c>
      <c r="X9">
        <v>1.19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22</v>
      </c>
      <c r="AG9">
        <v>1.3089999999999999</v>
      </c>
      <c r="AH9">
        <v>2</v>
      </c>
      <c r="AI9">
        <v>56611970</v>
      </c>
      <c r="AJ9">
        <v>11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56611973</v>
      </c>
      <c r="C10">
        <v>56611969</v>
      </c>
      <c r="D10">
        <v>47766391</v>
      </c>
      <c r="E10">
        <v>1</v>
      </c>
      <c r="F10">
        <v>1</v>
      </c>
      <c r="G10">
        <v>27786564</v>
      </c>
      <c r="H10">
        <v>2</v>
      </c>
      <c r="I10" t="s">
        <v>441</v>
      </c>
      <c r="J10" t="s">
        <v>442</v>
      </c>
      <c r="K10" t="s">
        <v>443</v>
      </c>
      <c r="L10">
        <v>1368</v>
      </c>
      <c r="N10">
        <v>1011</v>
      </c>
      <c r="O10" t="s">
        <v>444</v>
      </c>
      <c r="P10" t="s">
        <v>444</v>
      </c>
      <c r="Q10">
        <v>1</v>
      </c>
      <c r="X10">
        <v>6.3194999999999997</v>
      </c>
      <c r="Y10">
        <v>0</v>
      </c>
      <c r="Z10">
        <v>147.49</v>
      </c>
      <c r="AA10">
        <v>14.54</v>
      </c>
      <c r="AB10">
        <v>0</v>
      </c>
      <c r="AC10">
        <v>0</v>
      </c>
      <c r="AD10">
        <v>1</v>
      </c>
      <c r="AE10">
        <v>0</v>
      </c>
      <c r="AF10" t="s">
        <v>22</v>
      </c>
      <c r="AG10">
        <v>6.9514500000000004</v>
      </c>
      <c r="AH10">
        <v>2</v>
      </c>
      <c r="AI10">
        <v>56611971</v>
      </c>
      <c r="AJ10">
        <v>12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ROW(Source!A33)</f>
        <v>33</v>
      </c>
      <c r="B11">
        <v>56611972</v>
      </c>
      <c r="C11">
        <v>56611969</v>
      </c>
      <c r="D11">
        <v>47634407</v>
      </c>
      <c r="E11">
        <v>27786564</v>
      </c>
      <c r="F11">
        <v>1</v>
      </c>
      <c r="G11">
        <v>27786564</v>
      </c>
      <c r="H11">
        <v>1</v>
      </c>
      <c r="I11" t="s">
        <v>438</v>
      </c>
      <c r="J11" t="s">
        <v>3</v>
      </c>
      <c r="K11" t="s">
        <v>439</v>
      </c>
      <c r="L11">
        <v>1191</v>
      </c>
      <c r="N11">
        <v>1013</v>
      </c>
      <c r="O11" t="s">
        <v>440</v>
      </c>
      <c r="P11" t="s">
        <v>440</v>
      </c>
      <c r="Q11">
        <v>1</v>
      </c>
      <c r="X11">
        <v>1.19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22</v>
      </c>
      <c r="AG11">
        <v>1.3089999999999999</v>
      </c>
      <c r="AH11">
        <v>2</v>
      </c>
      <c r="AI11">
        <v>56611970</v>
      </c>
      <c r="AJ11">
        <v>13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ROW(Source!A33)</f>
        <v>33</v>
      </c>
      <c r="B12">
        <v>56611973</v>
      </c>
      <c r="C12">
        <v>56611969</v>
      </c>
      <c r="D12">
        <v>47766391</v>
      </c>
      <c r="E12">
        <v>1</v>
      </c>
      <c r="F12">
        <v>1</v>
      </c>
      <c r="G12">
        <v>27786564</v>
      </c>
      <c r="H12">
        <v>2</v>
      </c>
      <c r="I12" t="s">
        <v>441</v>
      </c>
      <c r="J12" t="s">
        <v>442</v>
      </c>
      <c r="K12" t="s">
        <v>443</v>
      </c>
      <c r="L12">
        <v>1368</v>
      </c>
      <c r="N12">
        <v>1011</v>
      </c>
      <c r="O12" t="s">
        <v>444</v>
      </c>
      <c r="P12" t="s">
        <v>444</v>
      </c>
      <c r="Q12">
        <v>1</v>
      </c>
      <c r="X12">
        <v>6.3194999999999997</v>
      </c>
      <c r="Y12">
        <v>0</v>
      </c>
      <c r="Z12">
        <v>147.49</v>
      </c>
      <c r="AA12">
        <v>14.54</v>
      </c>
      <c r="AB12">
        <v>0</v>
      </c>
      <c r="AC12">
        <v>0</v>
      </c>
      <c r="AD12">
        <v>1</v>
      </c>
      <c r="AE12">
        <v>0</v>
      </c>
      <c r="AF12" t="s">
        <v>22</v>
      </c>
      <c r="AG12">
        <v>6.9514500000000004</v>
      </c>
      <c r="AH12">
        <v>2</v>
      </c>
      <c r="AI12">
        <v>56611971</v>
      </c>
      <c r="AJ12">
        <v>14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ROW(Source!A34)</f>
        <v>34</v>
      </c>
      <c r="B13">
        <v>56611976</v>
      </c>
      <c r="C13">
        <v>56611974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438</v>
      </c>
      <c r="J13" t="s">
        <v>3</v>
      </c>
      <c r="K13" t="s">
        <v>439</v>
      </c>
      <c r="L13">
        <v>1191</v>
      </c>
      <c r="N13">
        <v>1013</v>
      </c>
      <c r="O13" t="s">
        <v>440</v>
      </c>
      <c r="P13" t="s">
        <v>440</v>
      </c>
      <c r="Q13">
        <v>1</v>
      </c>
      <c r="X13">
        <v>107.04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22</v>
      </c>
      <c r="AG13">
        <v>117.74400000000001</v>
      </c>
      <c r="AH13">
        <v>2</v>
      </c>
      <c r="AI13">
        <v>56611975</v>
      </c>
      <c r="AJ13">
        <v>15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ROW(Source!A35)</f>
        <v>35</v>
      </c>
      <c r="B14">
        <v>56611976</v>
      </c>
      <c r="C14">
        <v>56611974</v>
      </c>
      <c r="D14">
        <v>47634407</v>
      </c>
      <c r="E14">
        <v>27786564</v>
      </c>
      <c r="F14">
        <v>1</v>
      </c>
      <c r="G14">
        <v>27786564</v>
      </c>
      <c r="H14">
        <v>1</v>
      </c>
      <c r="I14" t="s">
        <v>438</v>
      </c>
      <c r="J14" t="s">
        <v>3</v>
      </c>
      <c r="K14" t="s">
        <v>439</v>
      </c>
      <c r="L14">
        <v>1191</v>
      </c>
      <c r="N14">
        <v>1013</v>
      </c>
      <c r="O14" t="s">
        <v>440</v>
      </c>
      <c r="P14" t="s">
        <v>440</v>
      </c>
      <c r="Q14">
        <v>1</v>
      </c>
      <c r="X14">
        <v>107.04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22</v>
      </c>
      <c r="AG14">
        <v>117.74400000000001</v>
      </c>
      <c r="AH14">
        <v>2</v>
      </c>
      <c r="AI14">
        <v>56611975</v>
      </c>
      <c r="AJ14">
        <v>16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ROW(Source!A36)</f>
        <v>36</v>
      </c>
      <c r="B15">
        <v>56611980</v>
      </c>
      <c r="C15">
        <v>56611977</v>
      </c>
      <c r="D15">
        <v>47634407</v>
      </c>
      <c r="E15">
        <v>27786564</v>
      </c>
      <c r="F15">
        <v>1</v>
      </c>
      <c r="G15">
        <v>27786564</v>
      </c>
      <c r="H15">
        <v>1</v>
      </c>
      <c r="I15" t="s">
        <v>438</v>
      </c>
      <c r="J15" t="s">
        <v>3</v>
      </c>
      <c r="K15" t="s">
        <v>439</v>
      </c>
      <c r="L15">
        <v>1191</v>
      </c>
      <c r="N15">
        <v>1013</v>
      </c>
      <c r="O15" t="s">
        <v>440</v>
      </c>
      <c r="P15" t="s">
        <v>440</v>
      </c>
      <c r="Q15">
        <v>1</v>
      </c>
      <c r="X15">
        <v>1.19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44</v>
      </c>
      <c r="AG15">
        <v>0.65449999999999997</v>
      </c>
      <c r="AH15">
        <v>2</v>
      </c>
      <c r="AI15">
        <v>56611978</v>
      </c>
      <c r="AJ15">
        <v>17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ROW(Source!A36)</f>
        <v>36</v>
      </c>
      <c r="B16">
        <v>56611981</v>
      </c>
      <c r="C16">
        <v>56611977</v>
      </c>
      <c r="D16">
        <v>47766391</v>
      </c>
      <c r="E16">
        <v>1</v>
      </c>
      <c r="F16">
        <v>1</v>
      </c>
      <c r="G16">
        <v>27786564</v>
      </c>
      <c r="H16">
        <v>2</v>
      </c>
      <c r="I16" t="s">
        <v>441</v>
      </c>
      <c r="J16" t="s">
        <v>442</v>
      </c>
      <c r="K16" t="s">
        <v>443</v>
      </c>
      <c r="L16">
        <v>1368</v>
      </c>
      <c r="N16">
        <v>1011</v>
      </c>
      <c r="O16" t="s">
        <v>444</v>
      </c>
      <c r="P16" t="s">
        <v>444</v>
      </c>
      <c r="Q16">
        <v>1</v>
      </c>
      <c r="X16">
        <v>6.3194999999999997</v>
      </c>
      <c r="Y16">
        <v>0</v>
      </c>
      <c r="Z16">
        <v>147.49</v>
      </c>
      <c r="AA16">
        <v>14.54</v>
      </c>
      <c r="AB16">
        <v>0</v>
      </c>
      <c r="AC16">
        <v>0</v>
      </c>
      <c r="AD16">
        <v>1</v>
      </c>
      <c r="AE16">
        <v>0</v>
      </c>
      <c r="AF16" t="s">
        <v>43</v>
      </c>
      <c r="AG16">
        <v>6.2563050000000002</v>
      </c>
      <c r="AH16">
        <v>2</v>
      </c>
      <c r="AI16">
        <v>56611979</v>
      </c>
      <c r="AJ16">
        <v>18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ROW(Source!A37)</f>
        <v>37</v>
      </c>
      <c r="B17">
        <v>56611980</v>
      </c>
      <c r="C17">
        <v>56611977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438</v>
      </c>
      <c r="J17" t="s">
        <v>3</v>
      </c>
      <c r="K17" t="s">
        <v>439</v>
      </c>
      <c r="L17">
        <v>1191</v>
      </c>
      <c r="N17">
        <v>1013</v>
      </c>
      <c r="O17" t="s">
        <v>440</v>
      </c>
      <c r="P17" t="s">
        <v>440</v>
      </c>
      <c r="Q17">
        <v>1</v>
      </c>
      <c r="X17">
        <v>1.19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44</v>
      </c>
      <c r="AG17">
        <v>0.65449999999999997</v>
      </c>
      <c r="AH17">
        <v>2</v>
      </c>
      <c r="AI17">
        <v>56611978</v>
      </c>
      <c r="AJ17">
        <v>19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ROW(Source!A37)</f>
        <v>37</v>
      </c>
      <c r="B18">
        <v>56611981</v>
      </c>
      <c r="C18">
        <v>56611977</v>
      </c>
      <c r="D18">
        <v>47766391</v>
      </c>
      <c r="E18">
        <v>1</v>
      </c>
      <c r="F18">
        <v>1</v>
      </c>
      <c r="G18">
        <v>27786564</v>
      </c>
      <c r="H18">
        <v>2</v>
      </c>
      <c r="I18" t="s">
        <v>441</v>
      </c>
      <c r="J18" t="s">
        <v>442</v>
      </c>
      <c r="K18" t="s">
        <v>443</v>
      </c>
      <c r="L18">
        <v>1368</v>
      </c>
      <c r="N18">
        <v>1011</v>
      </c>
      <c r="O18" t="s">
        <v>444</v>
      </c>
      <c r="P18" t="s">
        <v>444</v>
      </c>
      <c r="Q18">
        <v>1</v>
      </c>
      <c r="X18">
        <v>6.3194999999999997</v>
      </c>
      <c r="Y18">
        <v>0</v>
      </c>
      <c r="Z18">
        <v>147.49</v>
      </c>
      <c r="AA18">
        <v>14.54</v>
      </c>
      <c r="AB18">
        <v>0</v>
      </c>
      <c r="AC18">
        <v>0</v>
      </c>
      <c r="AD18">
        <v>1</v>
      </c>
      <c r="AE18">
        <v>0</v>
      </c>
      <c r="AF18" t="s">
        <v>43</v>
      </c>
      <c r="AG18">
        <v>6.2563050000000002</v>
      </c>
      <c r="AH18">
        <v>2</v>
      </c>
      <c r="AI18">
        <v>56611979</v>
      </c>
      <c r="AJ18">
        <v>20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ROW(Source!A38)</f>
        <v>38</v>
      </c>
      <c r="B19">
        <v>56611983</v>
      </c>
      <c r="C19">
        <v>56611982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438</v>
      </c>
      <c r="J19" t="s">
        <v>3</v>
      </c>
      <c r="K19" t="s">
        <v>439</v>
      </c>
      <c r="L19">
        <v>1191</v>
      </c>
      <c r="N19">
        <v>1013</v>
      </c>
      <c r="O19" t="s">
        <v>440</v>
      </c>
      <c r="P19" t="s">
        <v>440</v>
      </c>
      <c r="Q19">
        <v>1</v>
      </c>
      <c r="X19">
        <v>138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22</v>
      </c>
      <c r="AG19">
        <v>151.80000000000001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ROW(Source!A38)</f>
        <v>38</v>
      </c>
      <c r="B20">
        <v>56611984</v>
      </c>
      <c r="C20">
        <v>56611982</v>
      </c>
      <c r="D20">
        <v>30395571</v>
      </c>
      <c r="E20">
        <v>1</v>
      </c>
      <c r="F20">
        <v>1</v>
      </c>
      <c r="G20">
        <v>27786564</v>
      </c>
      <c r="H20">
        <v>3</v>
      </c>
      <c r="I20" t="s">
        <v>54</v>
      </c>
      <c r="J20" t="s">
        <v>524</v>
      </c>
      <c r="K20" t="s">
        <v>525</v>
      </c>
      <c r="L20">
        <v>1301</v>
      </c>
      <c r="N20">
        <v>1003</v>
      </c>
      <c r="O20" t="s">
        <v>56</v>
      </c>
      <c r="P20" t="s">
        <v>56</v>
      </c>
      <c r="Q20">
        <v>1</v>
      </c>
      <c r="X20">
        <v>990</v>
      </c>
      <c r="Y20">
        <v>15.01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990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ROW(Source!A38)</f>
        <v>38</v>
      </c>
      <c r="B21">
        <v>56611985</v>
      </c>
      <c r="C21">
        <v>56611982</v>
      </c>
      <c r="D21">
        <v>30395740</v>
      </c>
      <c r="E21">
        <v>1</v>
      </c>
      <c r="F21">
        <v>1</v>
      </c>
      <c r="G21">
        <v>27786564</v>
      </c>
      <c r="H21">
        <v>3</v>
      </c>
      <c r="I21" t="s">
        <v>526</v>
      </c>
      <c r="J21" t="s">
        <v>527</v>
      </c>
      <c r="K21" t="s">
        <v>528</v>
      </c>
      <c r="L21">
        <v>1358</v>
      </c>
      <c r="N21">
        <v>1010</v>
      </c>
      <c r="O21" t="s">
        <v>529</v>
      </c>
      <c r="P21" t="s">
        <v>529</v>
      </c>
      <c r="Q21">
        <v>10</v>
      </c>
      <c r="X21">
        <v>32</v>
      </c>
      <c r="Y21">
        <v>144.77000000000001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32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ROW(Source!A38)</f>
        <v>38</v>
      </c>
      <c r="B22">
        <v>56611986</v>
      </c>
      <c r="C22">
        <v>56611982</v>
      </c>
      <c r="D22">
        <v>47634908</v>
      </c>
      <c r="E22">
        <v>27786564</v>
      </c>
      <c r="F22">
        <v>1</v>
      </c>
      <c r="G22">
        <v>27786564</v>
      </c>
      <c r="H22">
        <v>3</v>
      </c>
      <c r="I22" t="s">
        <v>530</v>
      </c>
      <c r="J22" t="s">
        <v>3</v>
      </c>
      <c r="K22" t="s">
        <v>531</v>
      </c>
      <c r="L22">
        <v>1344</v>
      </c>
      <c r="N22">
        <v>1008</v>
      </c>
      <c r="O22" t="s">
        <v>450</v>
      </c>
      <c r="P22" t="s">
        <v>450</v>
      </c>
      <c r="Q22">
        <v>1</v>
      </c>
      <c r="X22">
        <v>61.6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61.6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ROW(Source!A39)</f>
        <v>39</v>
      </c>
      <c r="B23">
        <v>56611983</v>
      </c>
      <c r="C23">
        <v>56611982</v>
      </c>
      <c r="D23">
        <v>47634407</v>
      </c>
      <c r="E23">
        <v>27786564</v>
      </c>
      <c r="F23">
        <v>1</v>
      </c>
      <c r="G23">
        <v>27786564</v>
      </c>
      <c r="H23">
        <v>1</v>
      </c>
      <c r="I23" t="s">
        <v>438</v>
      </c>
      <c r="J23" t="s">
        <v>3</v>
      </c>
      <c r="K23" t="s">
        <v>439</v>
      </c>
      <c r="L23">
        <v>1191</v>
      </c>
      <c r="N23">
        <v>1013</v>
      </c>
      <c r="O23" t="s">
        <v>440</v>
      </c>
      <c r="P23" t="s">
        <v>440</v>
      </c>
      <c r="Q23">
        <v>1</v>
      </c>
      <c r="X23">
        <v>138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22</v>
      </c>
      <c r="AG23">
        <v>151.80000000000001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ROW(Source!A39)</f>
        <v>39</v>
      </c>
      <c r="B24">
        <v>56611984</v>
      </c>
      <c r="C24">
        <v>56611982</v>
      </c>
      <c r="D24">
        <v>30395571</v>
      </c>
      <c r="E24">
        <v>1</v>
      </c>
      <c r="F24">
        <v>1</v>
      </c>
      <c r="G24">
        <v>27786564</v>
      </c>
      <c r="H24">
        <v>3</v>
      </c>
      <c r="I24" t="s">
        <v>54</v>
      </c>
      <c r="J24" t="s">
        <v>524</v>
      </c>
      <c r="K24" t="s">
        <v>525</v>
      </c>
      <c r="L24">
        <v>1301</v>
      </c>
      <c r="N24">
        <v>1003</v>
      </c>
      <c r="O24" t="s">
        <v>56</v>
      </c>
      <c r="P24" t="s">
        <v>56</v>
      </c>
      <c r="Q24">
        <v>1</v>
      </c>
      <c r="X24">
        <v>990</v>
      </c>
      <c r="Y24">
        <v>15.01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990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ROW(Source!A39)</f>
        <v>39</v>
      </c>
      <c r="B25">
        <v>56611985</v>
      </c>
      <c r="C25">
        <v>56611982</v>
      </c>
      <c r="D25">
        <v>30395740</v>
      </c>
      <c r="E25">
        <v>1</v>
      </c>
      <c r="F25">
        <v>1</v>
      </c>
      <c r="G25">
        <v>27786564</v>
      </c>
      <c r="H25">
        <v>3</v>
      </c>
      <c r="I25" t="s">
        <v>526</v>
      </c>
      <c r="J25" t="s">
        <v>527</v>
      </c>
      <c r="K25" t="s">
        <v>528</v>
      </c>
      <c r="L25">
        <v>1358</v>
      </c>
      <c r="N25">
        <v>1010</v>
      </c>
      <c r="O25" t="s">
        <v>529</v>
      </c>
      <c r="P25" t="s">
        <v>529</v>
      </c>
      <c r="Q25">
        <v>10</v>
      </c>
      <c r="X25">
        <v>32</v>
      </c>
      <c r="Y25">
        <v>144.77000000000001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32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ROW(Source!A39)</f>
        <v>39</v>
      </c>
      <c r="B26">
        <v>56611986</v>
      </c>
      <c r="C26">
        <v>56611982</v>
      </c>
      <c r="D26">
        <v>47634908</v>
      </c>
      <c r="E26">
        <v>27786564</v>
      </c>
      <c r="F26">
        <v>1</v>
      </c>
      <c r="G26">
        <v>27786564</v>
      </c>
      <c r="H26">
        <v>3</v>
      </c>
      <c r="I26" t="s">
        <v>530</v>
      </c>
      <c r="J26" t="s">
        <v>3</v>
      </c>
      <c r="K26" t="s">
        <v>531</v>
      </c>
      <c r="L26">
        <v>1344</v>
      </c>
      <c r="N26">
        <v>1008</v>
      </c>
      <c r="O26" t="s">
        <v>450</v>
      </c>
      <c r="P26" t="s">
        <v>450</v>
      </c>
      <c r="Q26">
        <v>1</v>
      </c>
      <c r="X26">
        <v>61.6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</v>
      </c>
      <c r="AG26">
        <v>61.6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ROW(Source!A44)</f>
        <v>44</v>
      </c>
      <c r="B27">
        <v>56611994</v>
      </c>
      <c r="C27">
        <v>56611989</v>
      </c>
      <c r="D27">
        <v>47634407</v>
      </c>
      <c r="E27">
        <v>27786564</v>
      </c>
      <c r="F27">
        <v>1</v>
      </c>
      <c r="G27">
        <v>27786564</v>
      </c>
      <c r="H27">
        <v>1</v>
      </c>
      <c r="I27" t="s">
        <v>438</v>
      </c>
      <c r="J27" t="s">
        <v>3</v>
      </c>
      <c r="K27" t="s">
        <v>439</v>
      </c>
      <c r="L27">
        <v>1191</v>
      </c>
      <c r="N27">
        <v>1013</v>
      </c>
      <c r="O27" t="s">
        <v>440</v>
      </c>
      <c r="P27" t="s">
        <v>440</v>
      </c>
      <c r="Q27">
        <v>1</v>
      </c>
      <c r="X27">
        <v>147.85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70</v>
      </c>
      <c r="AG27">
        <v>195.16200000000001</v>
      </c>
      <c r="AH27">
        <v>2</v>
      </c>
      <c r="AI27">
        <v>56611990</v>
      </c>
      <c r="AJ27">
        <v>21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ROW(Source!A44)</f>
        <v>44</v>
      </c>
      <c r="B28">
        <v>56611995</v>
      </c>
      <c r="C28">
        <v>56611989</v>
      </c>
      <c r="D28">
        <v>47767124</v>
      </c>
      <c r="E28">
        <v>1</v>
      </c>
      <c r="F28">
        <v>1</v>
      </c>
      <c r="G28">
        <v>27786564</v>
      </c>
      <c r="H28">
        <v>2</v>
      </c>
      <c r="I28" t="s">
        <v>451</v>
      </c>
      <c r="J28" t="s">
        <v>452</v>
      </c>
      <c r="K28" t="s">
        <v>453</v>
      </c>
      <c r="L28">
        <v>1368</v>
      </c>
      <c r="N28">
        <v>1011</v>
      </c>
      <c r="O28" t="s">
        <v>444</v>
      </c>
      <c r="P28" t="s">
        <v>444</v>
      </c>
      <c r="Q28">
        <v>1</v>
      </c>
      <c r="X28">
        <v>0.73</v>
      </c>
      <c r="Y28">
        <v>0</v>
      </c>
      <c r="Z28">
        <v>15.54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70</v>
      </c>
      <c r="AG28">
        <v>0.96360000000000001</v>
      </c>
      <c r="AH28">
        <v>2</v>
      </c>
      <c r="AI28">
        <v>56611991</v>
      </c>
      <c r="AJ28">
        <v>22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ROW(Source!A44)</f>
        <v>44</v>
      </c>
      <c r="B29">
        <v>56611996</v>
      </c>
      <c r="C29">
        <v>56611989</v>
      </c>
      <c r="D29">
        <v>47767126</v>
      </c>
      <c r="E29">
        <v>1</v>
      </c>
      <c r="F29">
        <v>1</v>
      </c>
      <c r="G29">
        <v>27786564</v>
      </c>
      <c r="H29">
        <v>2</v>
      </c>
      <c r="I29" t="s">
        <v>454</v>
      </c>
      <c r="J29" t="s">
        <v>455</v>
      </c>
      <c r="K29" t="s">
        <v>456</v>
      </c>
      <c r="L29">
        <v>1368</v>
      </c>
      <c r="N29">
        <v>1011</v>
      </c>
      <c r="O29" t="s">
        <v>444</v>
      </c>
      <c r="P29" t="s">
        <v>444</v>
      </c>
      <c r="Q29">
        <v>1</v>
      </c>
      <c r="X29">
        <v>0.73</v>
      </c>
      <c r="Y29">
        <v>0</v>
      </c>
      <c r="Z29">
        <v>81.150000000000006</v>
      </c>
      <c r="AA29">
        <v>14.54</v>
      </c>
      <c r="AB29">
        <v>0</v>
      </c>
      <c r="AC29">
        <v>0</v>
      </c>
      <c r="AD29">
        <v>1</v>
      </c>
      <c r="AE29">
        <v>0</v>
      </c>
      <c r="AF29" t="s">
        <v>70</v>
      </c>
      <c r="AG29">
        <v>0.96360000000000001</v>
      </c>
      <c r="AH29">
        <v>2</v>
      </c>
      <c r="AI29">
        <v>56611992</v>
      </c>
      <c r="AJ29">
        <v>23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ROW(Source!A44)</f>
        <v>44</v>
      </c>
      <c r="B30">
        <v>56611997</v>
      </c>
      <c r="C30">
        <v>56611989</v>
      </c>
      <c r="D30">
        <v>47766454</v>
      </c>
      <c r="E30">
        <v>1</v>
      </c>
      <c r="F30">
        <v>1</v>
      </c>
      <c r="G30">
        <v>27786564</v>
      </c>
      <c r="H30">
        <v>2</v>
      </c>
      <c r="I30" t="s">
        <v>457</v>
      </c>
      <c r="J30" t="s">
        <v>458</v>
      </c>
      <c r="K30" t="s">
        <v>459</v>
      </c>
      <c r="L30">
        <v>1368</v>
      </c>
      <c r="N30">
        <v>1011</v>
      </c>
      <c r="O30" t="s">
        <v>444</v>
      </c>
      <c r="P30" t="s">
        <v>444</v>
      </c>
      <c r="Q30">
        <v>1</v>
      </c>
      <c r="X30">
        <v>1.05</v>
      </c>
      <c r="Y30">
        <v>0</v>
      </c>
      <c r="Z30">
        <v>179.17</v>
      </c>
      <c r="AA30">
        <v>16.93</v>
      </c>
      <c r="AB30">
        <v>0</v>
      </c>
      <c r="AC30">
        <v>0</v>
      </c>
      <c r="AD30">
        <v>1</v>
      </c>
      <c r="AE30">
        <v>0</v>
      </c>
      <c r="AF30" t="s">
        <v>70</v>
      </c>
      <c r="AG30">
        <v>1.3860000000000003</v>
      </c>
      <c r="AH30">
        <v>2</v>
      </c>
      <c r="AI30">
        <v>56611993</v>
      </c>
      <c r="AJ30">
        <v>24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ROW(Source!A44)</f>
        <v>44</v>
      </c>
      <c r="B31">
        <v>56611998</v>
      </c>
      <c r="C31">
        <v>56611989</v>
      </c>
      <c r="D31">
        <v>30365725</v>
      </c>
      <c r="E31">
        <v>27786564</v>
      </c>
      <c r="F31">
        <v>1</v>
      </c>
      <c r="G31">
        <v>27786564</v>
      </c>
      <c r="H31">
        <v>3</v>
      </c>
      <c r="I31" t="s">
        <v>532</v>
      </c>
      <c r="J31" t="s">
        <v>3</v>
      </c>
      <c r="K31" t="s">
        <v>533</v>
      </c>
      <c r="L31">
        <v>1301</v>
      </c>
      <c r="N31">
        <v>1003</v>
      </c>
      <c r="O31" t="s">
        <v>56</v>
      </c>
      <c r="P31" t="s">
        <v>56</v>
      </c>
      <c r="Q31">
        <v>1</v>
      </c>
      <c r="X31">
        <v>1025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42</v>
      </c>
      <c r="AG31">
        <v>1025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ROW(Source!A45)</f>
        <v>45</v>
      </c>
      <c r="B32">
        <v>56611994</v>
      </c>
      <c r="C32">
        <v>56611989</v>
      </c>
      <c r="D32">
        <v>47634407</v>
      </c>
      <c r="E32">
        <v>27786564</v>
      </c>
      <c r="F32">
        <v>1</v>
      </c>
      <c r="G32">
        <v>27786564</v>
      </c>
      <c r="H32">
        <v>1</v>
      </c>
      <c r="I32" t="s">
        <v>438</v>
      </c>
      <c r="J32" t="s">
        <v>3</v>
      </c>
      <c r="K32" t="s">
        <v>439</v>
      </c>
      <c r="L32">
        <v>1191</v>
      </c>
      <c r="N32">
        <v>1013</v>
      </c>
      <c r="O32" t="s">
        <v>440</v>
      </c>
      <c r="P32" t="s">
        <v>440</v>
      </c>
      <c r="Q32">
        <v>1</v>
      </c>
      <c r="X32">
        <v>147.85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70</v>
      </c>
      <c r="AG32">
        <v>195.16200000000001</v>
      </c>
      <c r="AH32">
        <v>2</v>
      </c>
      <c r="AI32">
        <v>56611990</v>
      </c>
      <c r="AJ32">
        <v>25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ROW(Source!A45)</f>
        <v>45</v>
      </c>
      <c r="B33">
        <v>56611995</v>
      </c>
      <c r="C33">
        <v>56611989</v>
      </c>
      <c r="D33">
        <v>47767124</v>
      </c>
      <c r="E33">
        <v>1</v>
      </c>
      <c r="F33">
        <v>1</v>
      </c>
      <c r="G33">
        <v>27786564</v>
      </c>
      <c r="H33">
        <v>2</v>
      </c>
      <c r="I33" t="s">
        <v>451</v>
      </c>
      <c r="J33" t="s">
        <v>452</v>
      </c>
      <c r="K33" t="s">
        <v>453</v>
      </c>
      <c r="L33">
        <v>1368</v>
      </c>
      <c r="N33">
        <v>1011</v>
      </c>
      <c r="O33" t="s">
        <v>444</v>
      </c>
      <c r="P33" t="s">
        <v>444</v>
      </c>
      <c r="Q33">
        <v>1</v>
      </c>
      <c r="X33">
        <v>0.73</v>
      </c>
      <c r="Y33">
        <v>0</v>
      </c>
      <c r="Z33">
        <v>15.54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70</v>
      </c>
      <c r="AG33">
        <v>0.96360000000000001</v>
      </c>
      <c r="AH33">
        <v>2</v>
      </c>
      <c r="AI33">
        <v>56611991</v>
      </c>
      <c r="AJ33">
        <v>26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ROW(Source!A45)</f>
        <v>45</v>
      </c>
      <c r="B34">
        <v>56611996</v>
      </c>
      <c r="C34">
        <v>56611989</v>
      </c>
      <c r="D34">
        <v>47767126</v>
      </c>
      <c r="E34">
        <v>1</v>
      </c>
      <c r="F34">
        <v>1</v>
      </c>
      <c r="G34">
        <v>27786564</v>
      </c>
      <c r="H34">
        <v>2</v>
      </c>
      <c r="I34" t="s">
        <v>454</v>
      </c>
      <c r="J34" t="s">
        <v>455</v>
      </c>
      <c r="K34" t="s">
        <v>456</v>
      </c>
      <c r="L34">
        <v>1368</v>
      </c>
      <c r="N34">
        <v>1011</v>
      </c>
      <c r="O34" t="s">
        <v>444</v>
      </c>
      <c r="P34" t="s">
        <v>444</v>
      </c>
      <c r="Q34">
        <v>1</v>
      </c>
      <c r="X34">
        <v>0.73</v>
      </c>
      <c r="Y34">
        <v>0</v>
      </c>
      <c r="Z34">
        <v>81.150000000000006</v>
      </c>
      <c r="AA34">
        <v>14.54</v>
      </c>
      <c r="AB34">
        <v>0</v>
      </c>
      <c r="AC34">
        <v>0</v>
      </c>
      <c r="AD34">
        <v>1</v>
      </c>
      <c r="AE34">
        <v>0</v>
      </c>
      <c r="AF34" t="s">
        <v>70</v>
      </c>
      <c r="AG34">
        <v>0.96360000000000001</v>
      </c>
      <c r="AH34">
        <v>2</v>
      </c>
      <c r="AI34">
        <v>56611992</v>
      </c>
      <c r="AJ34">
        <v>27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ROW(Source!A45)</f>
        <v>45</v>
      </c>
      <c r="B35">
        <v>56611997</v>
      </c>
      <c r="C35">
        <v>56611989</v>
      </c>
      <c r="D35">
        <v>47766454</v>
      </c>
      <c r="E35">
        <v>1</v>
      </c>
      <c r="F35">
        <v>1</v>
      </c>
      <c r="G35">
        <v>27786564</v>
      </c>
      <c r="H35">
        <v>2</v>
      </c>
      <c r="I35" t="s">
        <v>457</v>
      </c>
      <c r="J35" t="s">
        <v>458</v>
      </c>
      <c r="K35" t="s">
        <v>459</v>
      </c>
      <c r="L35">
        <v>1368</v>
      </c>
      <c r="N35">
        <v>1011</v>
      </c>
      <c r="O35" t="s">
        <v>444</v>
      </c>
      <c r="P35" t="s">
        <v>444</v>
      </c>
      <c r="Q35">
        <v>1</v>
      </c>
      <c r="X35">
        <v>1.05</v>
      </c>
      <c r="Y35">
        <v>0</v>
      </c>
      <c r="Z35">
        <v>179.17</v>
      </c>
      <c r="AA35">
        <v>16.93</v>
      </c>
      <c r="AB35">
        <v>0</v>
      </c>
      <c r="AC35">
        <v>0</v>
      </c>
      <c r="AD35">
        <v>1</v>
      </c>
      <c r="AE35">
        <v>0</v>
      </c>
      <c r="AF35" t="s">
        <v>70</v>
      </c>
      <c r="AG35">
        <v>1.3860000000000003</v>
      </c>
      <c r="AH35">
        <v>2</v>
      </c>
      <c r="AI35">
        <v>56611993</v>
      </c>
      <c r="AJ35">
        <v>28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ROW(Source!A45)</f>
        <v>45</v>
      </c>
      <c r="B36">
        <v>56611998</v>
      </c>
      <c r="C36">
        <v>56611989</v>
      </c>
      <c r="D36">
        <v>30365725</v>
      </c>
      <c r="E36">
        <v>27786564</v>
      </c>
      <c r="F36">
        <v>1</v>
      </c>
      <c r="G36">
        <v>27786564</v>
      </c>
      <c r="H36">
        <v>3</v>
      </c>
      <c r="I36" t="s">
        <v>532</v>
      </c>
      <c r="J36" t="s">
        <v>3</v>
      </c>
      <c r="K36" t="s">
        <v>533</v>
      </c>
      <c r="L36">
        <v>1301</v>
      </c>
      <c r="N36">
        <v>1003</v>
      </c>
      <c r="O36" t="s">
        <v>56</v>
      </c>
      <c r="P36" t="s">
        <v>56</v>
      </c>
      <c r="Q36">
        <v>1</v>
      </c>
      <c r="X36">
        <v>1025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42</v>
      </c>
      <c r="AG36">
        <v>1025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ROW(Source!A46)</f>
        <v>46</v>
      </c>
      <c r="B37">
        <v>56612004</v>
      </c>
      <c r="C37">
        <v>56611999</v>
      </c>
      <c r="D37">
        <v>47634407</v>
      </c>
      <c r="E37">
        <v>27786564</v>
      </c>
      <c r="F37">
        <v>1</v>
      </c>
      <c r="G37">
        <v>27786564</v>
      </c>
      <c r="H37">
        <v>1</v>
      </c>
      <c r="I37" t="s">
        <v>438</v>
      </c>
      <c r="J37" t="s">
        <v>3</v>
      </c>
      <c r="K37" t="s">
        <v>439</v>
      </c>
      <c r="L37">
        <v>1191</v>
      </c>
      <c r="N37">
        <v>1013</v>
      </c>
      <c r="O37" t="s">
        <v>440</v>
      </c>
      <c r="P37" t="s">
        <v>440</v>
      </c>
      <c r="Q37">
        <v>1</v>
      </c>
      <c r="X37">
        <v>147.85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22</v>
      </c>
      <c r="AG37">
        <v>162.63500000000002</v>
      </c>
      <c r="AH37">
        <v>2</v>
      </c>
      <c r="AI37">
        <v>56612000</v>
      </c>
      <c r="AJ37">
        <v>29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ROW(Source!A46)</f>
        <v>46</v>
      </c>
      <c r="B38">
        <v>56612005</v>
      </c>
      <c r="C38">
        <v>56611999</v>
      </c>
      <c r="D38">
        <v>47767124</v>
      </c>
      <c r="E38">
        <v>1</v>
      </c>
      <c r="F38">
        <v>1</v>
      </c>
      <c r="G38">
        <v>27786564</v>
      </c>
      <c r="H38">
        <v>2</v>
      </c>
      <c r="I38" t="s">
        <v>451</v>
      </c>
      <c r="J38" t="s">
        <v>452</v>
      </c>
      <c r="K38" t="s">
        <v>453</v>
      </c>
      <c r="L38">
        <v>1368</v>
      </c>
      <c r="N38">
        <v>1011</v>
      </c>
      <c r="O38" t="s">
        <v>444</v>
      </c>
      <c r="P38" t="s">
        <v>444</v>
      </c>
      <c r="Q38">
        <v>1</v>
      </c>
      <c r="X38">
        <v>0.73</v>
      </c>
      <c r="Y38">
        <v>0</v>
      </c>
      <c r="Z38">
        <v>15.54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22</v>
      </c>
      <c r="AG38">
        <v>0.80300000000000005</v>
      </c>
      <c r="AH38">
        <v>2</v>
      </c>
      <c r="AI38">
        <v>56612001</v>
      </c>
      <c r="AJ38">
        <v>30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ROW(Source!A46)</f>
        <v>46</v>
      </c>
      <c r="B39">
        <v>56612006</v>
      </c>
      <c r="C39">
        <v>56611999</v>
      </c>
      <c r="D39">
        <v>47767126</v>
      </c>
      <c r="E39">
        <v>1</v>
      </c>
      <c r="F39">
        <v>1</v>
      </c>
      <c r="G39">
        <v>27786564</v>
      </c>
      <c r="H39">
        <v>2</v>
      </c>
      <c r="I39" t="s">
        <v>454</v>
      </c>
      <c r="J39" t="s">
        <v>455</v>
      </c>
      <c r="K39" t="s">
        <v>456</v>
      </c>
      <c r="L39">
        <v>1368</v>
      </c>
      <c r="N39">
        <v>1011</v>
      </c>
      <c r="O39" t="s">
        <v>444</v>
      </c>
      <c r="P39" t="s">
        <v>444</v>
      </c>
      <c r="Q39">
        <v>1</v>
      </c>
      <c r="X39">
        <v>0.73</v>
      </c>
      <c r="Y39">
        <v>0</v>
      </c>
      <c r="Z39">
        <v>81.150000000000006</v>
      </c>
      <c r="AA39">
        <v>14.54</v>
      </c>
      <c r="AB39">
        <v>0</v>
      </c>
      <c r="AC39">
        <v>0</v>
      </c>
      <c r="AD39">
        <v>1</v>
      </c>
      <c r="AE39">
        <v>0</v>
      </c>
      <c r="AF39" t="s">
        <v>22</v>
      </c>
      <c r="AG39">
        <v>0.80300000000000005</v>
      </c>
      <c r="AH39">
        <v>2</v>
      </c>
      <c r="AI39">
        <v>56612002</v>
      </c>
      <c r="AJ39">
        <v>31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ROW(Source!A46)</f>
        <v>46</v>
      </c>
      <c r="B40">
        <v>56612007</v>
      </c>
      <c r="C40">
        <v>56611999</v>
      </c>
      <c r="D40">
        <v>47766454</v>
      </c>
      <c r="E40">
        <v>1</v>
      </c>
      <c r="F40">
        <v>1</v>
      </c>
      <c r="G40">
        <v>27786564</v>
      </c>
      <c r="H40">
        <v>2</v>
      </c>
      <c r="I40" t="s">
        <v>457</v>
      </c>
      <c r="J40" t="s">
        <v>458</v>
      </c>
      <c r="K40" t="s">
        <v>459</v>
      </c>
      <c r="L40">
        <v>1368</v>
      </c>
      <c r="N40">
        <v>1011</v>
      </c>
      <c r="O40" t="s">
        <v>444</v>
      </c>
      <c r="P40" t="s">
        <v>444</v>
      </c>
      <c r="Q40">
        <v>1</v>
      </c>
      <c r="X40">
        <v>1.05</v>
      </c>
      <c r="Y40">
        <v>0</v>
      </c>
      <c r="Z40">
        <v>179.17</v>
      </c>
      <c r="AA40">
        <v>16.93</v>
      </c>
      <c r="AB40">
        <v>0</v>
      </c>
      <c r="AC40">
        <v>0</v>
      </c>
      <c r="AD40">
        <v>1</v>
      </c>
      <c r="AE40">
        <v>0</v>
      </c>
      <c r="AF40" t="s">
        <v>22</v>
      </c>
      <c r="AG40">
        <v>1.1550000000000002</v>
      </c>
      <c r="AH40">
        <v>2</v>
      </c>
      <c r="AI40">
        <v>56612003</v>
      </c>
      <c r="AJ40">
        <v>32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ROW(Source!A46)</f>
        <v>46</v>
      </c>
      <c r="B41">
        <v>56612008</v>
      </c>
      <c r="C41">
        <v>56611999</v>
      </c>
      <c r="D41">
        <v>30365725</v>
      </c>
      <c r="E41">
        <v>27786564</v>
      </c>
      <c r="F41">
        <v>1</v>
      </c>
      <c r="G41">
        <v>27786564</v>
      </c>
      <c r="H41">
        <v>3</v>
      </c>
      <c r="I41" t="s">
        <v>532</v>
      </c>
      <c r="J41" t="s">
        <v>3</v>
      </c>
      <c r="K41" t="s">
        <v>533</v>
      </c>
      <c r="L41">
        <v>1301</v>
      </c>
      <c r="N41">
        <v>1003</v>
      </c>
      <c r="O41" t="s">
        <v>56</v>
      </c>
      <c r="P41" t="s">
        <v>56</v>
      </c>
      <c r="Q41">
        <v>1</v>
      </c>
      <c r="X41">
        <v>1025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</v>
      </c>
      <c r="AG41">
        <v>1025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ROW(Source!A47)</f>
        <v>47</v>
      </c>
      <c r="B42">
        <v>56612004</v>
      </c>
      <c r="C42">
        <v>56611999</v>
      </c>
      <c r="D42">
        <v>47634407</v>
      </c>
      <c r="E42">
        <v>27786564</v>
      </c>
      <c r="F42">
        <v>1</v>
      </c>
      <c r="G42">
        <v>27786564</v>
      </c>
      <c r="H42">
        <v>1</v>
      </c>
      <c r="I42" t="s">
        <v>438</v>
      </c>
      <c r="J42" t="s">
        <v>3</v>
      </c>
      <c r="K42" t="s">
        <v>439</v>
      </c>
      <c r="L42">
        <v>1191</v>
      </c>
      <c r="N42">
        <v>1013</v>
      </c>
      <c r="O42" t="s">
        <v>440</v>
      </c>
      <c r="P42" t="s">
        <v>440</v>
      </c>
      <c r="Q42">
        <v>1</v>
      </c>
      <c r="X42">
        <v>147.85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22</v>
      </c>
      <c r="AG42">
        <v>162.63500000000002</v>
      </c>
      <c r="AH42">
        <v>2</v>
      </c>
      <c r="AI42">
        <v>56612000</v>
      </c>
      <c r="AJ42">
        <v>33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ROW(Source!A47)</f>
        <v>47</v>
      </c>
      <c r="B43">
        <v>56612005</v>
      </c>
      <c r="C43">
        <v>56611999</v>
      </c>
      <c r="D43">
        <v>47767124</v>
      </c>
      <c r="E43">
        <v>1</v>
      </c>
      <c r="F43">
        <v>1</v>
      </c>
      <c r="G43">
        <v>27786564</v>
      </c>
      <c r="H43">
        <v>2</v>
      </c>
      <c r="I43" t="s">
        <v>451</v>
      </c>
      <c r="J43" t="s">
        <v>452</v>
      </c>
      <c r="K43" t="s">
        <v>453</v>
      </c>
      <c r="L43">
        <v>1368</v>
      </c>
      <c r="N43">
        <v>1011</v>
      </c>
      <c r="O43" t="s">
        <v>444</v>
      </c>
      <c r="P43" t="s">
        <v>444</v>
      </c>
      <c r="Q43">
        <v>1</v>
      </c>
      <c r="X43">
        <v>0.73</v>
      </c>
      <c r="Y43">
        <v>0</v>
      </c>
      <c r="Z43">
        <v>15.54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22</v>
      </c>
      <c r="AG43">
        <v>0.80300000000000005</v>
      </c>
      <c r="AH43">
        <v>2</v>
      </c>
      <c r="AI43">
        <v>56612001</v>
      </c>
      <c r="AJ43">
        <v>34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ROW(Source!A47)</f>
        <v>47</v>
      </c>
      <c r="B44">
        <v>56612006</v>
      </c>
      <c r="C44">
        <v>56611999</v>
      </c>
      <c r="D44">
        <v>47767126</v>
      </c>
      <c r="E44">
        <v>1</v>
      </c>
      <c r="F44">
        <v>1</v>
      </c>
      <c r="G44">
        <v>27786564</v>
      </c>
      <c r="H44">
        <v>2</v>
      </c>
      <c r="I44" t="s">
        <v>454</v>
      </c>
      <c r="J44" t="s">
        <v>455</v>
      </c>
      <c r="K44" t="s">
        <v>456</v>
      </c>
      <c r="L44">
        <v>1368</v>
      </c>
      <c r="N44">
        <v>1011</v>
      </c>
      <c r="O44" t="s">
        <v>444</v>
      </c>
      <c r="P44" t="s">
        <v>444</v>
      </c>
      <c r="Q44">
        <v>1</v>
      </c>
      <c r="X44">
        <v>0.73</v>
      </c>
      <c r="Y44">
        <v>0</v>
      </c>
      <c r="Z44">
        <v>81.150000000000006</v>
      </c>
      <c r="AA44">
        <v>14.54</v>
      </c>
      <c r="AB44">
        <v>0</v>
      </c>
      <c r="AC44">
        <v>0</v>
      </c>
      <c r="AD44">
        <v>1</v>
      </c>
      <c r="AE44">
        <v>0</v>
      </c>
      <c r="AF44" t="s">
        <v>22</v>
      </c>
      <c r="AG44">
        <v>0.80300000000000005</v>
      </c>
      <c r="AH44">
        <v>2</v>
      </c>
      <c r="AI44">
        <v>56612002</v>
      </c>
      <c r="AJ44">
        <v>35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ROW(Source!A47)</f>
        <v>47</v>
      </c>
      <c r="B45">
        <v>56612007</v>
      </c>
      <c r="C45">
        <v>56611999</v>
      </c>
      <c r="D45">
        <v>47766454</v>
      </c>
      <c r="E45">
        <v>1</v>
      </c>
      <c r="F45">
        <v>1</v>
      </c>
      <c r="G45">
        <v>27786564</v>
      </c>
      <c r="H45">
        <v>2</v>
      </c>
      <c r="I45" t="s">
        <v>457</v>
      </c>
      <c r="J45" t="s">
        <v>458</v>
      </c>
      <c r="K45" t="s">
        <v>459</v>
      </c>
      <c r="L45">
        <v>1368</v>
      </c>
      <c r="N45">
        <v>1011</v>
      </c>
      <c r="O45" t="s">
        <v>444</v>
      </c>
      <c r="P45" t="s">
        <v>444</v>
      </c>
      <c r="Q45">
        <v>1</v>
      </c>
      <c r="X45">
        <v>1.05</v>
      </c>
      <c r="Y45">
        <v>0</v>
      </c>
      <c r="Z45">
        <v>179.17</v>
      </c>
      <c r="AA45">
        <v>16.93</v>
      </c>
      <c r="AB45">
        <v>0</v>
      </c>
      <c r="AC45">
        <v>0</v>
      </c>
      <c r="AD45">
        <v>1</v>
      </c>
      <c r="AE45">
        <v>0</v>
      </c>
      <c r="AF45" t="s">
        <v>22</v>
      </c>
      <c r="AG45">
        <v>1.1550000000000002</v>
      </c>
      <c r="AH45">
        <v>2</v>
      </c>
      <c r="AI45">
        <v>56612003</v>
      </c>
      <c r="AJ45">
        <v>36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ROW(Source!A47)</f>
        <v>47</v>
      </c>
      <c r="B46">
        <v>56612008</v>
      </c>
      <c r="C46">
        <v>56611999</v>
      </c>
      <c r="D46">
        <v>30365725</v>
      </c>
      <c r="E46">
        <v>27786564</v>
      </c>
      <c r="F46">
        <v>1</v>
      </c>
      <c r="G46">
        <v>27786564</v>
      </c>
      <c r="H46">
        <v>3</v>
      </c>
      <c r="I46" t="s">
        <v>532</v>
      </c>
      <c r="J46" t="s">
        <v>3</v>
      </c>
      <c r="K46" t="s">
        <v>533</v>
      </c>
      <c r="L46">
        <v>1301</v>
      </c>
      <c r="N46">
        <v>1003</v>
      </c>
      <c r="O46" t="s">
        <v>56</v>
      </c>
      <c r="P46" t="s">
        <v>56</v>
      </c>
      <c r="Q46">
        <v>1</v>
      </c>
      <c r="X46">
        <v>1025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</v>
      </c>
      <c r="AG46">
        <v>1025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ROW(Source!A48)</f>
        <v>48</v>
      </c>
      <c r="B47">
        <v>56612015</v>
      </c>
      <c r="C47">
        <v>56612009</v>
      </c>
      <c r="D47">
        <v>47634407</v>
      </c>
      <c r="E47">
        <v>27786564</v>
      </c>
      <c r="F47">
        <v>1</v>
      </c>
      <c r="G47">
        <v>27786564</v>
      </c>
      <c r="H47">
        <v>1</v>
      </c>
      <c r="I47" t="s">
        <v>438</v>
      </c>
      <c r="J47" t="s">
        <v>3</v>
      </c>
      <c r="K47" t="s">
        <v>439</v>
      </c>
      <c r="L47">
        <v>1191</v>
      </c>
      <c r="N47">
        <v>1013</v>
      </c>
      <c r="O47" t="s">
        <v>440</v>
      </c>
      <c r="P47" t="s">
        <v>440</v>
      </c>
      <c r="Q47">
        <v>1</v>
      </c>
      <c r="X47">
        <v>107.8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70</v>
      </c>
      <c r="AG47">
        <v>142.29600000000002</v>
      </c>
      <c r="AH47">
        <v>2</v>
      </c>
      <c r="AI47">
        <v>56612010</v>
      </c>
      <c r="AJ47">
        <v>37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ROW(Source!A48)</f>
        <v>48</v>
      </c>
      <c r="B48">
        <v>56612016</v>
      </c>
      <c r="C48">
        <v>56612009</v>
      </c>
      <c r="D48">
        <v>47767124</v>
      </c>
      <c r="E48">
        <v>1</v>
      </c>
      <c r="F48">
        <v>1</v>
      </c>
      <c r="G48">
        <v>27786564</v>
      </c>
      <c r="H48">
        <v>2</v>
      </c>
      <c r="I48" t="s">
        <v>451</v>
      </c>
      <c r="J48" t="s">
        <v>452</v>
      </c>
      <c r="K48" t="s">
        <v>453</v>
      </c>
      <c r="L48">
        <v>1368</v>
      </c>
      <c r="N48">
        <v>1011</v>
      </c>
      <c r="O48" t="s">
        <v>444</v>
      </c>
      <c r="P48" t="s">
        <v>444</v>
      </c>
      <c r="Q48">
        <v>1</v>
      </c>
      <c r="X48">
        <v>0.72</v>
      </c>
      <c r="Y48">
        <v>0</v>
      </c>
      <c r="Z48">
        <v>15.54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70</v>
      </c>
      <c r="AG48">
        <v>0.95040000000000002</v>
      </c>
      <c r="AH48">
        <v>2</v>
      </c>
      <c r="AI48">
        <v>56612011</v>
      </c>
      <c r="AJ48">
        <v>38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ROW(Source!A48)</f>
        <v>48</v>
      </c>
      <c r="B49">
        <v>56612017</v>
      </c>
      <c r="C49">
        <v>56612009</v>
      </c>
      <c r="D49">
        <v>47767126</v>
      </c>
      <c r="E49">
        <v>1</v>
      </c>
      <c r="F49">
        <v>1</v>
      </c>
      <c r="G49">
        <v>27786564</v>
      </c>
      <c r="H49">
        <v>2</v>
      </c>
      <c r="I49" t="s">
        <v>454</v>
      </c>
      <c r="J49" t="s">
        <v>455</v>
      </c>
      <c r="K49" t="s">
        <v>456</v>
      </c>
      <c r="L49">
        <v>1368</v>
      </c>
      <c r="N49">
        <v>1011</v>
      </c>
      <c r="O49" t="s">
        <v>444</v>
      </c>
      <c r="P49" t="s">
        <v>444</v>
      </c>
      <c r="Q49">
        <v>1</v>
      </c>
      <c r="X49">
        <v>0.72</v>
      </c>
      <c r="Y49">
        <v>0</v>
      </c>
      <c r="Z49">
        <v>81.150000000000006</v>
      </c>
      <c r="AA49">
        <v>14.54</v>
      </c>
      <c r="AB49">
        <v>0</v>
      </c>
      <c r="AC49">
        <v>0</v>
      </c>
      <c r="AD49">
        <v>1</v>
      </c>
      <c r="AE49">
        <v>0</v>
      </c>
      <c r="AF49" t="s">
        <v>70</v>
      </c>
      <c r="AG49">
        <v>0.95040000000000002</v>
      </c>
      <c r="AH49">
        <v>2</v>
      </c>
      <c r="AI49">
        <v>56612012</v>
      </c>
      <c r="AJ49">
        <v>39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ROW(Source!A48)</f>
        <v>48</v>
      </c>
      <c r="B50">
        <v>56612018</v>
      </c>
      <c r="C50">
        <v>56612009</v>
      </c>
      <c r="D50">
        <v>47766454</v>
      </c>
      <c r="E50">
        <v>1</v>
      </c>
      <c r="F50">
        <v>1</v>
      </c>
      <c r="G50">
        <v>27786564</v>
      </c>
      <c r="H50">
        <v>2</v>
      </c>
      <c r="I50" t="s">
        <v>457</v>
      </c>
      <c r="J50" t="s">
        <v>458</v>
      </c>
      <c r="K50" t="s">
        <v>459</v>
      </c>
      <c r="L50">
        <v>1368</v>
      </c>
      <c r="N50">
        <v>1011</v>
      </c>
      <c r="O50" t="s">
        <v>444</v>
      </c>
      <c r="P50" t="s">
        <v>444</v>
      </c>
      <c r="Q50">
        <v>1</v>
      </c>
      <c r="X50">
        <v>1.04</v>
      </c>
      <c r="Y50">
        <v>0</v>
      </c>
      <c r="Z50">
        <v>179.17</v>
      </c>
      <c r="AA50">
        <v>16.93</v>
      </c>
      <c r="AB50">
        <v>0</v>
      </c>
      <c r="AC50">
        <v>0</v>
      </c>
      <c r="AD50">
        <v>1</v>
      </c>
      <c r="AE50">
        <v>0</v>
      </c>
      <c r="AF50" t="s">
        <v>70</v>
      </c>
      <c r="AG50">
        <v>1.3728</v>
      </c>
      <c r="AH50">
        <v>2</v>
      </c>
      <c r="AI50">
        <v>56612013</v>
      </c>
      <c r="AJ50">
        <v>40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ROW(Source!A48)</f>
        <v>48</v>
      </c>
      <c r="B51">
        <v>56612019</v>
      </c>
      <c r="C51">
        <v>56612009</v>
      </c>
      <c r="D51">
        <v>47634960</v>
      </c>
      <c r="E51">
        <v>27786564</v>
      </c>
      <c r="F51">
        <v>1</v>
      </c>
      <c r="G51">
        <v>27786564</v>
      </c>
      <c r="H51">
        <v>2</v>
      </c>
      <c r="I51" t="s">
        <v>448</v>
      </c>
      <c r="J51" t="s">
        <v>3</v>
      </c>
      <c r="K51" t="s">
        <v>449</v>
      </c>
      <c r="L51">
        <v>1344</v>
      </c>
      <c r="N51">
        <v>1008</v>
      </c>
      <c r="O51" t="s">
        <v>450</v>
      </c>
      <c r="P51" t="s">
        <v>450</v>
      </c>
      <c r="Q51">
        <v>1</v>
      </c>
      <c r="X51">
        <v>0.02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70</v>
      </c>
      <c r="AG51">
        <v>2.6400000000000003E-2</v>
      </c>
      <c r="AH51">
        <v>2</v>
      </c>
      <c r="AI51">
        <v>56612014</v>
      </c>
      <c r="AJ51">
        <v>41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ROW(Source!A48)</f>
        <v>48</v>
      </c>
      <c r="B52">
        <v>56612020</v>
      </c>
      <c r="C52">
        <v>56612009</v>
      </c>
      <c r="D52">
        <v>30365725</v>
      </c>
      <c r="E52">
        <v>27786564</v>
      </c>
      <c r="F52">
        <v>1</v>
      </c>
      <c r="G52">
        <v>27786564</v>
      </c>
      <c r="H52">
        <v>3</v>
      </c>
      <c r="I52" t="s">
        <v>532</v>
      </c>
      <c r="J52" t="s">
        <v>3</v>
      </c>
      <c r="K52" t="s">
        <v>533</v>
      </c>
      <c r="L52">
        <v>1301</v>
      </c>
      <c r="N52">
        <v>1003</v>
      </c>
      <c r="O52" t="s">
        <v>56</v>
      </c>
      <c r="P52" t="s">
        <v>56</v>
      </c>
      <c r="Q52">
        <v>1</v>
      </c>
      <c r="X52">
        <v>1025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42</v>
      </c>
      <c r="AG52">
        <v>1025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ROW(Source!A49)</f>
        <v>49</v>
      </c>
      <c r="B53">
        <v>56612015</v>
      </c>
      <c r="C53">
        <v>56612009</v>
      </c>
      <c r="D53">
        <v>47634407</v>
      </c>
      <c r="E53">
        <v>27786564</v>
      </c>
      <c r="F53">
        <v>1</v>
      </c>
      <c r="G53">
        <v>27786564</v>
      </c>
      <c r="H53">
        <v>1</v>
      </c>
      <c r="I53" t="s">
        <v>438</v>
      </c>
      <c r="J53" t="s">
        <v>3</v>
      </c>
      <c r="K53" t="s">
        <v>439</v>
      </c>
      <c r="L53">
        <v>1191</v>
      </c>
      <c r="N53">
        <v>1013</v>
      </c>
      <c r="O53" t="s">
        <v>440</v>
      </c>
      <c r="P53" t="s">
        <v>440</v>
      </c>
      <c r="Q53">
        <v>1</v>
      </c>
      <c r="X53">
        <v>107.8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70</v>
      </c>
      <c r="AG53">
        <v>142.29600000000002</v>
      </c>
      <c r="AH53">
        <v>2</v>
      </c>
      <c r="AI53">
        <v>56612010</v>
      </c>
      <c r="AJ53">
        <v>42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ROW(Source!A49)</f>
        <v>49</v>
      </c>
      <c r="B54">
        <v>56612016</v>
      </c>
      <c r="C54">
        <v>56612009</v>
      </c>
      <c r="D54">
        <v>47767124</v>
      </c>
      <c r="E54">
        <v>1</v>
      </c>
      <c r="F54">
        <v>1</v>
      </c>
      <c r="G54">
        <v>27786564</v>
      </c>
      <c r="H54">
        <v>2</v>
      </c>
      <c r="I54" t="s">
        <v>451</v>
      </c>
      <c r="J54" t="s">
        <v>452</v>
      </c>
      <c r="K54" t="s">
        <v>453</v>
      </c>
      <c r="L54">
        <v>1368</v>
      </c>
      <c r="N54">
        <v>1011</v>
      </c>
      <c r="O54" t="s">
        <v>444</v>
      </c>
      <c r="P54" t="s">
        <v>444</v>
      </c>
      <c r="Q54">
        <v>1</v>
      </c>
      <c r="X54">
        <v>0.72</v>
      </c>
      <c r="Y54">
        <v>0</v>
      </c>
      <c r="Z54">
        <v>15.54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70</v>
      </c>
      <c r="AG54">
        <v>0.95040000000000002</v>
      </c>
      <c r="AH54">
        <v>2</v>
      </c>
      <c r="AI54">
        <v>56612011</v>
      </c>
      <c r="AJ54">
        <v>43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ROW(Source!A49)</f>
        <v>49</v>
      </c>
      <c r="B55">
        <v>56612017</v>
      </c>
      <c r="C55">
        <v>56612009</v>
      </c>
      <c r="D55">
        <v>47767126</v>
      </c>
      <c r="E55">
        <v>1</v>
      </c>
      <c r="F55">
        <v>1</v>
      </c>
      <c r="G55">
        <v>27786564</v>
      </c>
      <c r="H55">
        <v>2</v>
      </c>
      <c r="I55" t="s">
        <v>454</v>
      </c>
      <c r="J55" t="s">
        <v>455</v>
      </c>
      <c r="K55" t="s">
        <v>456</v>
      </c>
      <c r="L55">
        <v>1368</v>
      </c>
      <c r="N55">
        <v>1011</v>
      </c>
      <c r="O55" t="s">
        <v>444</v>
      </c>
      <c r="P55" t="s">
        <v>444</v>
      </c>
      <c r="Q55">
        <v>1</v>
      </c>
      <c r="X55">
        <v>0.72</v>
      </c>
      <c r="Y55">
        <v>0</v>
      </c>
      <c r="Z55">
        <v>81.150000000000006</v>
      </c>
      <c r="AA55">
        <v>14.54</v>
      </c>
      <c r="AB55">
        <v>0</v>
      </c>
      <c r="AC55">
        <v>0</v>
      </c>
      <c r="AD55">
        <v>1</v>
      </c>
      <c r="AE55">
        <v>0</v>
      </c>
      <c r="AF55" t="s">
        <v>70</v>
      </c>
      <c r="AG55">
        <v>0.95040000000000002</v>
      </c>
      <c r="AH55">
        <v>2</v>
      </c>
      <c r="AI55">
        <v>56612012</v>
      </c>
      <c r="AJ55">
        <v>44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ROW(Source!A49)</f>
        <v>49</v>
      </c>
      <c r="B56">
        <v>56612018</v>
      </c>
      <c r="C56">
        <v>56612009</v>
      </c>
      <c r="D56">
        <v>47766454</v>
      </c>
      <c r="E56">
        <v>1</v>
      </c>
      <c r="F56">
        <v>1</v>
      </c>
      <c r="G56">
        <v>27786564</v>
      </c>
      <c r="H56">
        <v>2</v>
      </c>
      <c r="I56" t="s">
        <v>457</v>
      </c>
      <c r="J56" t="s">
        <v>458</v>
      </c>
      <c r="K56" t="s">
        <v>459</v>
      </c>
      <c r="L56">
        <v>1368</v>
      </c>
      <c r="N56">
        <v>1011</v>
      </c>
      <c r="O56" t="s">
        <v>444</v>
      </c>
      <c r="P56" t="s">
        <v>444</v>
      </c>
      <c r="Q56">
        <v>1</v>
      </c>
      <c r="X56">
        <v>1.04</v>
      </c>
      <c r="Y56">
        <v>0</v>
      </c>
      <c r="Z56">
        <v>179.17</v>
      </c>
      <c r="AA56">
        <v>16.93</v>
      </c>
      <c r="AB56">
        <v>0</v>
      </c>
      <c r="AC56">
        <v>0</v>
      </c>
      <c r="AD56">
        <v>1</v>
      </c>
      <c r="AE56">
        <v>0</v>
      </c>
      <c r="AF56" t="s">
        <v>70</v>
      </c>
      <c r="AG56">
        <v>1.3728</v>
      </c>
      <c r="AH56">
        <v>2</v>
      </c>
      <c r="AI56">
        <v>56612013</v>
      </c>
      <c r="AJ56">
        <v>45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ROW(Source!A49)</f>
        <v>49</v>
      </c>
      <c r="B57">
        <v>56612019</v>
      </c>
      <c r="C57">
        <v>56612009</v>
      </c>
      <c r="D57">
        <v>47634960</v>
      </c>
      <c r="E57">
        <v>27786564</v>
      </c>
      <c r="F57">
        <v>1</v>
      </c>
      <c r="G57">
        <v>27786564</v>
      </c>
      <c r="H57">
        <v>2</v>
      </c>
      <c r="I57" t="s">
        <v>448</v>
      </c>
      <c r="J57" t="s">
        <v>3</v>
      </c>
      <c r="K57" t="s">
        <v>449</v>
      </c>
      <c r="L57">
        <v>1344</v>
      </c>
      <c r="N57">
        <v>1008</v>
      </c>
      <c r="O57" t="s">
        <v>450</v>
      </c>
      <c r="P57" t="s">
        <v>450</v>
      </c>
      <c r="Q57">
        <v>1</v>
      </c>
      <c r="X57">
        <v>0.02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70</v>
      </c>
      <c r="AG57">
        <v>2.6400000000000003E-2</v>
      </c>
      <c r="AH57">
        <v>2</v>
      </c>
      <c r="AI57">
        <v>56612014</v>
      </c>
      <c r="AJ57">
        <v>46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ROW(Source!A49)</f>
        <v>49</v>
      </c>
      <c r="B58">
        <v>56612020</v>
      </c>
      <c r="C58">
        <v>56612009</v>
      </c>
      <c r="D58">
        <v>30365725</v>
      </c>
      <c r="E58">
        <v>27786564</v>
      </c>
      <c r="F58">
        <v>1</v>
      </c>
      <c r="G58">
        <v>27786564</v>
      </c>
      <c r="H58">
        <v>3</v>
      </c>
      <c r="I58" t="s">
        <v>532</v>
      </c>
      <c r="J58" t="s">
        <v>3</v>
      </c>
      <c r="K58" t="s">
        <v>533</v>
      </c>
      <c r="L58">
        <v>1301</v>
      </c>
      <c r="N58">
        <v>1003</v>
      </c>
      <c r="O58" t="s">
        <v>56</v>
      </c>
      <c r="P58" t="s">
        <v>56</v>
      </c>
      <c r="Q58">
        <v>1</v>
      </c>
      <c r="X58">
        <v>1025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42</v>
      </c>
      <c r="AG58">
        <v>1025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ROW(Source!A50)</f>
        <v>50</v>
      </c>
      <c r="B59">
        <v>56612027</v>
      </c>
      <c r="C59">
        <v>56612021</v>
      </c>
      <c r="D59">
        <v>47634407</v>
      </c>
      <c r="E59">
        <v>27786564</v>
      </c>
      <c r="F59">
        <v>1</v>
      </c>
      <c r="G59">
        <v>27786564</v>
      </c>
      <c r="H59">
        <v>1</v>
      </c>
      <c r="I59" t="s">
        <v>438</v>
      </c>
      <c r="J59" t="s">
        <v>3</v>
      </c>
      <c r="K59" t="s">
        <v>439</v>
      </c>
      <c r="L59">
        <v>1191</v>
      </c>
      <c r="N59">
        <v>1013</v>
      </c>
      <c r="O59" t="s">
        <v>440</v>
      </c>
      <c r="P59" t="s">
        <v>440</v>
      </c>
      <c r="Q59">
        <v>1</v>
      </c>
      <c r="X59">
        <v>107.8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22</v>
      </c>
      <c r="AG59">
        <v>118.58000000000001</v>
      </c>
      <c r="AH59">
        <v>2</v>
      </c>
      <c r="AI59">
        <v>56612022</v>
      </c>
      <c r="AJ59">
        <v>47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ROW(Source!A50)</f>
        <v>50</v>
      </c>
      <c r="B60">
        <v>56612028</v>
      </c>
      <c r="C60">
        <v>56612021</v>
      </c>
      <c r="D60">
        <v>47767124</v>
      </c>
      <c r="E60">
        <v>1</v>
      </c>
      <c r="F60">
        <v>1</v>
      </c>
      <c r="G60">
        <v>27786564</v>
      </c>
      <c r="H60">
        <v>2</v>
      </c>
      <c r="I60" t="s">
        <v>451</v>
      </c>
      <c r="J60" t="s">
        <v>452</v>
      </c>
      <c r="K60" t="s">
        <v>453</v>
      </c>
      <c r="L60">
        <v>1368</v>
      </c>
      <c r="N60">
        <v>1011</v>
      </c>
      <c r="O60" t="s">
        <v>444</v>
      </c>
      <c r="P60" t="s">
        <v>444</v>
      </c>
      <c r="Q60">
        <v>1</v>
      </c>
      <c r="X60">
        <v>0.72</v>
      </c>
      <c r="Y60">
        <v>0</v>
      </c>
      <c r="Z60">
        <v>15.54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22</v>
      </c>
      <c r="AG60">
        <v>0.79200000000000004</v>
      </c>
      <c r="AH60">
        <v>2</v>
      </c>
      <c r="AI60">
        <v>56612023</v>
      </c>
      <c r="AJ60">
        <v>48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ROW(Source!A50)</f>
        <v>50</v>
      </c>
      <c r="B61">
        <v>56612029</v>
      </c>
      <c r="C61">
        <v>56612021</v>
      </c>
      <c r="D61">
        <v>47767126</v>
      </c>
      <c r="E61">
        <v>1</v>
      </c>
      <c r="F61">
        <v>1</v>
      </c>
      <c r="G61">
        <v>27786564</v>
      </c>
      <c r="H61">
        <v>2</v>
      </c>
      <c r="I61" t="s">
        <v>454</v>
      </c>
      <c r="J61" t="s">
        <v>455</v>
      </c>
      <c r="K61" t="s">
        <v>456</v>
      </c>
      <c r="L61">
        <v>1368</v>
      </c>
      <c r="N61">
        <v>1011</v>
      </c>
      <c r="O61" t="s">
        <v>444</v>
      </c>
      <c r="P61" t="s">
        <v>444</v>
      </c>
      <c r="Q61">
        <v>1</v>
      </c>
      <c r="X61">
        <v>0.72</v>
      </c>
      <c r="Y61">
        <v>0</v>
      </c>
      <c r="Z61">
        <v>81.150000000000006</v>
      </c>
      <c r="AA61">
        <v>14.54</v>
      </c>
      <c r="AB61">
        <v>0</v>
      </c>
      <c r="AC61">
        <v>0</v>
      </c>
      <c r="AD61">
        <v>1</v>
      </c>
      <c r="AE61">
        <v>0</v>
      </c>
      <c r="AF61" t="s">
        <v>22</v>
      </c>
      <c r="AG61">
        <v>0.79200000000000004</v>
      </c>
      <c r="AH61">
        <v>2</v>
      </c>
      <c r="AI61">
        <v>56612024</v>
      </c>
      <c r="AJ61">
        <v>49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ROW(Source!A50)</f>
        <v>50</v>
      </c>
      <c r="B62">
        <v>56612030</v>
      </c>
      <c r="C62">
        <v>56612021</v>
      </c>
      <c r="D62">
        <v>47766454</v>
      </c>
      <c r="E62">
        <v>1</v>
      </c>
      <c r="F62">
        <v>1</v>
      </c>
      <c r="G62">
        <v>27786564</v>
      </c>
      <c r="H62">
        <v>2</v>
      </c>
      <c r="I62" t="s">
        <v>457</v>
      </c>
      <c r="J62" t="s">
        <v>458</v>
      </c>
      <c r="K62" t="s">
        <v>459</v>
      </c>
      <c r="L62">
        <v>1368</v>
      </c>
      <c r="N62">
        <v>1011</v>
      </c>
      <c r="O62" t="s">
        <v>444</v>
      </c>
      <c r="P62" t="s">
        <v>444</v>
      </c>
      <c r="Q62">
        <v>1</v>
      </c>
      <c r="X62">
        <v>1.04</v>
      </c>
      <c r="Y62">
        <v>0</v>
      </c>
      <c r="Z62">
        <v>179.17</v>
      </c>
      <c r="AA62">
        <v>16.93</v>
      </c>
      <c r="AB62">
        <v>0</v>
      </c>
      <c r="AC62">
        <v>0</v>
      </c>
      <c r="AD62">
        <v>1</v>
      </c>
      <c r="AE62">
        <v>0</v>
      </c>
      <c r="AF62" t="s">
        <v>22</v>
      </c>
      <c r="AG62">
        <v>1.1440000000000001</v>
      </c>
      <c r="AH62">
        <v>2</v>
      </c>
      <c r="AI62">
        <v>56612025</v>
      </c>
      <c r="AJ62">
        <v>50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ROW(Source!A50)</f>
        <v>50</v>
      </c>
      <c r="B63">
        <v>56612031</v>
      </c>
      <c r="C63">
        <v>56612021</v>
      </c>
      <c r="D63">
        <v>47634960</v>
      </c>
      <c r="E63">
        <v>27786564</v>
      </c>
      <c r="F63">
        <v>1</v>
      </c>
      <c r="G63">
        <v>27786564</v>
      </c>
      <c r="H63">
        <v>2</v>
      </c>
      <c r="I63" t="s">
        <v>448</v>
      </c>
      <c r="J63" t="s">
        <v>3</v>
      </c>
      <c r="K63" t="s">
        <v>449</v>
      </c>
      <c r="L63">
        <v>1344</v>
      </c>
      <c r="N63">
        <v>1008</v>
      </c>
      <c r="O63" t="s">
        <v>450</v>
      </c>
      <c r="P63" t="s">
        <v>450</v>
      </c>
      <c r="Q63">
        <v>1</v>
      </c>
      <c r="X63">
        <v>0.02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22</v>
      </c>
      <c r="AG63">
        <v>2.2000000000000002E-2</v>
      </c>
      <c r="AH63">
        <v>2</v>
      </c>
      <c r="AI63">
        <v>56612026</v>
      </c>
      <c r="AJ63">
        <v>51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ROW(Source!A50)</f>
        <v>50</v>
      </c>
      <c r="B64">
        <v>56612032</v>
      </c>
      <c r="C64">
        <v>56612021</v>
      </c>
      <c r="D64">
        <v>30365725</v>
      </c>
      <c r="E64">
        <v>27786564</v>
      </c>
      <c r="F64">
        <v>1</v>
      </c>
      <c r="G64">
        <v>27786564</v>
      </c>
      <c r="H64">
        <v>3</v>
      </c>
      <c r="I64" t="s">
        <v>532</v>
      </c>
      <c r="J64" t="s">
        <v>3</v>
      </c>
      <c r="K64" t="s">
        <v>533</v>
      </c>
      <c r="L64">
        <v>1301</v>
      </c>
      <c r="N64">
        <v>1003</v>
      </c>
      <c r="O64" t="s">
        <v>56</v>
      </c>
      <c r="P64" t="s">
        <v>56</v>
      </c>
      <c r="Q64">
        <v>1</v>
      </c>
      <c r="X64">
        <v>1025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</v>
      </c>
      <c r="AG64">
        <v>1025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ROW(Source!A51)</f>
        <v>51</v>
      </c>
      <c r="B65">
        <v>56612027</v>
      </c>
      <c r="C65">
        <v>56612021</v>
      </c>
      <c r="D65">
        <v>47634407</v>
      </c>
      <c r="E65">
        <v>27786564</v>
      </c>
      <c r="F65">
        <v>1</v>
      </c>
      <c r="G65">
        <v>27786564</v>
      </c>
      <c r="H65">
        <v>1</v>
      </c>
      <c r="I65" t="s">
        <v>438</v>
      </c>
      <c r="J65" t="s">
        <v>3</v>
      </c>
      <c r="K65" t="s">
        <v>439</v>
      </c>
      <c r="L65">
        <v>1191</v>
      </c>
      <c r="N65">
        <v>1013</v>
      </c>
      <c r="O65" t="s">
        <v>440</v>
      </c>
      <c r="P65" t="s">
        <v>440</v>
      </c>
      <c r="Q65">
        <v>1</v>
      </c>
      <c r="X65">
        <v>107.8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22</v>
      </c>
      <c r="AG65">
        <v>118.58000000000001</v>
      </c>
      <c r="AH65">
        <v>2</v>
      </c>
      <c r="AI65">
        <v>56612022</v>
      </c>
      <c r="AJ65">
        <v>52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ROW(Source!A51)</f>
        <v>51</v>
      </c>
      <c r="B66">
        <v>56612028</v>
      </c>
      <c r="C66">
        <v>56612021</v>
      </c>
      <c r="D66">
        <v>47767124</v>
      </c>
      <c r="E66">
        <v>1</v>
      </c>
      <c r="F66">
        <v>1</v>
      </c>
      <c r="G66">
        <v>27786564</v>
      </c>
      <c r="H66">
        <v>2</v>
      </c>
      <c r="I66" t="s">
        <v>451</v>
      </c>
      <c r="J66" t="s">
        <v>452</v>
      </c>
      <c r="K66" t="s">
        <v>453</v>
      </c>
      <c r="L66">
        <v>1368</v>
      </c>
      <c r="N66">
        <v>1011</v>
      </c>
      <c r="O66" t="s">
        <v>444</v>
      </c>
      <c r="P66" t="s">
        <v>444</v>
      </c>
      <c r="Q66">
        <v>1</v>
      </c>
      <c r="X66">
        <v>0.72</v>
      </c>
      <c r="Y66">
        <v>0</v>
      </c>
      <c r="Z66">
        <v>15.54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22</v>
      </c>
      <c r="AG66">
        <v>0.79200000000000004</v>
      </c>
      <c r="AH66">
        <v>2</v>
      </c>
      <c r="AI66">
        <v>56612023</v>
      </c>
      <c r="AJ66">
        <v>53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ROW(Source!A51)</f>
        <v>51</v>
      </c>
      <c r="B67">
        <v>56612029</v>
      </c>
      <c r="C67">
        <v>56612021</v>
      </c>
      <c r="D67">
        <v>47767126</v>
      </c>
      <c r="E67">
        <v>1</v>
      </c>
      <c r="F67">
        <v>1</v>
      </c>
      <c r="G67">
        <v>27786564</v>
      </c>
      <c r="H67">
        <v>2</v>
      </c>
      <c r="I67" t="s">
        <v>454</v>
      </c>
      <c r="J67" t="s">
        <v>455</v>
      </c>
      <c r="K67" t="s">
        <v>456</v>
      </c>
      <c r="L67">
        <v>1368</v>
      </c>
      <c r="N67">
        <v>1011</v>
      </c>
      <c r="O67" t="s">
        <v>444</v>
      </c>
      <c r="P67" t="s">
        <v>444</v>
      </c>
      <c r="Q67">
        <v>1</v>
      </c>
      <c r="X67">
        <v>0.72</v>
      </c>
      <c r="Y67">
        <v>0</v>
      </c>
      <c r="Z67">
        <v>81.150000000000006</v>
      </c>
      <c r="AA67">
        <v>14.54</v>
      </c>
      <c r="AB67">
        <v>0</v>
      </c>
      <c r="AC67">
        <v>0</v>
      </c>
      <c r="AD67">
        <v>1</v>
      </c>
      <c r="AE67">
        <v>0</v>
      </c>
      <c r="AF67" t="s">
        <v>22</v>
      </c>
      <c r="AG67">
        <v>0.79200000000000004</v>
      </c>
      <c r="AH67">
        <v>2</v>
      </c>
      <c r="AI67">
        <v>56612024</v>
      </c>
      <c r="AJ67">
        <v>54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ROW(Source!A51)</f>
        <v>51</v>
      </c>
      <c r="B68">
        <v>56612030</v>
      </c>
      <c r="C68">
        <v>56612021</v>
      </c>
      <c r="D68">
        <v>47766454</v>
      </c>
      <c r="E68">
        <v>1</v>
      </c>
      <c r="F68">
        <v>1</v>
      </c>
      <c r="G68">
        <v>27786564</v>
      </c>
      <c r="H68">
        <v>2</v>
      </c>
      <c r="I68" t="s">
        <v>457</v>
      </c>
      <c r="J68" t="s">
        <v>458</v>
      </c>
      <c r="K68" t="s">
        <v>459</v>
      </c>
      <c r="L68">
        <v>1368</v>
      </c>
      <c r="N68">
        <v>1011</v>
      </c>
      <c r="O68" t="s">
        <v>444</v>
      </c>
      <c r="P68" t="s">
        <v>444</v>
      </c>
      <c r="Q68">
        <v>1</v>
      </c>
      <c r="X68">
        <v>1.04</v>
      </c>
      <c r="Y68">
        <v>0</v>
      </c>
      <c r="Z68">
        <v>179.17</v>
      </c>
      <c r="AA68">
        <v>16.93</v>
      </c>
      <c r="AB68">
        <v>0</v>
      </c>
      <c r="AC68">
        <v>0</v>
      </c>
      <c r="AD68">
        <v>1</v>
      </c>
      <c r="AE68">
        <v>0</v>
      </c>
      <c r="AF68" t="s">
        <v>22</v>
      </c>
      <c r="AG68">
        <v>1.1440000000000001</v>
      </c>
      <c r="AH68">
        <v>2</v>
      </c>
      <c r="AI68">
        <v>56612025</v>
      </c>
      <c r="AJ68">
        <v>55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ROW(Source!A51)</f>
        <v>51</v>
      </c>
      <c r="B69">
        <v>56612031</v>
      </c>
      <c r="C69">
        <v>56612021</v>
      </c>
      <c r="D69">
        <v>47634960</v>
      </c>
      <c r="E69">
        <v>27786564</v>
      </c>
      <c r="F69">
        <v>1</v>
      </c>
      <c r="G69">
        <v>27786564</v>
      </c>
      <c r="H69">
        <v>2</v>
      </c>
      <c r="I69" t="s">
        <v>448</v>
      </c>
      <c r="J69" t="s">
        <v>3</v>
      </c>
      <c r="K69" t="s">
        <v>449</v>
      </c>
      <c r="L69">
        <v>1344</v>
      </c>
      <c r="N69">
        <v>1008</v>
      </c>
      <c r="O69" t="s">
        <v>450</v>
      </c>
      <c r="P69" t="s">
        <v>450</v>
      </c>
      <c r="Q69">
        <v>1</v>
      </c>
      <c r="X69">
        <v>0.02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22</v>
      </c>
      <c r="AG69">
        <v>2.2000000000000002E-2</v>
      </c>
      <c r="AH69">
        <v>2</v>
      </c>
      <c r="AI69">
        <v>56612026</v>
      </c>
      <c r="AJ69">
        <v>56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ROW(Source!A51)</f>
        <v>51</v>
      </c>
      <c r="B70">
        <v>56612032</v>
      </c>
      <c r="C70">
        <v>56612021</v>
      </c>
      <c r="D70">
        <v>30365725</v>
      </c>
      <c r="E70">
        <v>27786564</v>
      </c>
      <c r="F70">
        <v>1</v>
      </c>
      <c r="G70">
        <v>27786564</v>
      </c>
      <c r="H70">
        <v>3</v>
      </c>
      <c r="I70" t="s">
        <v>532</v>
      </c>
      <c r="J70" t="s">
        <v>3</v>
      </c>
      <c r="K70" t="s">
        <v>533</v>
      </c>
      <c r="L70">
        <v>1301</v>
      </c>
      <c r="N70">
        <v>1003</v>
      </c>
      <c r="O70" t="s">
        <v>56</v>
      </c>
      <c r="P70" t="s">
        <v>56</v>
      </c>
      <c r="Q70">
        <v>1</v>
      </c>
      <c r="X70">
        <v>1025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</v>
      </c>
      <c r="AG70">
        <v>1025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ROW(Source!A58)</f>
        <v>58</v>
      </c>
      <c r="B71">
        <v>56612037</v>
      </c>
      <c r="C71">
        <v>56612036</v>
      </c>
      <c r="D71">
        <v>47634407</v>
      </c>
      <c r="E71">
        <v>27786564</v>
      </c>
      <c r="F71">
        <v>1</v>
      </c>
      <c r="G71">
        <v>27786564</v>
      </c>
      <c r="H71">
        <v>1</v>
      </c>
      <c r="I71" t="s">
        <v>438</v>
      </c>
      <c r="J71" t="s">
        <v>3</v>
      </c>
      <c r="K71" t="s">
        <v>439</v>
      </c>
      <c r="L71">
        <v>1191</v>
      </c>
      <c r="N71">
        <v>1013</v>
      </c>
      <c r="O71" t="s">
        <v>440</v>
      </c>
      <c r="P71" t="s">
        <v>440</v>
      </c>
      <c r="Q71">
        <v>1</v>
      </c>
      <c r="X71">
        <v>135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22</v>
      </c>
      <c r="AG71">
        <v>148.5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ROW(Source!A58)</f>
        <v>58</v>
      </c>
      <c r="B72">
        <v>56612038</v>
      </c>
      <c r="C72">
        <v>56612036</v>
      </c>
      <c r="D72">
        <v>47766844</v>
      </c>
      <c r="E72">
        <v>1</v>
      </c>
      <c r="F72">
        <v>1</v>
      </c>
      <c r="G72">
        <v>27786564</v>
      </c>
      <c r="H72">
        <v>2</v>
      </c>
      <c r="I72" t="s">
        <v>534</v>
      </c>
      <c r="J72" t="s">
        <v>535</v>
      </c>
      <c r="K72" t="s">
        <v>536</v>
      </c>
      <c r="L72">
        <v>1368</v>
      </c>
      <c r="N72">
        <v>1011</v>
      </c>
      <c r="O72" t="s">
        <v>444</v>
      </c>
      <c r="P72" t="s">
        <v>444</v>
      </c>
      <c r="Q72">
        <v>1</v>
      </c>
      <c r="X72">
        <v>8</v>
      </c>
      <c r="Y72">
        <v>0</v>
      </c>
      <c r="Z72">
        <v>24.95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22</v>
      </c>
      <c r="AG72">
        <v>8.8000000000000007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ROW(Source!A58)</f>
        <v>58</v>
      </c>
      <c r="B73">
        <v>56612039</v>
      </c>
      <c r="C73">
        <v>56612036</v>
      </c>
      <c r="D73">
        <v>47766894</v>
      </c>
      <c r="E73">
        <v>1</v>
      </c>
      <c r="F73">
        <v>1</v>
      </c>
      <c r="G73">
        <v>27786564</v>
      </c>
      <c r="H73">
        <v>2</v>
      </c>
      <c r="I73" t="s">
        <v>537</v>
      </c>
      <c r="J73" t="s">
        <v>538</v>
      </c>
      <c r="K73" t="s">
        <v>539</v>
      </c>
      <c r="L73">
        <v>1368</v>
      </c>
      <c r="N73">
        <v>1011</v>
      </c>
      <c r="O73" t="s">
        <v>444</v>
      </c>
      <c r="P73" t="s">
        <v>444</v>
      </c>
      <c r="Q73">
        <v>1</v>
      </c>
      <c r="X73">
        <v>2</v>
      </c>
      <c r="Y73">
        <v>0</v>
      </c>
      <c r="Z73">
        <v>4.6900000000000004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22</v>
      </c>
      <c r="AG73">
        <v>2.2000000000000002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ROW(Source!A58)</f>
        <v>58</v>
      </c>
      <c r="B74">
        <v>56612040</v>
      </c>
      <c r="C74">
        <v>56612036</v>
      </c>
      <c r="D74">
        <v>50545312</v>
      </c>
      <c r="E74">
        <v>1</v>
      </c>
      <c r="F74">
        <v>1</v>
      </c>
      <c r="G74">
        <v>27786564</v>
      </c>
      <c r="H74">
        <v>2</v>
      </c>
      <c r="I74" t="s">
        <v>540</v>
      </c>
      <c r="J74" t="s">
        <v>541</v>
      </c>
      <c r="K74" t="s">
        <v>542</v>
      </c>
      <c r="L74">
        <v>1368</v>
      </c>
      <c r="N74">
        <v>1011</v>
      </c>
      <c r="O74" t="s">
        <v>444</v>
      </c>
      <c r="P74" t="s">
        <v>444</v>
      </c>
      <c r="Q74">
        <v>1</v>
      </c>
      <c r="X74">
        <v>30</v>
      </c>
      <c r="Y74">
        <v>0</v>
      </c>
      <c r="Z74">
        <v>6.1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22</v>
      </c>
      <c r="AG74">
        <v>33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ROW(Source!A58)</f>
        <v>58</v>
      </c>
      <c r="B75">
        <v>56612041</v>
      </c>
      <c r="C75">
        <v>56612036</v>
      </c>
      <c r="D75">
        <v>47767106</v>
      </c>
      <c r="E75">
        <v>1</v>
      </c>
      <c r="F75">
        <v>1</v>
      </c>
      <c r="G75">
        <v>27786564</v>
      </c>
      <c r="H75">
        <v>2</v>
      </c>
      <c r="I75" t="s">
        <v>460</v>
      </c>
      <c r="J75" t="s">
        <v>461</v>
      </c>
      <c r="K75" t="s">
        <v>462</v>
      </c>
      <c r="L75">
        <v>1368</v>
      </c>
      <c r="N75">
        <v>1011</v>
      </c>
      <c r="O75" t="s">
        <v>444</v>
      </c>
      <c r="P75" t="s">
        <v>444</v>
      </c>
      <c r="Q75">
        <v>1</v>
      </c>
      <c r="X75">
        <v>0.02</v>
      </c>
      <c r="Y75">
        <v>0</v>
      </c>
      <c r="Z75">
        <v>83.1</v>
      </c>
      <c r="AA75">
        <v>12.62</v>
      </c>
      <c r="AB75">
        <v>0</v>
      </c>
      <c r="AC75">
        <v>0</v>
      </c>
      <c r="AD75">
        <v>1</v>
      </c>
      <c r="AE75">
        <v>0</v>
      </c>
      <c r="AF75" t="s">
        <v>22</v>
      </c>
      <c r="AG75">
        <v>2.2000000000000002E-2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ROW(Source!A58)</f>
        <v>58</v>
      </c>
      <c r="B76">
        <v>56612043</v>
      </c>
      <c r="C76">
        <v>56612036</v>
      </c>
      <c r="D76">
        <v>47767216</v>
      </c>
      <c r="E76">
        <v>1</v>
      </c>
      <c r="F76">
        <v>1</v>
      </c>
      <c r="G76">
        <v>27786564</v>
      </c>
      <c r="H76">
        <v>2</v>
      </c>
      <c r="I76" t="s">
        <v>543</v>
      </c>
      <c r="J76" t="s">
        <v>544</v>
      </c>
      <c r="K76" t="s">
        <v>545</v>
      </c>
      <c r="L76">
        <v>1368</v>
      </c>
      <c r="N76">
        <v>1011</v>
      </c>
      <c r="O76" t="s">
        <v>444</v>
      </c>
      <c r="P76" t="s">
        <v>444</v>
      </c>
      <c r="Q76">
        <v>1</v>
      </c>
      <c r="X76">
        <v>3</v>
      </c>
      <c r="Y76">
        <v>0</v>
      </c>
      <c r="Z76">
        <v>0.8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22</v>
      </c>
      <c r="AG76">
        <v>3.3000000000000003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ROW(Source!A58)</f>
        <v>58</v>
      </c>
      <c r="B77">
        <v>56612042</v>
      </c>
      <c r="C77">
        <v>56612036</v>
      </c>
      <c r="D77">
        <v>47766454</v>
      </c>
      <c r="E77">
        <v>1</v>
      </c>
      <c r="F77">
        <v>1</v>
      </c>
      <c r="G77">
        <v>27786564</v>
      </c>
      <c r="H77">
        <v>2</v>
      </c>
      <c r="I77" t="s">
        <v>457</v>
      </c>
      <c r="J77" t="s">
        <v>458</v>
      </c>
      <c r="K77" t="s">
        <v>459</v>
      </c>
      <c r="L77">
        <v>1368</v>
      </c>
      <c r="N77">
        <v>1011</v>
      </c>
      <c r="O77" t="s">
        <v>444</v>
      </c>
      <c r="P77" t="s">
        <v>444</v>
      </c>
      <c r="Q77">
        <v>1</v>
      </c>
      <c r="X77">
        <v>0.02</v>
      </c>
      <c r="Y77">
        <v>0</v>
      </c>
      <c r="Z77">
        <v>179.17</v>
      </c>
      <c r="AA77">
        <v>16.93</v>
      </c>
      <c r="AB77">
        <v>0</v>
      </c>
      <c r="AC77">
        <v>0</v>
      </c>
      <c r="AD77">
        <v>1</v>
      </c>
      <c r="AE77">
        <v>0</v>
      </c>
      <c r="AF77" t="s">
        <v>22</v>
      </c>
      <c r="AG77">
        <v>2.2000000000000002E-2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ROW(Source!A58)</f>
        <v>58</v>
      </c>
      <c r="B78">
        <v>56612044</v>
      </c>
      <c r="C78">
        <v>56612036</v>
      </c>
      <c r="D78">
        <v>30390462</v>
      </c>
      <c r="E78">
        <v>1</v>
      </c>
      <c r="F78">
        <v>1</v>
      </c>
      <c r="G78">
        <v>27786564</v>
      </c>
      <c r="H78">
        <v>3</v>
      </c>
      <c r="I78" t="s">
        <v>504</v>
      </c>
      <c r="J78" t="s">
        <v>505</v>
      </c>
      <c r="K78" t="s">
        <v>506</v>
      </c>
      <c r="L78">
        <v>1346</v>
      </c>
      <c r="N78">
        <v>1009</v>
      </c>
      <c r="O78" t="s">
        <v>104</v>
      </c>
      <c r="P78" t="s">
        <v>104</v>
      </c>
      <c r="Q78">
        <v>1</v>
      </c>
      <c r="X78">
        <v>0.8</v>
      </c>
      <c r="Y78">
        <v>1.61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</v>
      </c>
      <c r="AG78">
        <v>0.8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ROW(Source!A58)</f>
        <v>58</v>
      </c>
      <c r="B79">
        <v>56612045</v>
      </c>
      <c r="C79">
        <v>56612036</v>
      </c>
      <c r="D79">
        <v>46723638</v>
      </c>
      <c r="E79">
        <v>1</v>
      </c>
      <c r="F79">
        <v>1</v>
      </c>
      <c r="G79">
        <v>27786564</v>
      </c>
      <c r="H79">
        <v>3</v>
      </c>
      <c r="I79" t="s">
        <v>546</v>
      </c>
      <c r="J79" t="s">
        <v>547</v>
      </c>
      <c r="K79" t="s">
        <v>548</v>
      </c>
      <c r="L79">
        <v>1327</v>
      </c>
      <c r="N79">
        <v>1005</v>
      </c>
      <c r="O79" t="s">
        <v>510</v>
      </c>
      <c r="P79" t="s">
        <v>510</v>
      </c>
      <c r="Q79">
        <v>1</v>
      </c>
      <c r="X79">
        <v>140</v>
      </c>
      <c r="Y79">
        <v>3.66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140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ROW(Source!A58)</f>
        <v>58</v>
      </c>
      <c r="B80">
        <v>56612046</v>
      </c>
      <c r="C80">
        <v>56612036</v>
      </c>
      <c r="D80">
        <v>46723721</v>
      </c>
      <c r="E80">
        <v>1</v>
      </c>
      <c r="F80">
        <v>1</v>
      </c>
      <c r="G80">
        <v>27786564</v>
      </c>
      <c r="H80">
        <v>3</v>
      </c>
      <c r="I80" t="s">
        <v>549</v>
      </c>
      <c r="J80" t="s">
        <v>550</v>
      </c>
      <c r="K80" t="s">
        <v>551</v>
      </c>
      <c r="L80">
        <v>1348</v>
      </c>
      <c r="N80">
        <v>1009</v>
      </c>
      <c r="O80" t="s">
        <v>330</v>
      </c>
      <c r="P80" t="s">
        <v>330</v>
      </c>
      <c r="Q80">
        <v>1000</v>
      </c>
      <c r="X80">
        <v>2.0000000000000001E-4</v>
      </c>
      <c r="Y80">
        <v>13609.41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2.0000000000000001E-4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ROW(Source!A58)</f>
        <v>58</v>
      </c>
      <c r="B81">
        <v>56612047</v>
      </c>
      <c r="C81">
        <v>56612036</v>
      </c>
      <c r="D81">
        <v>30386407</v>
      </c>
      <c r="E81">
        <v>27786564</v>
      </c>
      <c r="F81">
        <v>1</v>
      </c>
      <c r="G81">
        <v>27786564</v>
      </c>
      <c r="H81">
        <v>3</v>
      </c>
      <c r="I81" t="s">
        <v>552</v>
      </c>
      <c r="J81" t="s">
        <v>3</v>
      </c>
      <c r="K81" t="s">
        <v>553</v>
      </c>
      <c r="L81">
        <v>1348</v>
      </c>
      <c r="N81">
        <v>1009</v>
      </c>
      <c r="O81" t="s">
        <v>330</v>
      </c>
      <c r="P81" t="s">
        <v>330</v>
      </c>
      <c r="Q81">
        <v>1000</v>
      </c>
      <c r="X81">
        <v>0.1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3</v>
      </c>
      <c r="AG81">
        <v>0.1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ROW(Source!A59)</f>
        <v>59</v>
      </c>
      <c r="B82">
        <v>56612037</v>
      </c>
      <c r="C82">
        <v>56612036</v>
      </c>
      <c r="D82">
        <v>47634407</v>
      </c>
      <c r="E82">
        <v>27786564</v>
      </c>
      <c r="F82">
        <v>1</v>
      </c>
      <c r="G82">
        <v>27786564</v>
      </c>
      <c r="H82">
        <v>1</v>
      </c>
      <c r="I82" t="s">
        <v>438</v>
      </c>
      <c r="J82" t="s">
        <v>3</v>
      </c>
      <c r="K82" t="s">
        <v>439</v>
      </c>
      <c r="L82">
        <v>1191</v>
      </c>
      <c r="N82">
        <v>1013</v>
      </c>
      <c r="O82" t="s">
        <v>440</v>
      </c>
      <c r="P82" t="s">
        <v>440</v>
      </c>
      <c r="Q82">
        <v>1</v>
      </c>
      <c r="X82">
        <v>135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22</v>
      </c>
      <c r="AG82">
        <v>148.5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ROW(Source!A59)</f>
        <v>59</v>
      </c>
      <c r="B83">
        <v>56612038</v>
      </c>
      <c r="C83">
        <v>56612036</v>
      </c>
      <c r="D83">
        <v>47766844</v>
      </c>
      <c r="E83">
        <v>1</v>
      </c>
      <c r="F83">
        <v>1</v>
      </c>
      <c r="G83">
        <v>27786564</v>
      </c>
      <c r="H83">
        <v>2</v>
      </c>
      <c r="I83" t="s">
        <v>534</v>
      </c>
      <c r="J83" t="s">
        <v>535</v>
      </c>
      <c r="K83" t="s">
        <v>536</v>
      </c>
      <c r="L83">
        <v>1368</v>
      </c>
      <c r="N83">
        <v>1011</v>
      </c>
      <c r="O83" t="s">
        <v>444</v>
      </c>
      <c r="P83" t="s">
        <v>444</v>
      </c>
      <c r="Q83">
        <v>1</v>
      </c>
      <c r="X83">
        <v>8</v>
      </c>
      <c r="Y83">
        <v>0</v>
      </c>
      <c r="Z83">
        <v>24.95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22</v>
      </c>
      <c r="AG83">
        <v>8.8000000000000007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ROW(Source!A59)</f>
        <v>59</v>
      </c>
      <c r="B84">
        <v>56612039</v>
      </c>
      <c r="C84">
        <v>56612036</v>
      </c>
      <c r="D84">
        <v>47766894</v>
      </c>
      <c r="E84">
        <v>1</v>
      </c>
      <c r="F84">
        <v>1</v>
      </c>
      <c r="G84">
        <v>27786564</v>
      </c>
      <c r="H84">
        <v>2</v>
      </c>
      <c r="I84" t="s">
        <v>537</v>
      </c>
      <c r="J84" t="s">
        <v>538</v>
      </c>
      <c r="K84" t="s">
        <v>539</v>
      </c>
      <c r="L84">
        <v>1368</v>
      </c>
      <c r="N84">
        <v>1011</v>
      </c>
      <c r="O84" t="s">
        <v>444</v>
      </c>
      <c r="P84" t="s">
        <v>444</v>
      </c>
      <c r="Q84">
        <v>1</v>
      </c>
      <c r="X84">
        <v>2</v>
      </c>
      <c r="Y84">
        <v>0</v>
      </c>
      <c r="Z84">
        <v>4.6900000000000004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22</v>
      </c>
      <c r="AG84">
        <v>2.2000000000000002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ROW(Source!A59)</f>
        <v>59</v>
      </c>
      <c r="B85">
        <v>56612040</v>
      </c>
      <c r="C85">
        <v>56612036</v>
      </c>
      <c r="D85">
        <v>50545312</v>
      </c>
      <c r="E85">
        <v>1</v>
      </c>
      <c r="F85">
        <v>1</v>
      </c>
      <c r="G85">
        <v>27786564</v>
      </c>
      <c r="H85">
        <v>2</v>
      </c>
      <c r="I85" t="s">
        <v>540</v>
      </c>
      <c r="J85" t="s">
        <v>541</v>
      </c>
      <c r="K85" t="s">
        <v>542</v>
      </c>
      <c r="L85">
        <v>1368</v>
      </c>
      <c r="N85">
        <v>1011</v>
      </c>
      <c r="O85" t="s">
        <v>444</v>
      </c>
      <c r="P85" t="s">
        <v>444</v>
      </c>
      <c r="Q85">
        <v>1</v>
      </c>
      <c r="X85">
        <v>30</v>
      </c>
      <c r="Y85">
        <v>0</v>
      </c>
      <c r="Z85">
        <v>6.1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22</v>
      </c>
      <c r="AG85">
        <v>33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ROW(Source!A59)</f>
        <v>59</v>
      </c>
      <c r="B86">
        <v>56612041</v>
      </c>
      <c r="C86">
        <v>56612036</v>
      </c>
      <c r="D86">
        <v>47767106</v>
      </c>
      <c r="E86">
        <v>1</v>
      </c>
      <c r="F86">
        <v>1</v>
      </c>
      <c r="G86">
        <v>27786564</v>
      </c>
      <c r="H86">
        <v>2</v>
      </c>
      <c r="I86" t="s">
        <v>460</v>
      </c>
      <c r="J86" t="s">
        <v>461</v>
      </c>
      <c r="K86" t="s">
        <v>462</v>
      </c>
      <c r="L86">
        <v>1368</v>
      </c>
      <c r="N86">
        <v>1011</v>
      </c>
      <c r="O86" t="s">
        <v>444</v>
      </c>
      <c r="P86" t="s">
        <v>444</v>
      </c>
      <c r="Q86">
        <v>1</v>
      </c>
      <c r="X86">
        <v>0.02</v>
      </c>
      <c r="Y86">
        <v>0</v>
      </c>
      <c r="Z86">
        <v>83.1</v>
      </c>
      <c r="AA86">
        <v>12.62</v>
      </c>
      <c r="AB86">
        <v>0</v>
      </c>
      <c r="AC86">
        <v>0</v>
      </c>
      <c r="AD86">
        <v>1</v>
      </c>
      <c r="AE86">
        <v>0</v>
      </c>
      <c r="AF86" t="s">
        <v>22</v>
      </c>
      <c r="AG86">
        <v>2.2000000000000002E-2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ROW(Source!A59)</f>
        <v>59</v>
      </c>
      <c r="B87">
        <v>56612043</v>
      </c>
      <c r="C87">
        <v>56612036</v>
      </c>
      <c r="D87">
        <v>47767216</v>
      </c>
      <c r="E87">
        <v>1</v>
      </c>
      <c r="F87">
        <v>1</v>
      </c>
      <c r="G87">
        <v>27786564</v>
      </c>
      <c r="H87">
        <v>2</v>
      </c>
      <c r="I87" t="s">
        <v>543</v>
      </c>
      <c r="J87" t="s">
        <v>544</v>
      </c>
      <c r="K87" t="s">
        <v>545</v>
      </c>
      <c r="L87">
        <v>1368</v>
      </c>
      <c r="N87">
        <v>1011</v>
      </c>
      <c r="O87" t="s">
        <v>444</v>
      </c>
      <c r="P87" t="s">
        <v>444</v>
      </c>
      <c r="Q87">
        <v>1</v>
      </c>
      <c r="X87">
        <v>3</v>
      </c>
      <c r="Y87">
        <v>0</v>
      </c>
      <c r="Z87">
        <v>0.8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22</v>
      </c>
      <c r="AG87">
        <v>3.3000000000000003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ROW(Source!A59)</f>
        <v>59</v>
      </c>
      <c r="B88">
        <v>56612042</v>
      </c>
      <c r="C88">
        <v>56612036</v>
      </c>
      <c r="D88">
        <v>47766454</v>
      </c>
      <c r="E88">
        <v>1</v>
      </c>
      <c r="F88">
        <v>1</v>
      </c>
      <c r="G88">
        <v>27786564</v>
      </c>
      <c r="H88">
        <v>2</v>
      </c>
      <c r="I88" t="s">
        <v>457</v>
      </c>
      <c r="J88" t="s">
        <v>458</v>
      </c>
      <c r="K88" t="s">
        <v>459</v>
      </c>
      <c r="L88">
        <v>1368</v>
      </c>
      <c r="N88">
        <v>1011</v>
      </c>
      <c r="O88" t="s">
        <v>444</v>
      </c>
      <c r="P88" t="s">
        <v>444</v>
      </c>
      <c r="Q88">
        <v>1</v>
      </c>
      <c r="X88">
        <v>0.02</v>
      </c>
      <c r="Y88">
        <v>0</v>
      </c>
      <c r="Z88">
        <v>179.17</v>
      </c>
      <c r="AA88">
        <v>16.93</v>
      </c>
      <c r="AB88">
        <v>0</v>
      </c>
      <c r="AC88">
        <v>0</v>
      </c>
      <c r="AD88">
        <v>1</v>
      </c>
      <c r="AE88">
        <v>0</v>
      </c>
      <c r="AF88" t="s">
        <v>22</v>
      </c>
      <c r="AG88">
        <v>2.2000000000000002E-2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ROW(Source!A59)</f>
        <v>59</v>
      </c>
      <c r="B89">
        <v>56612044</v>
      </c>
      <c r="C89">
        <v>56612036</v>
      </c>
      <c r="D89">
        <v>30390462</v>
      </c>
      <c r="E89">
        <v>1</v>
      </c>
      <c r="F89">
        <v>1</v>
      </c>
      <c r="G89">
        <v>27786564</v>
      </c>
      <c r="H89">
        <v>3</v>
      </c>
      <c r="I89" t="s">
        <v>504</v>
      </c>
      <c r="J89" t="s">
        <v>505</v>
      </c>
      <c r="K89" t="s">
        <v>506</v>
      </c>
      <c r="L89">
        <v>1346</v>
      </c>
      <c r="N89">
        <v>1009</v>
      </c>
      <c r="O89" t="s">
        <v>104</v>
      </c>
      <c r="P89" t="s">
        <v>104</v>
      </c>
      <c r="Q89">
        <v>1</v>
      </c>
      <c r="X89">
        <v>0.8</v>
      </c>
      <c r="Y89">
        <v>1.61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3</v>
      </c>
      <c r="AG89">
        <v>0.8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ROW(Source!A59)</f>
        <v>59</v>
      </c>
      <c r="B90">
        <v>56612045</v>
      </c>
      <c r="C90">
        <v>56612036</v>
      </c>
      <c r="D90">
        <v>46723638</v>
      </c>
      <c r="E90">
        <v>1</v>
      </c>
      <c r="F90">
        <v>1</v>
      </c>
      <c r="G90">
        <v>27786564</v>
      </c>
      <c r="H90">
        <v>3</v>
      </c>
      <c r="I90" t="s">
        <v>546</v>
      </c>
      <c r="J90" t="s">
        <v>547</v>
      </c>
      <c r="K90" t="s">
        <v>548</v>
      </c>
      <c r="L90">
        <v>1327</v>
      </c>
      <c r="N90">
        <v>1005</v>
      </c>
      <c r="O90" t="s">
        <v>510</v>
      </c>
      <c r="P90" t="s">
        <v>510</v>
      </c>
      <c r="Q90">
        <v>1</v>
      </c>
      <c r="X90">
        <v>140</v>
      </c>
      <c r="Y90">
        <v>3.66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140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ROW(Source!A59)</f>
        <v>59</v>
      </c>
      <c r="B91">
        <v>56612046</v>
      </c>
      <c r="C91">
        <v>56612036</v>
      </c>
      <c r="D91">
        <v>46723721</v>
      </c>
      <c r="E91">
        <v>1</v>
      </c>
      <c r="F91">
        <v>1</v>
      </c>
      <c r="G91">
        <v>27786564</v>
      </c>
      <c r="H91">
        <v>3</v>
      </c>
      <c r="I91" t="s">
        <v>549</v>
      </c>
      <c r="J91" t="s">
        <v>550</v>
      </c>
      <c r="K91" t="s">
        <v>551</v>
      </c>
      <c r="L91">
        <v>1348</v>
      </c>
      <c r="N91">
        <v>1009</v>
      </c>
      <c r="O91" t="s">
        <v>330</v>
      </c>
      <c r="P91" t="s">
        <v>330</v>
      </c>
      <c r="Q91">
        <v>1000</v>
      </c>
      <c r="X91">
        <v>2.0000000000000001E-4</v>
      </c>
      <c r="Y91">
        <v>13609.41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2.0000000000000001E-4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ROW(Source!A59)</f>
        <v>59</v>
      </c>
      <c r="B92">
        <v>56612047</v>
      </c>
      <c r="C92">
        <v>56612036</v>
      </c>
      <c r="D92">
        <v>30386407</v>
      </c>
      <c r="E92">
        <v>27786564</v>
      </c>
      <c r="F92">
        <v>1</v>
      </c>
      <c r="G92">
        <v>27786564</v>
      </c>
      <c r="H92">
        <v>3</v>
      </c>
      <c r="I92" t="s">
        <v>552</v>
      </c>
      <c r="J92" t="s">
        <v>3</v>
      </c>
      <c r="K92" t="s">
        <v>553</v>
      </c>
      <c r="L92">
        <v>1348</v>
      </c>
      <c r="N92">
        <v>1009</v>
      </c>
      <c r="O92" t="s">
        <v>330</v>
      </c>
      <c r="P92" t="s">
        <v>330</v>
      </c>
      <c r="Q92">
        <v>1000</v>
      </c>
      <c r="X92">
        <v>0.1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</v>
      </c>
      <c r="AG92">
        <v>0.1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ROW(Source!A97)</f>
        <v>97</v>
      </c>
      <c r="B93">
        <v>56612061</v>
      </c>
      <c r="C93">
        <v>56612049</v>
      </c>
      <c r="D93">
        <v>47634407</v>
      </c>
      <c r="E93">
        <v>27786564</v>
      </c>
      <c r="F93">
        <v>1</v>
      </c>
      <c r="G93">
        <v>27786564</v>
      </c>
      <c r="H93">
        <v>1</v>
      </c>
      <c r="I93" t="s">
        <v>438</v>
      </c>
      <c r="J93" t="s">
        <v>3</v>
      </c>
      <c r="K93" t="s">
        <v>439</v>
      </c>
      <c r="L93">
        <v>1191</v>
      </c>
      <c r="N93">
        <v>1013</v>
      </c>
      <c r="O93" t="s">
        <v>440</v>
      </c>
      <c r="P93" t="s">
        <v>440</v>
      </c>
      <c r="Q93">
        <v>1</v>
      </c>
      <c r="X93">
        <v>15.8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70</v>
      </c>
      <c r="AG93">
        <v>20.856000000000002</v>
      </c>
      <c r="AH93">
        <v>2</v>
      </c>
      <c r="AI93">
        <v>56612050</v>
      </c>
      <c r="AJ93">
        <v>57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ROW(Source!A97)</f>
        <v>97</v>
      </c>
      <c r="B94">
        <v>56612062</v>
      </c>
      <c r="C94">
        <v>56612049</v>
      </c>
      <c r="D94">
        <v>47767106</v>
      </c>
      <c r="E94">
        <v>1</v>
      </c>
      <c r="F94">
        <v>1</v>
      </c>
      <c r="G94">
        <v>27786564</v>
      </c>
      <c r="H94">
        <v>2</v>
      </c>
      <c r="I94" t="s">
        <v>460</v>
      </c>
      <c r="J94" t="s">
        <v>461</v>
      </c>
      <c r="K94" t="s">
        <v>462</v>
      </c>
      <c r="L94">
        <v>1368</v>
      </c>
      <c r="N94">
        <v>1011</v>
      </c>
      <c r="O94" t="s">
        <v>444</v>
      </c>
      <c r="P94" t="s">
        <v>444</v>
      </c>
      <c r="Q94">
        <v>1</v>
      </c>
      <c r="X94">
        <v>0.51</v>
      </c>
      <c r="Y94">
        <v>0</v>
      </c>
      <c r="Z94">
        <v>83.1</v>
      </c>
      <c r="AA94">
        <v>12.62</v>
      </c>
      <c r="AB94">
        <v>0</v>
      </c>
      <c r="AC94">
        <v>0</v>
      </c>
      <c r="AD94">
        <v>1</v>
      </c>
      <c r="AE94">
        <v>0</v>
      </c>
      <c r="AF94" t="s">
        <v>70</v>
      </c>
      <c r="AG94">
        <v>0.67320000000000002</v>
      </c>
      <c r="AH94">
        <v>2</v>
      </c>
      <c r="AI94">
        <v>56612051</v>
      </c>
      <c r="AJ94">
        <v>58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ROW(Source!A97)</f>
        <v>97</v>
      </c>
      <c r="B95">
        <v>56612063</v>
      </c>
      <c r="C95">
        <v>56612049</v>
      </c>
      <c r="D95">
        <v>47766535</v>
      </c>
      <c r="E95">
        <v>1</v>
      </c>
      <c r="F95">
        <v>1</v>
      </c>
      <c r="G95">
        <v>27786564</v>
      </c>
      <c r="H95">
        <v>2</v>
      </c>
      <c r="I95" t="s">
        <v>463</v>
      </c>
      <c r="J95" t="s">
        <v>464</v>
      </c>
      <c r="K95" t="s">
        <v>465</v>
      </c>
      <c r="L95">
        <v>1368</v>
      </c>
      <c r="N95">
        <v>1011</v>
      </c>
      <c r="O95" t="s">
        <v>444</v>
      </c>
      <c r="P95" t="s">
        <v>444</v>
      </c>
      <c r="Q95">
        <v>1</v>
      </c>
      <c r="X95">
        <v>3.41</v>
      </c>
      <c r="Y95">
        <v>0</v>
      </c>
      <c r="Z95">
        <v>2.27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70</v>
      </c>
      <c r="AG95">
        <v>4.5011999999999999</v>
      </c>
      <c r="AH95">
        <v>2</v>
      </c>
      <c r="AI95">
        <v>56612052</v>
      </c>
      <c r="AJ95">
        <v>59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ROW(Source!A97)</f>
        <v>97</v>
      </c>
      <c r="B96">
        <v>56612064</v>
      </c>
      <c r="C96">
        <v>56612049</v>
      </c>
      <c r="D96">
        <v>47766545</v>
      </c>
      <c r="E96">
        <v>1</v>
      </c>
      <c r="F96">
        <v>1</v>
      </c>
      <c r="G96">
        <v>27786564</v>
      </c>
      <c r="H96">
        <v>2</v>
      </c>
      <c r="I96" t="s">
        <v>466</v>
      </c>
      <c r="J96" t="s">
        <v>467</v>
      </c>
      <c r="K96" t="s">
        <v>468</v>
      </c>
      <c r="L96">
        <v>1368</v>
      </c>
      <c r="N96">
        <v>1011</v>
      </c>
      <c r="O96" t="s">
        <v>444</v>
      </c>
      <c r="P96" t="s">
        <v>444</v>
      </c>
      <c r="Q96">
        <v>1</v>
      </c>
      <c r="X96">
        <v>3.67</v>
      </c>
      <c r="Y96">
        <v>0</v>
      </c>
      <c r="Z96">
        <v>0.73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70</v>
      </c>
      <c r="AG96">
        <v>4.8443999999999994</v>
      </c>
      <c r="AH96">
        <v>2</v>
      </c>
      <c r="AI96">
        <v>56612053</v>
      </c>
      <c r="AJ96">
        <v>60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ROW(Source!A97)</f>
        <v>97</v>
      </c>
      <c r="B97">
        <v>56612065</v>
      </c>
      <c r="C97">
        <v>56612049</v>
      </c>
      <c r="D97">
        <v>46723498</v>
      </c>
      <c r="E97">
        <v>1</v>
      </c>
      <c r="F97">
        <v>1</v>
      </c>
      <c r="G97">
        <v>27786564</v>
      </c>
      <c r="H97">
        <v>3</v>
      </c>
      <c r="I97" t="s">
        <v>469</v>
      </c>
      <c r="J97" t="s">
        <v>470</v>
      </c>
      <c r="K97" t="s">
        <v>471</v>
      </c>
      <c r="L97">
        <v>1348</v>
      </c>
      <c r="N97">
        <v>1009</v>
      </c>
      <c r="O97" t="s">
        <v>330</v>
      </c>
      <c r="P97" t="s">
        <v>330</v>
      </c>
      <c r="Q97">
        <v>1000</v>
      </c>
      <c r="X97">
        <v>6.0000000000000002E-5</v>
      </c>
      <c r="Y97">
        <v>11242.42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42</v>
      </c>
      <c r="AG97">
        <v>6.0000000000000002E-5</v>
      </c>
      <c r="AH97">
        <v>2</v>
      </c>
      <c r="AI97">
        <v>56612054</v>
      </c>
      <c r="AJ97">
        <v>61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ROW(Source!A97)</f>
        <v>97</v>
      </c>
      <c r="B98">
        <v>56612066</v>
      </c>
      <c r="C98">
        <v>56612049</v>
      </c>
      <c r="D98">
        <v>45796980</v>
      </c>
      <c r="E98">
        <v>1</v>
      </c>
      <c r="F98">
        <v>1</v>
      </c>
      <c r="G98">
        <v>27786564</v>
      </c>
      <c r="H98">
        <v>3</v>
      </c>
      <c r="I98" t="s">
        <v>472</v>
      </c>
      <c r="J98" t="s">
        <v>473</v>
      </c>
      <c r="K98" t="s">
        <v>474</v>
      </c>
      <c r="L98">
        <v>1346</v>
      </c>
      <c r="N98">
        <v>1009</v>
      </c>
      <c r="O98" t="s">
        <v>104</v>
      </c>
      <c r="P98" t="s">
        <v>104</v>
      </c>
      <c r="Q98">
        <v>1</v>
      </c>
      <c r="X98">
        <v>0.8</v>
      </c>
      <c r="Y98">
        <v>25.8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42</v>
      </c>
      <c r="AG98">
        <v>0.8</v>
      </c>
      <c r="AH98">
        <v>2</v>
      </c>
      <c r="AI98">
        <v>56612055</v>
      </c>
      <c r="AJ98">
        <v>62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ROW(Source!A97)</f>
        <v>97</v>
      </c>
      <c r="B99">
        <v>56612067</v>
      </c>
      <c r="C99">
        <v>56612049</v>
      </c>
      <c r="D99">
        <v>46723689</v>
      </c>
      <c r="E99">
        <v>1</v>
      </c>
      <c r="F99">
        <v>1</v>
      </c>
      <c r="G99">
        <v>27786564</v>
      </c>
      <c r="H99">
        <v>3</v>
      </c>
      <c r="I99" t="s">
        <v>475</v>
      </c>
      <c r="J99" t="s">
        <v>476</v>
      </c>
      <c r="K99" t="s">
        <v>477</v>
      </c>
      <c r="L99">
        <v>1348</v>
      </c>
      <c r="N99">
        <v>1009</v>
      </c>
      <c r="O99" t="s">
        <v>330</v>
      </c>
      <c r="P99" t="s">
        <v>330</v>
      </c>
      <c r="Q99">
        <v>1000</v>
      </c>
      <c r="X99">
        <v>5.0000000000000001E-4</v>
      </c>
      <c r="Y99">
        <v>60966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42</v>
      </c>
      <c r="AG99">
        <v>5.0000000000000001E-4</v>
      </c>
      <c r="AH99">
        <v>2</v>
      </c>
      <c r="AI99">
        <v>56612056</v>
      </c>
      <c r="AJ99">
        <v>63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ROW(Source!A97)</f>
        <v>97</v>
      </c>
      <c r="B100">
        <v>56612068</v>
      </c>
      <c r="C100">
        <v>56612049</v>
      </c>
      <c r="D100">
        <v>46723704</v>
      </c>
      <c r="E100">
        <v>1</v>
      </c>
      <c r="F100">
        <v>1</v>
      </c>
      <c r="G100">
        <v>27786564</v>
      </c>
      <c r="H100">
        <v>3</v>
      </c>
      <c r="I100" t="s">
        <v>478</v>
      </c>
      <c r="J100" t="s">
        <v>479</v>
      </c>
      <c r="K100" t="s">
        <v>480</v>
      </c>
      <c r="L100">
        <v>1348</v>
      </c>
      <c r="N100">
        <v>1009</v>
      </c>
      <c r="O100" t="s">
        <v>330</v>
      </c>
      <c r="P100" t="s">
        <v>330</v>
      </c>
      <c r="Q100">
        <v>1000</v>
      </c>
      <c r="X100">
        <v>4.0000000000000003E-5</v>
      </c>
      <c r="Y100">
        <v>7982.5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42</v>
      </c>
      <c r="AG100">
        <v>4.0000000000000003E-5</v>
      </c>
      <c r="AH100">
        <v>2</v>
      </c>
      <c r="AI100">
        <v>56612057</v>
      </c>
      <c r="AJ100">
        <v>64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ROW(Source!A97)</f>
        <v>97</v>
      </c>
      <c r="B101">
        <v>56612069</v>
      </c>
      <c r="C101">
        <v>56612049</v>
      </c>
      <c r="D101">
        <v>46735845</v>
      </c>
      <c r="E101">
        <v>1</v>
      </c>
      <c r="F101">
        <v>1</v>
      </c>
      <c r="G101">
        <v>27786564</v>
      </c>
      <c r="H101">
        <v>3</v>
      </c>
      <c r="I101" t="s">
        <v>481</v>
      </c>
      <c r="J101" t="s">
        <v>554</v>
      </c>
      <c r="K101" t="s">
        <v>483</v>
      </c>
      <c r="L101">
        <v>1356</v>
      </c>
      <c r="N101">
        <v>1010</v>
      </c>
      <c r="O101" t="s">
        <v>484</v>
      </c>
      <c r="P101" t="s">
        <v>484</v>
      </c>
      <c r="Q101">
        <v>1000</v>
      </c>
      <c r="X101">
        <v>4.0999999999999999E-4</v>
      </c>
      <c r="Y101">
        <v>226.68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42</v>
      </c>
      <c r="AG101">
        <v>4.0999999999999999E-4</v>
      </c>
      <c r="AH101">
        <v>2</v>
      </c>
      <c r="AI101">
        <v>56612058</v>
      </c>
      <c r="AJ101">
        <v>65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ROW(Source!A97)</f>
        <v>97</v>
      </c>
      <c r="B102">
        <v>56612070</v>
      </c>
      <c r="C102">
        <v>56612049</v>
      </c>
      <c r="D102">
        <v>46735506</v>
      </c>
      <c r="E102">
        <v>1</v>
      </c>
      <c r="F102">
        <v>1</v>
      </c>
      <c r="G102">
        <v>27786564</v>
      </c>
      <c r="H102">
        <v>3</v>
      </c>
      <c r="I102" t="s">
        <v>485</v>
      </c>
      <c r="J102" t="s">
        <v>486</v>
      </c>
      <c r="K102" t="s">
        <v>487</v>
      </c>
      <c r="L102">
        <v>1301</v>
      </c>
      <c r="N102">
        <v>1003</v>
      </c>
      <c r="O102" t="s">
        <v>56</v>
      </c>
      <c r="P102" t="s">
        <v>56</v>
      </c>
      <c r="Q102">
        <v>1</v>
      </c>
      <c r="X102">
        <v>0.96</v>
      </c>
      <c r="Y102">
        <v>0.7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42</v>
      </c>
      <c r="AG102">
        <v>0.96</v>
      </c>
      <c r="AH102">
        <v>2</v>
      </c>
      <c r="AI102">
        <v>56612059</v>
      </c>
      <c r="AJ102">
        <v>66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ROW(Source!A97)</f>
        <v>97</v>
      </c>
      <c r="B103">
        <v>56612071</v>
      </c>
      <c r="C103">
        <v>56612049</v>
      </c>
      <c r="D103">
        <v>46735508</v>
      </c>
      <c r="E103">
        <v>1</v>
      </c>
      <c r="F103">
        <v>1</v>
      </c>
      <c r="G103">
        <v>27786564</v>
      </c>
      <c r="H103">
        <v>3</v>
      </c>
      <c r="I103" t="s">
        <v>488</v>
      </c>
      <c r="J103" t="s">
        <v>489</v>
      </c>
      <c r="K103" t="s">
        <v>490</v>
      </c>
      <c r="L103">
        <v>1356</v>
      </c>
      <c r="N103">
        <v>1010</v>
      </c>
      <c r="O103" t="s">
        <v>484</v>
      </c>
      <c r="P103" t="s">
        <v>484</v>
      </c>
      <c r="Q103">
        <v>1000</v>
      </c>
      <c r="X103">
        <v>8.3199999999999993E-3</v>
      </c>
      <c r="Y103">
        <v>6.44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42</v>
      </c>
      <c r="AG103">
        <v>8.3199999999999993E-3</v>
      </c>
      <c r="AH103">
        <v>2</v>
      </c>
      <c r="AI103">
        <v>56612060</v>
      </c>
      <c r="AJ103">
        <v>67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ROW(Source!A97)</f>
        <v>97</v>
      </c>
      <c r="B104">
        <v>56612072</v>
      </c>
      <c r="C104">
        <v>56612049</v>
      </c>
      <c r="D104">
        <v>49717618</v>
      </c>
      <c r="E104">
        <v>27786564</v>
      </c>
      <c r="F104">
        <v>1</v>
      </c>
      <c r="G104">
        <v>27786564</v>
      </c>
      <c r="H104">
        <v>3</v>
      </c>
      <c r="I104" t="s">
        <v>555</v>
      </c>
      <c r="J104" t="s">
        <v>3</v>
      </c>
      <c r="K104" t="s">
        <v>556</v>
      </c>
      <c r="L104">
        <v>1303</v>
      </c>
      <c r="N104">
        <v>1003</v>
      </c>
      <c r="O104" t="s">
        <v>178</v>
      </c>
      <c r="P104" t="s">
        <v>178</v>
      </c>
      <c r="Q104">
        <v>1000</v>
      </c>
      <c r="X104">
        <v>0.10199999999999999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42</v>
      </c>
      <c r="AG104">
        <v>0.10199999999999999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ROW(Source!A97)</f>
        <v>97</v>
      </c>
      <c r="B105">
        <v>56612073</v>
      </c>
      <c r="C105">
        <v>56612049</v>
      </c>
      <c r="D105">
        <v>46556476</v>
      </c>
      <c r="E105">
        <v>27786564</v>
      </c>
      <c r="F105">
        <v>1</v>
      </c>
      <c r="G105">
        <v>27786564</v>
      </c>
      <c r="H105">
        <v>3</v>
      </c>
      <c r="I105" t="s">
        <v>557</v>
      </c>
      <c r="J105" t="s">
        <v>3</v>
      </c>
      <c r="K105" t="s">
        <v>558</v>
      </c>
      <c r="L105">
        <v>1354</v>
      </c>
      <c r="N105">
        <v>1010</v>
      </c>
      <c r="O105" t="s">
        <v>93</v>
      </c>
      <c r="P105" t="s">
        <v>93</v>
      </c>
      <c r="Q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42</v>
      </c>
      <c r="AG105">
        <v>0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ROW(Source!A98)</f>
        <v>98</v>
      </c>
      <c r="B106">
        <v>56612061</v>
      </c>
      <c r="C106">
        <v>56612049</v>
      </c>
      <c r="D106">
        <v>47634407</v>
      </c>
      <c r="E106">
        <v>27786564</v>
      </c>
      <c r="F106">
        <v>1</v>
      </c>
      <c r="G106">
        <v>27786564</v>
      </c>
      <c r="H106">
        <v>1</v>
      </c>
      <c r="I106" t="s">
        <v>438</v>
      </c>
      <c r="J106" t="s">
        <v>3</v>
      </c>
      <c r="K106" t="s">
        <v>439</v>
      </c>
      <c r="L106">
        <v>1191</v>
      </c>
      <c r="N106">
        <v>1013</v>
      </c>
      <c r="O106" t="s">
        <v>440</v>
      </c>
      <c r="P106" t="s">
        <v>440</v>
      </c>
      <c r="Q106">
        <v>1</v>
      </c>
      <c r="X106">
        <v>15.8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 t="s">
        <v>70</v>
      </c>
      <c r="AG106">
        <v>20.856000000000002</v>
      </c>
      <c r="AH106">
        <v>2</v>
      </c>
      <c r="AI106">
        <v>56612050</v>
      </c>
      <c r="AJ106">
        <v>68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ROW(Source!A98)</f>
        <v>98</v>
      </c>
      <c r="B107">
        <v>56612062</v>
      </c>
      <c r="C107">
        <v>56612049</v>
      </c>
      <c r="D107">
        <v>47767106</v>
      </c>
      <c r="E107">
        <v>1</v>
      </c>
      <c r="F107">
        <v>1</v>
      </c>
      <c r="G107">
        <v>27786564</v>
      </c>
      <c r="H107">
        <v>2</v>
      </c>
      <c r="I107" t="s">
        <v>460</v>
      </c>
      <c r="J107" t="s">
        <v>461</v>
      </c>
      <c r="K107" t="s">
        <v>462</v>
      </c>
      <c r="L107">
        <v>1368</v>
      </c>
      <c r="N107">
        <v>1011</v>
      </c>
      <c r="O107" t="s">
        <v>444</v>
      </c>
      <c r="P107" t="s">
        <v>444</v>
      </c>
      <c r="Q107">
        <v>1</v>
      </c>
      <c r="X107">
        <v>0.51</v>
      </c>
      <c r="Y107">
        <v>0</v>
      </c>
      <c r="Z107">
        <v>83.1</v>
      </c>
      <c r="AA107">
        <v>12.62</v>
      </c>
      <c r="AB107">
        <v>0</v>
      </c>
      <c r="AC107">
        <v>0</v>
      </c>
      <c r="AD107">
        <v>1</v>
      </c>
      <c r="AE107">
        <v>0</v>
      </c>
      <c r="AF107" t="s">
        <v>70</v>
      </c>
      <c r="AG107">
        <v>0.67320000000000002</v>
      </c>
      <c r="AH107">
        <v>2</v>
      </c>
      <c r="AI107">
        <v>56612051</v>
      </c>
      <c r="AJ107">
        <v>69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ROW(Source!A98)</f>
        <v>98</v>
      </c>
      <c r="B108">
        <v>56612063</v>
      </c>
      <c r="C108">
        <v>56612049</v>
      </c>
      <c r="D108">
        <v>47766535</v>
      </c>
      <c r="E108">
        <v>1</v>
      </c>
      <c r="F108">
        <v>1</v>
      </c>
      <c r="G108">
        <v>27786564</v>
      </c>
      <c r="H108">
        <v>2</v>
      </c>
      <c r="I108" t="s">
        <v>463</v>
      </c>
      <c r="J108" t="s">
        <v>464</v>
      </c>
      <c r="K108" t="s">
        <v>465</v>
      </c>
      <c r="L108">
        <v>1368</v>
      </c>
      <c r="N108">
        <v>1011</v>
      </c>
      <c r="O108" t="s">
        <v>444</v>
      </c>
      <c r="P108" t="s">
        <v>444</v>
      </c>
      <c r="Q108">
        <v>1</v>
      </c>
      <c r="X108">
        <v>3.41</v>
      </c>
      <c r="Y108">
        <v>0</v>
      </c>
      <c r="Z108">
        <v>2.27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70</v>
      </c>
      <c r="AG108">
        <v>4.5011999999999999</v>
      </c>
      <c r="AH108">
        <v>2</v>
      </c>
      <c r="AI108">
        <v>56612052</v>
      </c>
      <c r="AJ108">
        <v>70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ROW(Source!A98)</f>
        <v>98</v>
      </c>
      <c r="B109">
        <v>56612064</v>
      </c>
      <c r="C109">
        <v>56612049</v>
      </c>
      <c r="D109">
        <v>47766545</v>
      </c>
      <c r="E109">
        <v>1</v>
      </c>
      <c r="F109">
        <v>1</v>
      </c>
      <c r="G109">
        <v>27786564</v>
      </c>
      <c r="H109">
        <v>2</v>
      </c>
      <c r="I109" t="s">
        <v>466</v>
      </c>
      <c r="J109" t="s">
        <v>467</v>
      </c>
      <c r="K109" t="s">
        <v>468</v>
      </c>
      <c r="L109">
        <v>1368</v>
      </c>
      <c r="N109">
        <v>1011</v>
      </c>
      <c r="O109" t="s">
        <v>444</v>
      </c>
      <c r="P109" t="s">
        <v>444</v>
      </c>
      <c r="Q109">
        <v>1</v>
      </c>
      <c r="X109">
        <v>3.67</v>
      </c>
      <c r="Y109">
        <v>0</v>
      </c>
      <c r="Z109">
        <v>0.73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70</v>
      </c>
      <c r="AG109">
        <v>4.8443999999999994</v>
      </c>
      <c r="AH109">
        <v>2</v>
      </c>
      <c r="AI109">
        <v>56612053</v>
      </c>
      <c r="AJ109">
        <v>71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ROW(Source!A98)</f>
        <v>98</v>
      </c>
      <c r="B110">
        <v>56612065</v>
      </c>
      <c r="C110">
        <v>56612049</v>
      </c>
      <c r="D110">
        <v>46723498</v>
      </c>
      <c r="E110">
        <v>1</v>
      </c>
      <c r="F110">
        <v>1</v>
      </c>
      <c r="G110">
        <v>27786564</v>
      </c>
      <c r="H110">
        <v>3</v>
      </c>
      <c r="I110" t="s">
        <v>469</v>
      </c>
      <c r="J110" t="s">
        <v>470</v>
      </c>
      <c r="K110" t="s">
        <v>471</v>
      </c>
      <c r="L110">
        <v>1348</v>
      </c>
      <c r="N110">
        <v>1009</v>
      </c>
      <c r="O110" t="s">
        <v>330</v>
      </c>
      <c r="P110" t="s">
        <v>330</v>
      </c>
      <c r="Q110">
        <v>1000</v>
      </c>
      <c r="X110">
        <v>6.0000000000000002E-5</v>
      </c>
      <c r="Y110">
        <v>11242.42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42</v>
      </c>
      <c r="AG110">
        <v>6.0000000000000002E-5</v>
      </c>
      <c r="AH110">
        <v>2</v>
      </c>
      <c r="AI110">
        <v>56612054</v>
      </c>
      <c r="AJ110">
        <v>72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ROW(Source!A98)</f>
        <v>98</v>
      </c>
      <c r="B111">
        <v>56612066</v>
      </c>
      <c r="C111">
        <v>56612049</v>
      </c>
      <c r="D111">
        <v>45796980</v>
      </c>
      <c r="E111">
        <v>1</v>
      </c>
      <c r="F111">
        <v>1</v>
      </c>
      <c r="G111">
        <v>27786564</v>
      </c>
      <c r="H111">
        <v>3</v>
      </c>
      <c r="I111" t="s">
        <v>472</v>
      </c>
      <c r="J111" t="s">
        <v>473</v>
      </c>
      <c r="K111" t="s">
        <v>474</v>
      </c>
      <c r="L111">
        <v>1346</v>
      </c>
      <c r="N111">
        <v>1009</v>
      </c>
      <c r="O111" t="s">
        <v>104</v>
      </c>
      <c r="P111" t="s">
        <v>104</v>
      </c>
      <c r="Q111">
        <v>1</v>
      </c>
      <c r="X111">
        <v>0.8</v>
      </c>
      <c r="Y111">
        <v>25.8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42</v>
      </c>
      <c r="AG111">
        <v>0.8</v>
      </c>
      <c r="AH111">
        <v>2</v>
      </c>
      <c r="AI111">
        <v>56612055</v>
      </c>
      <c r="AJ111">
        <v>73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ROW(Source!A98)</f>
        <v>98</v>
      </c>
      <c r="B112">
        <v>56612067</v>
      </c>
      <c r="C112">
        <v>56612049</v>
      </c>
      <c r="D112">
        <v>46723689</v>
      </c>
      <c r="E112">
        <v>1</v>
      </c>
      <c r="F112">
        <v>1</v>
      </c>
      <c r="G112">
        <v>27786564</v>
      </c>
      <c r="H112">
        <v>3</v>
      </c>
      <c r="I112" t="s">
        <v>475</v>
      </c>
      <c r="J112" t="s">
        <v>476</v>
      </c>
      <c r="K112" t="s">
        <v>477</v>
      </c>
      <c r="L112">
        <v>1348</v>
      </c>
      <c r="N112">
        <v>1009</v>
      </c>
      <c r="O112" t="s">
        <v>330</v>
      </c>
      <c r="P112" t="s">
        <v>330</v>
      </c>
      <c r="Q112">
        <v>1000</v>
      </c>
      <c r="X112">
        <v>5.0000000000000001E-4</v>
      </c>
      <c r="Y112">
        <v>60966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42</v>
      </c>
      <c r="AG112">
        <v>5.0000000000000001E-4</v>
      </c>
      <c r="AH112">
        <v>2</v>
      </c>
      <c r="AI112">
        <v>56612056</v>
      </c>
      <c r="AJ112">
        <v>74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ROW(Source!A98)</f>
        <v>98</v>
      </c>
      <c r="B113">
        <v>56612068</v>
      </c>
      <c r="C113">
        <v>56612049</v>
      </c>
      <c r="D113">
        <v>46723704</v>
      </c>
      <c r="E113">
        <v>1</v>
      </c>
      <c r="F113">
        <v>1</v>
      </c>
      <c r="G113">
        <v>27786564</v>
      </c>
      <c r="H113">
        <v>3</v>
      </c>
      <c r="I113" t="s">
        <v>478</v>
      </c>
      <c r="J113" t="s">
        <v>479</v>
      </c>
      <c r="K113" t="s">
        <v>480</v>
      </c>
      <c r="L113">
        <v>1348</v>
      </c>
      <c r="N113">
        <v>1009</v>
      </c>
      <c r="O113" t="s">
        <v>330</v>
      </c>
      <c r="P113" t="s">
        <v>330</v>
      </c>
      <c r="Q113">
        <v>1000</v>
      </c>
      <c r="X113">
        <v>4.0000000000000003E-5</v>
      </c>
      <c r="Y113">
        <v>7982.5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42</v>
      </c>
      <c r="AG113">
        <v>4.0000000000000003E-5</v>
      </c>
      <c r="AH113">
        <v>2</v>
      </c>
      <c r="AI113">
        <v>56612057</v>
      </c>
      <c r="AJ113">
        <v>75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ROW(Source!A98)</f>
        <v>98</v>
      </c>
      <c r="B114">
        <v>56612069</v>
      </c>
      <c r="C114">
        <v>56612049</v>
      </c>
      <c r="D114">
        <v>46735845</v>
      </c>
      <c r="E114">
        <v>1</v>
      </c>
      <c r="F114">
        <v>1</v>
      </c>
      <c r="G114">
        <v>27786564</v>
      </c>
      <c r="H114">
        <v>3</v>
      </c>
      <c r="I114" t="s">
        <v>481</v>
      </c>
      <c r="J114" t="s">
        <v>554</v>
      </c>
      <c r="K114" t="s">
        <v>483</v>
      </c>
      <c r="L114">
        <v>1356</v>
      </c>
      <c r="N114">
        <v>1010</v>
      </c>
      <c r="O114" t="s">
        <v>484</v>
      </c>
      <c r="P114" t="s">
        <v>484</v>
      </c>
      <c r="Q114">
        <v>1000</v>
      </c>
      <c r="X114">
        <v>4.0999999999999999E-4</v>
      </c>
      <c r="Y114">
        <v>226.68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42</v>
      </c>
      <c r="AG114">
        <v>4.0999999999999999E-4</v>
      </c>
      <c r="AH114">
        <v>2</v>
      </c>
      <c r="AI114">
        <v>56612058</v>
      </c>
      <c r="AJ114">
        <v>76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ROW(Source!A98)</f>
        <v>98</v>
      </c>
      <c r="B115">
        <v>56612070</v>
      </c>
      <c r="C115">
        <v>56612049</v>
      </c>
      <c r="D115">
        <v>46735506</v>
      </c>
      <c r="E115">
        <v>1</v>
      </c>
      <c r="F115">
        <v>1</v>
      </c>
      <c r="G115">
        <v>27786564</v>
      </c>
      <c r="H115">
        <v>3</v>
      </c>
      <c r="I115" t="s">
        <v>485</v>
      </c>
      <c r="J115" t="s">
        <v>486</v>
      </c>
      <c r="K115" t="s">
        <v>487</v>
      </c>
      <c r="L115">
        <v>1301</v>
      </c>
      <c r="N115">
        <v>1003</v>
      </c>
      <c r="O115" t="s">
        <v>56</v>
      </c>
      <c r="P115" t="s">
        <v>56</v>
      </c>
      <c r="Q115">
        <v>1</v>
      </c>
      <c r="X115">
        <v>0.96</v>
      </c>
      <c r="Y115">
        <v>0.7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42</v>
      </c>
      <c r="AG115">
        <v>0.96</v>
      </c>
      <c r="AH115">
        <v>2</v>
      </c>
      <c r="AI115">
        <v>56612059</v>
      </c>
      <c r="AJ115">
        <v>77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ROW(Source!A98)</f>
        <v>98</v>
      </c>
      <c r="B116">
        <v>56612071</v>
      </c>
      <c r="C116">
        <v>56612049</v>
      </c>
      <c r="D116">
        <v>46735508</v>
      </c>
      <c r="E116">
        <v>1</v>
      </c>
      <c r="F116">
        <v>1</v>
      </c>
      <c r="G116">
        <v>27786564</v>
      </c>
      <c r="H116">
        <v>3</v>
      </c>
      <c r="I116" t="s">
        <v>488</v>
      </c>
      <c r="J116" t="s">
        <v>489</v>
      </c>
      <c r="K116" t="s">
        <v>490</v>
      </c>
      <c r="L116">
        <v>1356</v>
      </c>
      <c r="N116">
        <v>1010</v>
      </c>
      <c r="O116" t="s">
        <v>484</v>
      </c>
      <c r="P116" t="s">
        <v>484</v>
      </c>
      <c r="Q116">
        <v>1000</v>
      </c>
      <c r="X116">
        <v>8.3199999999999993E-3</v>
      </c>
      <c r="Y116">
        <v>6.44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42</v>
      </c>
      <c r="AG116">
        <v>8.3199999999999993E-3</v>
      </c>
      <c r="AH116">
        <v>2</v>
      </c>
      <c r="AI116">
        <v>56612060</v>
      </c>
      <c r="AJ116">
        <v>78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ROW(Source!A98)</f>
        <v>98</v>
      </c>
      <c r="B117">
        <v>56612072</v>
      </c>
      <c r="C117">
        <v>56612049</v>
      </c>
      <c r="D117">
        <v>49717618</v>
      </c>
      <c r="E117">
        <v>27786564</v>
      </c>
      <c r="F117">
        <v>1</v>
      </c>
      <c r="G117">
        <v>27786564</v>
      </c>
      <c r="H117">
        <v>3</v>
      </c>
      <c r="I117" t="s">
        <v>555</v>
      </c>
      <c r="J117" t="s">
        <v>3</v>
      </c>
      <c r="K117" t="s">
        <v>556</v>
      </c>
      <c r="L117">
        <v>1303</v>
      </c>
      <c r="N117">
        <v>1003</v>
      </c>
      <c r="O117" t="s">
        <v>178</v>
      </c>
      <c r="P117" t="s">
        <v>178</v>
      </c>
      <c r="Q117">
        <v>1000</v>
      </c>
      <c r="X117">
        <v>0.10199999999999999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42</v>
      </c>
      <c r="AG117">
        <v>0.10199999999999999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ROW(Source!A98)</f>
        <v>98</v>
      </c>
      <c r="B118">
        <v>56612073</v>
      </c>
      <c r="C118">
        <v>56612049</v>
      </c>
      <c r="D118">
        <v>46556476</v>
      </c>
      <c r="E118">
        <v>27786564</v>
      </c>
      <c r="F118">
        <v>1</v>
      </c>
      <c r="G118">
        <v>27786564</v>
      </c>
      <c r="H118">
        <v>3</v>
      </c>
      <c r="I118" t="s">
        <v>557</v>
      </c>
      <c r="J118" t="s">
        <v>3</v>
      </c>
      <c r="K118" t="s">
        <v>558</v>
      </c>
      <c r="L118">
        <v>1354</v>
      </c>
      <c r="N118">
        <v>1010</v>
      </c>
      <c r="O118" t="s">
        <v>93</v>
      </c>
      <c r="P118" t="s">
        <v>93</v>
      </c>
      <c r="Q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42</v>
      </c>
      <c r="AG118">
        <v>0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ROW(Source!A99)</f>
        <v>99</v>
      </c>
      <c r="B119">
        <v>56612086</v>
      </c>
      <c r="C119">
        <v>56612074</v>
      </c>
      <c r="D119">
        <v>47634407</v>
      </c>
      <c r="E119">
        <v>27786564</v>
      </c>
      <c r="F119">
        <v>1</v>
      </c>
      <c r="G119">
        <v>27786564</v>
      </c>
      <c r="H119">
        <v>1</v>
      </c>
      <c r="I119" t="s">
        <v>438</v>
      </c>
      <c r="J119" t="s">
        <v>3</v>
      </c>
      <c r="K119" t="s">
        <v>439</v>
      </c>
      <c r="L119">
        <v>1191</v>
      </c>
      <c r="N119">
        <v>1013</v>
      </c>
      <c r="O119" t="s">
        <v>440</v>
      </c>
      <c r="P119" t="s">
        <v>440</v>
      </c>
      <c r="Q119">
        <v>1</v>
      </c>
      <c r="X119">
        <v>15.8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 t="s">
        <v>22</v>
      </c>
      <c r="AG119">
        <v>17.380000000000003</v>
      </c>
      <c r="AH119">
        <v>2</v>
      </c>
      <c r="AI119">
        <v>56612075</v>
      </c>
      <c r="AJ119">
        <v>79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ROW(Source!A99)</f>
        <v>99</v>
      </c>
      <c r="B120">
        <v>56612087</v>
      </c>
      <c r="C120">
        <v>56612074</v>
      </c>
      <c r="D120">
        <v>47767106</v>
      </c>
      <c r="E120">
        <v>1</v>
      </c>
      <c r="F120">
        <v>1</v>
      </c>
      <c r="G120">
        <v>27786564</v>
      </c>
      <c r="H120">
        <v>2</v>
      </c>
      <c r="I120" t="s">
        <v>460</v>
      </c>
      <c r="J120" t="s">
        <v>461</v>
      </c>
      <c r="K120" t="s">
        <v>462</v>
      </c>
      <c r="L120">
        <v>1368</v>
      </c>
      <c r="N120">
        <v>1011</v>
      </c>
      <c r="O120" t="s">
        <v>444</v>
      </c>
      <c r="P120" t="s">
        <v>444</v>
      </c>
      <c r="Q120">
        <v>1</v>
      </c>
      <c r="X120">
        <v>0.51</v>
      </c>
      <c r="Y120">
        <v>0</v>
      </c>
      <c r="Z120">
        <v>83.1</v>
      </c>
      <c r="AA120">
        <v>12.62</v>
      </c>
      <c r="AB120">
        <v>0</v>
      </c>
      <c r="AC120">
        <v>0</v>
      </c>
      <c r="AD120">
        <v>1</v>
      </c>
      <c r="AE120">
        <v>0</v>
      </c>
      <c r="AF120" t="s">
        <v>22</v>
      </c>
      <c r="AG120">
        <v>0.56100000000000005</v>
      </c>
      <c r="AH120">
        <v>2</v>
      </c>
      <c r="AI120">
        <v>56612076</v>
      </c>
      <c r="AJ120">
        <v>80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ROW(Source!A99)</f>
        <v>99</v>
      </c>
      <c r="B121">
        <v>56612088</v>
      </c>
      <c r="C121">
        <v>56612074</v>
      </c>
      <c r="D121">
        <v>47766535</v>
      </c>
      <c r="E121">
        <v>1</v>
      </c>
      <c r="F121">
        <v>1</v>
      </c>
      <c r="G121">
        <v>27786564</v>
      </c>
      <c r="H121">
        <v>2</v>
      </c>
      <c r="I121" t="s">
        <v>463</v>
      </c>
      <c r="J121" t="s">
        <v>464</v>
      </c>
      <c r="K121" t="s">
        <v>465</v>
      </c>
      <c r="L121">
        <v>1368</v>
      </c>
      <c r="N121">
        <v>1011</v>
      </c>
      <c r="O121" t="s">
        <v>444</v>
      </c>
      <c r="P121" t="s">
        <v>444</v>
      </c>
      <c r="Q121">
        <v>1</v>
      </c>
      <c r="X121">
        <v>3.41</v>
      </c>
      <c r="Y121">
        <v>0</v>
      </c>
      <c r="Z121">
        <v>2.27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22</v>
      </c>
      <c r="AG121">
        <v>3.7510000000000003</v>
      </c>
      <c r="AH121">
        <v>2</v>
      </c>
      <c r="AI121">
        <v>56612077</v>
      </c>
      <c r="AJ121">
        <v>81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ROW(Source!A99)</f>
        <v>99</v>
      </c>
      <c r="B122">
        <v>56612089</v>
      </c>
      <c r="C122">
        <v>56612074</v>
      </c>
      <c r="D122">
        <v>47766545</v>
      </c>
      <c r="E122">
        <v>1</v>
      </c>
      <c r="F122">
        <v>1</v>
      </c>
      <c r="G122">
        <v>27786564</v>
      </c>
      <c r="H122">
        <v>2</v>
      </c>
      <c r="I122" t="s">
        <v>466</v>
      </c>
      <c r="J122" t="s">
        <v>467</v>
      </c>
      <c r="K122" t="s">
        <v>468</v>
      </c>
      <c r="L122">
        <v>1368</v>
      </c>
      <c r="N122">
        <v>1011</v>
      </c>
      <c r="O122" t="s">
        <v>444</v>
      </c>
      <c r="P122" t="s">
        <v>444</v>
      </c>
      <c r="Q122">
        <v>1</v>
      </c>
      <c r="X122">
        <v>3.67</v>
      </c>
      <c r="Y122">
        <v>0</v>
      </c>
      <c r="Z122">
        <v>0.73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22</v>
      </c>
      <c r="AG122">
        <v>4.0369999999999999</v>
      </c>
      <c r="AH122">
        <v>2</v>
      </c>
      <c r="AI122">
        <v>56612078</v>
      </c>
      <c r="AJ122">
        <v>82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ROW(Source!A99)</f>
        <v>99</v>
      </c>
      <c r="B123">
        <v>56612090</v>
      </c>
      <c r="C123">
        <v>56612074</v>
      </c>
      <c r="D123">
        <v>46723498</v>
      </c>
      <c r="E123">
        <v>1</v>
      </c>
      <c r="F123">
        <v>1</v>
      </c>
      <c r="G123">
        <v>27786564</v>
      </c>
      <c r="H123">
        <v>3</v>
      </c>
      <c r="I123" t="s">
        <v>469</v>
      </c>
      <c r="J123" t="s">
        <v>470</v>
      </c>
      <c r="K123" t="s">
        <v>471</v>
      </c>
      <c r="L123">
        <v>1348</v>
      </c>
      <c r="N123">
        <v>1009</v>
      </c>
      <c r="O123" t="s">
        <v>330</v>
      </c>
      <c r="P123" t="s">
        <v>330</v>
      </c>
      <c r="Q123">
        <v>1000</v>
      </c>
      <c r="X123">
        <v>6.0000000000000002E-5</v>
      </c>
      <c r="Y123">
        <v>11242.42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6.0000000000000002E-5</v>
      </c>
      <c r="AH123">
        <v>2</v>
      </c>
      <c r="AI123">
        <v>56612079</v>
      </c>
      <c r="AJ123">
        <v>83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ROW(Source!A99)</f>
        <v>99</v>
      </c>
      <c r="B124">
        <v>56612091</v>
      </c>
      <c r="C124">
        <v>56612074</v>
      </c>
      <c r="D124">
        <v>45796980</v>
      </c>
      <c r="E124">
        <v>1</v>
      </c>
      <c r="F124">
        <v>1</v>
      </c>
      <c r="G124">
        <v>27786564</v>
      </c>
      <c r="H124">
        <v>3</v>
      </c>
      <c r="I124" t="s">
        <v>472</v>
      </c>
      <c r="J124" t="s">
        <v>473</v>
      </c>
      <c r="K124" t="s">
        <v>474</v>
      </c>
      <c r="L124">
        <v>1346</v>
      </c>
      <c r="N124">
        <v>1009</v>
      </c>
      <c r="O124" t="s">
        <v>104</v>
      </c>
      <c r="P124" t="s">
        <v>104</v>
      </c>
      <c r="Q124">
        <v>1</v>
      </c>
      <c r="X124">
        <v>0.8</v>
      </c>
      <c r="Y124">
        <v>25.8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0.8</v>
      </c>
      <c r="AH124">
        <v>2</v>
      </c>
      <c r="AI124">
        <v>56612080</v>
      </c>
      <c r="AJ124">
        <v>84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ROW(Source!A99)</f>
        <v>99</v>
      </c>
      <c r="B125">
        <v>56612092</v>
      </c>
      <c r="C125">
        <v>56612074</v>
      </c>
      <c r="D125">
        <v>46723689</v>
      </c>
      <c r="E125">
        <v>1</v>
      </c>
      <c r="F125">
        <v>1</v>
      </c>
      <c r="G125">
        <v>27786564</v>
      </c>
      <c r="H125">
        <v>3</v>
      </c>
      <c r="I125" t="s">
        <v>475</v>
      </c>
      <c r="J125" t="s">
        <v>476</v>
      </c>
      <c r="K125" t="s">
        <v>477</v>
      </c>
      <c r="L125">
        <v>1348</v>
      </c>
      <c r="N125">
        <v>1009</v>
      </c>
      <c r="O125" t="s">
        <v>330</v>
      </c>
      <c r="P125" t="s">
        <v>330</v>
      </c>
      <c r="Q125">
        <v>1000</v>
      </c>
      <c r="X125">
        <v>5.0000000000000001E-4</v>
      </c>
      <c r="Y125">
        <v>60966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5.0000000000000001E-4</v>
      </c>
      <c r="AH125">
        <v>2</v>
      </c>
      <c r="AI125">
        <v>56612081</v>
      </c>
      <c r="AJ125">
        <v>85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ROW(Source!A99)</f>
        <v>99</v>
      </c>
      <c r="B126">
        <v>56612093</v>
      </c>
      <c r="C126">
        <v>56612074</v>
      </c>
      <c r="D126">
        <v>46723704</v>
      </c>
      <c r="E126">
        <v>1</v>
      </c>
      <c r="F126">
        <v>1</v>
      </c>
      <c r="G126">
        <v>27786564</v>
      </c>
      <c r="H126">
        <v>3</v>
      </c>
      <c r="I126" t="s">
        <v>478</v>
      </c>
      <c r="J126" t="s">
        <v>479</v>
      </c>
      <c r="K126" t="s">
        <v>480</v>
      </c>
      <c r="L126">
        <v>1348</v>
      </c>
      <c r="N126">
        <v>1009</v>
      </c>
      <c r="O126" t="s">
        <v>330</v>
      </c>
      <c r="P126" t="s">
        <v>330</v>
      </c>
      <c r="Q126">
        <v>1000</v>
      </c>
      <c r="X126">
        <v>4.0000000000000003E-5</v>
      </c>
      <c r="Y126">
        <v>7982.5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</v>
      </c>
      <c r="AG126">
        <v>4.0000000000000003E-5</v>
      </c>
      <c r="AH126">
        <v>2</v>
      </c>
      <c r="AI126">
        <v>56612082</v>
      </c>
      <c r="AJ126">
        <v>86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ROW(Source!A99)</f>
        <v>99</v>
      </c>
      <c r="B127">
        <v>56612094</v>
      </c>
      <c r="C127">
        <v>56612074</v>
      </c>
      <c r="D127">
        <v>46735845</v>
      </c>
      <c r="E127">
        <v>1</v>
      </c>
      <c r="F127">
        <v>1</v>
      </c>
      <c r="G127">
        <v>27786564</v>
      </c>
      <c r="H127">
        <v>3</v>
      </c>
      <c r="I127" t="s">
        <v>481</v>
      </c>
      <c r="J127" t="s">
        <v>554</v>
      </c>
      <c r="K127" t="s">
        <v>483</v>
      </c>
      <c r="L127">
        <v>1356</v>
      </c>
      <c r="N127">
        <v>1010</v>
      </c>
      <c r="O127" t="s">
        <v>484</v>
      </c>
      <c r="P127" t="s">
        <v>484</v>
      </c>
      <c r="Q127">
        <v>1000</v>
      </c>
      <c r="X127">
        <v>4.0999999999999999E-4</v>
      </c>
      <c r="Y127">
        <v>226.68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4.0999999999999999E-4</v>
      </c>
      <c r="AH127">
        <v>2</v>
      </c>
      <c r="AI127">
        <v>56612083</v>
      </c>
      <c r="AJ127">
        <v>87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ROW(Source!A99)</f>
        <v>99</v>
      </c>
      <c r="B128">
        <v>56612095</v>
      </c>
      <c r="C128">
        <v>56612074</v>
      </c>
      <c r="D128">
        <v>46735506</v>
      </c>
      <c r="E128">
        <v>1</v>
      </c>
      <c r="F128">
        <v>1</v>
      </c>
      <c r="G128">
        <v>27786564</v>
      </c>
      <c r="H128">
        <v>3</v>
      </c>
      <c r="I128" t="s">
        <v>485</v>
      </c>
      <c r="J128" t="s">
        <v>486</v>
      </c>
      <c r="K128" t="s">
        <v>487</v>
      </c>
      <c r="L128">
        <v>1301</v>
      </c>
      <c r="N128">
        <v>1003</v>
      </c>
      <c r="O128" t="s">
        <v>56</v>
      </c>
      <c r="P128" t="s">
        <v>56</v>
      </c>
      <c r="Q128">
        <v>1</v>
      </c>
      <c r="X128">
        <v>0.96</v>
      </c>
      <c r="Y128">
        <v>0.7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0.96</v>
      </c>
      <c r="AH128">
        <v>2</v>
      </c>
      <c r="AI128">
        <v>56612084</v>
      </c>
      <c r="AJ128">
        <v>88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ROW(Source!A99)</f>
        <v>99</v>
      </c>
      <c r="B129">
        <v>56612096</v>
      </c>
      <c r="C129">
        <v>56612074</v>
      </c>
      <c r="D129">
        <v>46735508</v>
      </c>
      <c r="E129">
        <v>1</v>
      </c>
      <c r="F129">
        <v>1</v>
      </c>
      <c r="G129">
        <v>27786564</v>
      </c>
      <c r="H129">
        <v>3</v>
      </c>
      <c r="I129" t="s">
        <v>488</v>
      </c>
      <c r="J129" t="s">
        <v>489</v>
      </c>
      <c r="K129" t="s">
        <v>490</v>
      </c>
      <c r="L129">
        <v>1356</v>
      </c>
      <c r="N129">
        <v>1010</v>
      </c>
      <c r="O129" t="s">
        <v>484</v>
      </c>
      <c r="P129" t="s">
        <v>484</v>
      </c>
      <c r="Q129">
        <v>1000</v>
      </c>
      <c r="X129">
        <v>8.3199999999999993E-3</v>
      </c>
      <c r="Y129">
        <v>6.44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3</v>
      </c>
      <c r="AG129">
        <v>8.3199999999999993E-3</v>
      </c>
      <c r="AH129">
        <v>2</v>
      </c>
      <c r="AI129">
        <v>56612085</v>
      </c>
      <c r="AJ129">
        <v>89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ROW(Source!A99)</f>
        <v>99</v>
      </c>
      <c r="B130">
        <v>56612097</v>
      </c>
      <c r="C130">
        <v>56612074</v>
      </c>
      <c r="D130">
        <v>49717618</v>
      </c>
      <c r="E130">
        <v>27786564</v>
      </c>
      <c r="F130">
        <v>1</v>
      </c>
      <c r="G130">
        <v>27786564</v>
      </c>
      <c r="H130">
        <v>3</v>
      </c>
      <c r="I130" t="s">
        <v>555</v>
      </c>
      <c r="J130" t="s">
        <v>3</v>
      </c>
      <c r="K130" t="s">
        <v>556</v>
      </c>
      <c r="L130">
        <v>1303</v>
      </c>
      <c r="N130">
        <v>1003</v>
      </c>
      <c r="O130" t="s">
        <v>178</v>
      </c>
      <c r="P130" t="s">
        <v>178</v>
      </c>
      <c r="Q130">
        <v>1000</v>
      </c>
      <c r="X130">
        <v>0.10199999999999999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3</v>
      </c>
      <c r="AG130">
        <v>0.10199999999999999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ROW(Source!A99)</f>
        <v>99</v>
      </c>
      <c r="B131">
        <v>56612098</v>
      </c>
      <c r="C131">
        <v>56612074</v>
      </c>
      <c r="D131">
        <v>46556476</v>
      </c>
      <c r="E131">
        <v>27786564</v>
      </c>
      <c r="F131">
        <v>1</v>
      </c>
      <c r="G131">
        <v>27786564</v>
      </c>
      <c r="H131">
        <v>3</v>
      </c>
      <c r="I131" t="s">
        <v>557</v>
      </c>
      <c r="J131" t="s">
        <v>3</v>
      </c>
      <c r="K131" t="s">
        <v>558</v>
      </c>
      <c r="L131">
        <v>1354</v>
      </c>
      <c r="N131">
        <v>1010</v>
      </c>
      <c r="O131" t="s">
        <v>93</v>
      </c>
      <c r="P131" t="s">
        <v>93</v>
      </c>
      <c r="Q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3</v>
      </c>
      <c r="AG131">
        <v>0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ROW(Source!A100)</f>
        <v>100</v>
      </c>
      <c r="B132">
        <v>56612086</v>
      </c>
      <c r="C132">
        <v>56612074</v>
      </c>
      <c r="D132">
        <v>47634407</v>
      </c>
      <c r="E132">
        <v>27786564</v>
      </c>
      <c r="F132">
        <v>1</v>
      </c>
      <c r="G132">
        <v>27786564</v>
      </c>
      <c r="H132">
        <v>1</v>
      </c>
      <c r="I132" t="s">
        <v>438</v>
      </c>
      <c r="J132" t="s">
        <v>3</v>
      </c>
      <c r="K132" t="s">
        <v>439</v>
      </c>
      <c r="L132">
        <v>1191</v>
      </c>
      <c r="N132">
        <v>1013</v>
      </c>
      <c r="O132" t="s">
        <v>440</v>
      </c>
      <c r="P132" t="s">
        <v>440</v>
      </c>
      <c r="Q132">
        <v>1</v>
      </c>
      <c r="X132">
        <v>15.8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 t="s">
        <v>22</v>
      </c>
      <c r="AG132">
        <v>17.380000000000003</v>
      </c>
      <c r="AH132">
        <v>2</v>
      </c>
      <c r="AI132">
        <v>56612075</v>
      </c>
      <c r="AJ132">
        <v>90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ROW(Source!A100)</f>
        <v>100</v>
      </c>
      <c r="B133">
        <v>56612087</v>
      </c>
      <c r="C133">
        <v>56612074</v>
      </c>
      <c r="D133">
        <v>47767106</v>
      </c>
      <c r="E133">
        <v>1</v>
      </c>
      <c r="F133">
        <v>1</v>
      </c>
      <c r="G133">
        <v>27786564</v>
      </c>
      <c r="H133">
        <v>2</v>
      </c>
      <c r="I133" t="s">
        <v>460</v>
      </c>
      <c r="J133" t="s">
        <v>461</v>
      </c>
      <c r="K133" t="s">
        <v>462</v>
      </c>
      <c r="L133">
        <v>1368</v>
      </c>
      <c r="N133">
        <v>1011</v>
      </c>
      <c r="O133" t="s">
        <v>444</v>
      </c>
      <c r="P133" t="s">
        <v>444</v>
      </c>
      <c r="Q133">
        <v>1</v>
      </c>
      <c r="X133">
        <v>0.51</v>
      </c>
      <c r="Y133">
        <v>0</v>
      </c>
      <c r="Z133">
        <v>83.1</v>
      </c>
      <c r="AA133">
        <v>12.62</v>
      </c>
      <c r="AB133">
        <v>0</v>
      </c>
      <c r="AC133">
        <v>0</v>
      </c>
      <c r="AD133">
        <v>1</v>
      </c>
      <c r="AE133">
        <v>0</v>
      </c>
      <c r="AF133" t="s">
        <v>22</v>
      </c>
      <c r="AG133">
        <v>0.56100000000000005</v>
      </c>
      <c r="AH133">
        <v>2</v>
      </c>
      <c r="AI133">
        <v>56612076</v>
      </c>
      <c r="AJ133">
        <v>91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ROW(Source!A100)</f>
        <v>100</v>
      </c>
      <c r="B134">
        <v>56612088</v>
      </c>
      <c r="C134">
        <v>56612074</v>
      </c>
      <c r="D134">
        <v>47766535</v>
      </c>
      <c r="E134">
        <v>1</v>
      </c>
      <c r="F134">
        <v>1</v>
      </c>
      <c r="G134">
        <v>27786564</v>
      </c>
      <c r="H134">
        <v>2</v>
      </c>
      <c r="I134" t="s">
        <v>463</v>
      </c>
      <c r="J134" t="s">
        <v>464</v>
      </c>
      <c r="K134" t="s">
        <v>465</v>
      </c>
      <c r="L134">
        <v>1368</v>
      </c>
      <c r="N134">
        <v>1011</v>
      </c>
      <c r="O134" t="s">
        <v>444</v>
      </c>
      <c r="P134" t="s">
        <v>444</v>
      </c>
      <c r="Q134">
        <v>1</v>
      </c>
      <c r="X134">
        <v>3.41</v>
      </c>
      <c r="Y134">
        <v>0</v>
      </c>
      <c r="Z134">
        <v>2.27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22</v>
      </c>
      <c r="AG134">
        <v>3.7510000000000003</v>
      </c>
      <c r="AH134">
        <v>2</v>
      </c>
      <c r="AI134">
        <v>56612077</v>
      </c>
      <c r="AJ134">
        <v>92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ROW(Source!A100)</f>
        <v>100</v>
      </c>
      <c r="B135">
        <v>56612089</v>
      </c>
      <c r="C135">
        <v>56612074</v>
      </c>
      <c r="D135">
        <v>47766545</v>
      </c>
      <c r="E135">
        <v>1</v>
      </c>
      <c r="F135">
        <v>1</v>
      </c>
      <c r="G135">
        <v>27786564</v>
      </c>
      <c r="H135">
        <v>2</v>
      </c>
      <c r="I135" t="s">
        <v>466</v>
      </c>
      <c r="J135" t="s">
        <v>467</v>
      </c>
      <c r="K135" t="s">
        <v>468</v>
      </c>
      <c r="L135">
        <v>1368</v>
      </c>
      <c r="N135">
        <v>1011</v>
      </c>
      <c r="O135" t="s">
        <v>444</v>
      </c>
      <c r="P135" t="s">
        <v>444</v>
      </c>
      <c r="Q135">
        <v>1</v>
      </c>
      <c r="X135">
        <v>3.67</v>
      </c>
      <c r="Y135">
        <v>0</v>
      </c>
      <c r="Z135">
        <v>0.73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22</v>
      </c>
      <c r="AG135">
        <v>4.0369999999999999</v>
      </c>
      <c r="AH135">
        <v>2</v>
      </c>
      <c r="AI135">
        <v>56612078</v>
      </c>
      <c r="AJ135">
        <v>93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ROW(Source!A100)</f>
        <v>100</v>
      </c>
      <c r="B136">
        <v>56612090</v>
      </c>
      <c r="C136">
        <v>56612074</v>
      </c>
      <c r="D136">
        <v>46723498</v>
      </c>
      <c r="E136">
        <v>1</v>
      </c>
      <c r="F136">
        <v>1</v>
      </c>
      <c r="G136">
        <v>27786564</v>
      </c>
      <c r="H136">
        <v>3</v>
      </c>
      <c r="I136" t="s">
        <v>469</v>
      </c>
      <c r="J136" t="s">
        <v>470</v>
      </c>
      <c r="K136" t="s">
        <v>471</v>
      </c>
      <c r="L136">
        <v>1348</v>
      </c>
      <c r="N136">
        <v>1009</v>
      </c>
      <c r="O136" t="s">
        <v>330</v>
      </c>
      <c r="P136" t="s">
        <v>330</v>
      </c>
      <c r="Q136">
        <v>1000</v>
      </c>
      <c r="X136">
        <v>6.0000000000000002E-5</v>
      </c>
      <c r="Y136">
        <v>11242.42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</v>
      </c>
      <c r="AG136">
        <v>6.0000000000000002E-5</v>
      </c>
      <c r="AH136">
        <v>2</v>
      </c>
      <c r="AI136">
        <v>56612079</v>
      </c>
      <c r="AJ136">
        <v>94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ROW(Source!A100)</f>
        <v>100</v>
      </c>
      <c r="B137">
        <v>56612091</v>
      </c>
      <c r="C137">
        <v>56612074</v>
      </c>
      <c r="D137">
        <v>45796980</v>
      </c>
      <c r="E137">
        <v>1</v>
      </c>
      <c r="F137">
        <v>1</v>
      </c>
      <c r="G137">
        <v>27786564</v>
      </c>
      <c r="H137">
        <v>3</v>
      </c>
      <c r="I137" t="s">
        <v>472</v>
      </c>
      <c r="J137" t="s">
        <v>473</v>
      </c>
      <c r="K137" t="s">
        <v>474</v>
      </c>
      <c r="L137">
        <v>1346</v>
      </c>
      <c r="N137">
        <v>1009</v>
      </c>
      <c r="O137" t="s">
        <v>104</v>
      </c>
      <c r="P137" t="s">
        <v>104</v>
      </c>
      <c r="Q137">
        <v>1</v>
      </c>
      <c r="X137">
        <v>0.8</v>
      </c>
      <c r="Y137">
        <v>25.8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3</v>
      </c>
      <c r="AG137">
        <v>0.8</v>
      </c>
      <c r="AH137">
        <v>2</v>
      </c>
      <c r="AI137">
        <v>56612080</v>
      </c>
      <c r="AJ137">
        <v>95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ROW(Source!A100)</f>
        <v>100</v>
      </c>
      <c r="B138">
        <v>56612092</v>
      </c>
      <c r="C138">
        <v>56612074</v>
      </c>
      <c r="D138">
        <v>46723689</v>
      </c>
      <c r="E138">
        <v>1</v>
      </c>
      <c r="F138">
        <v>1</v>
      </c>
      <c r="G138">
        <v>27786564</v>
      </c>
      <c r="H138">
        <v>3</v>
      </c>
      <c r="I138" t="s">
        <v>475</v>
      </c>
      <c r="J138" t="s">
        <v>476</v>
      </c>
      <c r="K138" t="s">
        <v>477</v>
      </c>
      <c r="L138">
        <v>1348</v>
      </c>
      <c r="N138">
        <v>1009</v>
      </c>
      <c r="O138" t="s">
        <v>330</v>
      </c>
      <c r="P138" t="s">
        <v>330</v>
      </c>
      <c r="Q138">
        <v>1000</v>
      </c>
      <c r="X138">
        <v>5.0000000000000001E-4</v>
      </c>
      <c r="Y138">
        <v>60966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3</v>
      </c>
      <c r="AG138">
        <v>5.0000000000000001E-4</v>
      </c>
      <c r="AH138">
        <v>2</v>
      </c>
      <c r="AI138">
        <v>56612081</v>
      </c>
      <c r="AJ138">
        <v>96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ROW(Source!A100)</f>
        <v>100</v>
      </c>
      <c r="B139">
        <v>56612093</v>
      </c>
      <c r="C139">
        <v>56612074</v>
      </c>
      <c r="D139">
        <v>46723704</v>
      </c>
      <c r="E139">
        <v>1</v>
      </c>
      <c r="F139">
        <v>1</v>
      </c>
      <c r="G139">
        <v>27786564</v>
      </c>
      <c r="H139">
        <v>3</v>
      </c>
      <c r="I139" t="s">
        <v>478</v>
      </c>
      <c r="J139" t="s">
        <v>479</v>
      </c>
      <c r="K139" t="s">
        <v>480</v>
      </c>
      <c r="L139">
        <v>1348</v>
      </c>
      <c r="N139">
        <v>1009</v>
      </c>
      <c r="O139" t="s">
        <v>330</v>
      </c>
      <c r="P139" t="s">
        <v>330</v>
      </c>
      <c r="Q139">
        <v>1000</v>
      </c>
      <c r="X139">
        <v>4.0000000000000003E-5</v>
      </c>
      <c r="Y139">
        <v>7982.5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3</v>
      </c>
      <c r="AG139">
        <v>4.0000000000000003E-5</v>
      </c>
      <c r="AH139">
        <v>2</v>
      </c>
      <c r="AI139">
        <v>56612082</v>
      </c>
      <c r="AJ139">
        <v>97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ROW(Source!A100)</f>
        <v>100</v>
      </c>
      <c r="B140">
        <v>56612094</v>
      </c>
      <c r="C140">
        <v>56612074</v>
      </c>
      <c r="D140">
        <v>46735845</v>
      </c>
      <c r="E140">
        <v>1</v>
      </c>
      <c r="F140">
        <v>1</v>
      </c>
      <c r="G140">
        <v>27786564</v>
      </c>
      <c r="H140">
        <v>3</v>
      </c>
      <c r="I140" t="s">
        <v>481</v>
      </c>
      <c r="J140" t="s">
        <v>554</v>
      </c>
      <c r="K140" t="s">
        <v>483</v>
      </c>
      <c r="L140">
        <v>1356</v>
      </c>
      <c r="N140">
        <v>1010</v>
      </c>
      <c r="O140" t="s">
        <v>484</v>
      </c>
      <c r="P140" t="s">
        <v>484</v>
      </c>
      <c r="Q140">
        <v>1000</v>
      </c>
      <c r="X140">
        <v>4.0999999999999999E-4</v>
      </c>
      <c r="Y140">
        <v>226.68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4.0999999999999999E-4</v>
      </c>
      <c r="AH140">
        <v>2</v>
      </c>
      <c r="AI140">
        <v>56612083</v>
      </c>
      <c r="AJ140">
        <v>98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ROW(Source!A100)</f>
        <v>100</v>
      </c>
      <c r="B141">
        <v>56612095</v>
      </c>
      <c r="C141">
        <v>56612074</v>
      </c>
      <c r="D141">
        <v>46735506</v>
      </c>
      <c r="E141">
        <v>1</v>
      </c>
      <c r="F141">
        <v>1</v>
      </c>
      <c r="G141">
        <v>27786564</v>
      </c>
      <c r="H141">
        <v>3</v>
      </c>
      <c r="I141" t="s">
        <v>485</v>
      </c>
      <c r="J141" t="s">
        <v>486</v>
      </c>
      <c r="K141" t="s">
        <v>487</v>
      </c>
      <c r="L141">
        <v>1301</v>
      </c>
      <c r="N141">
        <v>1003</v>
      </c>
      <c r="O141" t="s">
        <v>56</v>
      </c>
      <c r="P141" t="s">
        <v>56</v>
      </c>
      <c r="Q141">
        <v>1</v>
      </c>
      <c r="X141">
        <v>0.96</v>
      </c>
      <c r="Y141">
        <v>0.7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0.96</v>
      </c>
      <c r="AH141">
        <v>2</v>
      </c>
      <c r="AI141">
        <v>56612084</v>
      </c>
      <c r="AJ141">
        <v>99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ROW(Source!A100)</f>
        <v>100</v>
      </c>
      <c r="B142">
        <v>56612096</v>
      </c>
      <c r="C142">
        <v>56612074</v>
      </c>
      <c r="D142">
        <v>46735508</v>
      </c>
      <c r="E142">
        <v>1</v>
      </c>
      <c r="F142">
        <v>1</v>
      </c>
      <c r="G142">
        <v>27786564</v>
      </c>
      <c r="H142">
        <v>3</v>
      </c>
      <c r="I142" t="s">
        <v>488</v>
      </c>
      <c r="J142" t="s">
        <v>489</v>
      </c>
      <c r="K142" t="s">
        <v>490</v>
      </c>
      <c r="L142">
        <v>1356</v>
      </c>
      <c r="N142">
        <v>1010</v>
      </c>
      <c r="O142" t="s">
        <v>484</v>
      </c>
      <c r="P142" t="s">
        <v>484</v>
      </c>
      <c r="Q142">
        <v>1000</v>
      </c>
      <c r="X142">
        <v>8.3199999999999993E-3</v>
      </c>
      <c r="Y142">
        <v>6.44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8.3199999999999993E-3</v>
      </c>
      <c r="AH142">
        <v>2</v>
      </c>
      <c r="AI142">
        <v>56612085</v>
      </c>
      <c r="AJ142">
        <v>100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ROW(Source!A100)</f>
        <v>100</v>
      </c>
      <c r="B143">
        <v>56612097</v>
      </c>
      <c r="C143">
        <v>56612074</v>
      </c>
      <c r="D143">
        <v>49717618</v>
      </c>
      <c r="E143">
        <v>27786564</v>
      </c>
      <c r="F143">
        <v>1</v>
      </c>
      <c r="G143">
        <v>27786564</v>
      </c>
      <c r="H143">
        <v>3</v>
      </c>
      <c r="I143" t="s">
        <v>555</v>
      </c>
      <c r="J143" t="s">
        <v>3</v>
      </c>
      <c r="K143" t="s">
        <v>556</v>
      </c>
      <c r="L143">
        <v>1303</v>
      </c>
      <c r="N143">
        <v>1003</v>
      </c>
      <c r="O143" t="s">
        <v>178</v>
      </c>
      <c r="P143" t="s">
        <v>178</v>
      </c>
      <c r="Q143">
        <v>1000</v>
      </c>
      <c r="X143">
        <v>0.10199999999999999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3</v>
      </c>
      <c r="AG143">
        <v>0.10199999999999999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ROW(Source!A100)</f>
        <v>100</v>
      </c>
      <c r="B144">
        <v>56612098</v>
      </c>
      <c r="C144">
        <v>56612074</v>
      </c>
      <c r="D144">
        <v>46556476</v>
      </c>
      <c r="E144">
        <v>27786564</v>
      </c>
      <c r="F144">
        <v>1</v>
      </c>
      <c r="G144">
        <v>27786564</v>
      </c>
      <c r="H144">
        <v>3</v>
      </c>
      <c r="I144" t="s">
        <v>557</v>
      </c>
      <c r="J144" t="s">
        <v>3</v>
      </c>
      <c r="K144" t="s">
        <v>558</v>
      </c>
      <c r="L144">
        <v>1354</v>
      </c>
      <c r="N144">
        <v>1010</v>
      </c>
      <c r="O144" t="s">
        <v>93</v>
      </c>
      <c r="P144" t="s">
        <v>93</v>
      </c>
      <c r="Q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3</v>
      </c>
      <c r="AG144">
        <v>0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ROW(Source!A101)</f>
        <v>101</v>
      </c>
      <c r="B145">
        <v>56612111</v>
      </c>
      <c r="C145">
        <v>56612099</v>
      </c>
      <c r="D145">
        <v>47634407</v>
      </c>
      <c r="E145">
        <v>27786564</v>
      </c>
      <c r="F145">
        <v>1</v>
      </c>
      <c r="G145">
        <v>27786564</v>
      </c>
      <c r="H145">
        <v>1</v>
      </c>
      <c r="I145" t="s">
        <v>438</v>
      </c>
      <c r="J145" t="s">
        <v>3</v>
      </c>
      <c r="K145" t="s">
        <v>439</v>
      </c>
      <c r="L145">
        <v>1191</v>
      </c>
      <c r="N145">
        <v>1013</v>
      </c>
      <c r="O145" t="s">
        <v>440</v>
      </c>
      <c r="P145" t="s">
        <v>440</v>
      </c>
      <c r="Q145">
        <v>1</v>
      </c>
      <c r="X145">
        <v>7.14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70</v>
      </c>
      <c r="AG145">
        <v>9.4247999999999994</v>
      </c>
      <c r="AH145">
        <v>2</v>
      </c>
      <c r="AI145">
        <v>56612100</v>
      </c>
      <c r="AJ145">
        <v>101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ROW(Source!A101)</f>
        <v>101</v>
      </c>
      <c r="B146">
        <v>56612112</v>
      </c>
      <c r="C146">
        <v>56612099</v>
      </c>
      <c r="D146">
        <v>47767106</v>
      </c>
      <c r="E146">
        <v>1</v>
      </c>
      <c r="F146">
        <v>1</v>
      </c>
      <c r="G146">
        <v>27786564</v>
      </c>
      <c r="H146">
        <v>2</v>
      </c>
      <c r="I146" t="s">
        <v>460</v>
      </c>
      <c r="J146" t="s">
        <v>461</v>
      </c>
      <c r="K146" t="s">
        <v>462</v>
      </c>
      <c r="L146">
        <v>1368</v>
      </c>
      <c r="N146">
        <v>1011</v>
      </c>
      <c r="O146" t="s">
        <v>444</v>
      </c>
      <c r="P146" t="s">
        <v>444</v>
      </c>
      <c r="Q146">
        <v>1</v>
      </c>
      <c r="X146">
        <v>0.49</v>
      </c>
      <c r="Y146">
        <v>0</v>
      </c>
      <c r="Z146">
        <v>83.1</v>
      </c>
      <c r="AA146">
        <v>12.62</v>
      </c>
      <c r="AB146">
        <v>0</v>
      </c>
      <c r="AC146">
        <v>0</v>
      </c>
      <c r="AD146">
        <v>1</v>
      </c>
      <c r="AE146">
        <v>0</v>
      </c>
      <c r="AF146" t="s">
        <v>70</v>
      </c>
      <c r="AG146">
        <v>0.64680000000000004</v>
      </c>
      <c r="AH146">
        <v>2</v>
      </c>
      <c r="AI146">
        <v>56612101</v>
      </c>
      <c r="AJ146">
        <v>102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ROW(Source!A101)</f>
        <v>101</v>
      </c>
      <c r="B147">
        <v>56612113</v>
      </c>
      <c r="C147">
        <v>56612099</v>
      </c>
      <c r="D147">
        <v>47766535</v>
      </c>
      <c r="E147">
        <v>1</v>
      </c>
      <c r="F147">
        <v>1</v>
      </c>
      <c r="G147">
        <v>27786564</v>
      </c>
      <c r="H147">
        <v>2</v>
      </c>
      <c r="I147" t="s">
        <v>463</v>
      </c>
      <c r="J147" t="s">
        <v>464</v>
      </c>
      <c r="K147" t="s">
        <v>465</v>
      </c>
      <c r="L147">
        <v>1368</v>
      </c>
      <c r="N147">
        <v>1011</v>
      </c>
      <c r="O147" t="s">
        <v>444</v>
      </c>
      <c r="P147" t="s">
        <v>444</v>
      </c>
      <c r="Q147">
        <v>1</v>
      </c>
      <c r="X147">
        <v>1.63</v>
      </c>
      <c r="Y147">
        <v>0</v>
      </c>
      <c r="Z147">
        <v>2.27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70</v>
      </c>
      <c r="AG147">
        <v>2.1515999999999997</v>
      </c>
      <c r="AH147">
        <v>2</v>
      </c>
      <c r="AI147">
        <v>56612102</v>
      </c>
      <c r="AJ147">
        <v>103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ROW(Source!A101)</f>
        <v>101</v>
      </c>
      <c r="B148">
        <v>56612114</v>
      </c>
      <c r="C148">
        <v>56612099</v>
      </c>
      <c r="D148">
        <v>47766545</v>
      </c>
      <c r="E148">
        <v>1</v>
      </c>
      <c r="F148">
        <v>1</v>
      </c>
      <c r="G148">
        <v>27786564</v>
      </c>
      <c r="H148">
        <v>2</v>
      </c>
      <c r="I148" t="s">
        <v>466</v>
      </c>
      <c r="J148" t="s">
        <v>467</v>
      </c>
      <c r="K148" t="s">
        <v>468</v>
      </c>
      <c r="L148">
        <v>1368</v>
      </c>
      <c r="N148">
        <v>1011</v>
      </c>
      <c r="O148" t="s">
        <v>444</v>
      </c>
      <c r="P148" t="s">
        <v>444</v>
      </c>
      <c r="Q148">
        <v>1</v>
      </c>
      <c r="X148">
        <v>1.63</v>
      </c>
      <c r="Y148">
        <v>0</v>
      </c>
      <c r="Z148">
        <v>0.73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70</v>
      </c>
      <c r="AG148">
        <v>2.1515999999999997</v>
      </c>
      <c r="AH148">
        <v>2</v>
      </c>
      <c r="AI148">
        <v>56612103</v>
      </c>
      <c r="AJ148">
        <v>104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ROW(Source!A101)</f>
        <v>101</v>
      </c>
      <c r="B149">
        <v>56612115</v>
      </c>
      <c r="C149">
        <v>56612099</v>
      </c>
      <c r="D149">
        <v>46723498</v>
      </c>
      <c r="E149">
        <v>1</v>
      </c>
      <c r="F149">
        <v>1</v>
      </c>
      <c r="G149">
        <v>27786564</v>
      </c>
      <c r="H149">
        <v>3</v>
      </c>
      <c r="I149" t="s">
        <v>469</v>
      </c>
      <c r="J149" t="s">
        <v>470</v>
      </c>
      <c r="K149" t="s">
        <v>471</v>
      </c>
      <c r="L149">
        <v>1348</v>
      </c>
      <c r="N149">
        <v>1009</v>
      </c>
      <c r="O149" t="s">
        <v>330</v>
      </c>
      <c r="P149" t="s">
        <v>330</v>
      </c>
      <c r="Q149">
        <v>1000</v>
      </c>
      <c r="X149">
        <v>6.0000000000000002E-5</v>
      </c>
      <c r="Y149">
        <v>11242.42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42</v>
      </c>
      <c r="AG149">
        <v>6.0000000000000002E-5</v>
      </c>
      <c r="AH149">
        <v>2</v>
      </c>
      <c r="AI149">
        <v>56612104</v>
      </c>
      <c r="AJ149">
        <v>105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ROW(Source!A101)</f>
        <v>101</v>
      </c>
      <c r="B150">
        <v>56612116</v>
      </c>
      <c r="C150">
        <v>56612099</v>
      </c>
      <c r="D150">
        <v>45796980</v>
      </c>
      <c r="E150">
        <v>1</v>
      </c>
      <c r="F150">
        <v>1</v>
      </c>
      <c r="G150">
        <v>27786564</v>
      </c>
      <c r="H150">
        <v>3</v>
      </c>
      <c r="I150" t="s">
        <v>472</v>
      </c>
      <c r="J150" t="s">
        <v>473</v>
      </c>
      <c r="K150" t="s">
        <v>474</v>
      </c>
      <c r="L150">
        <v>1346</v>
      </c>
      <c r="N150">
        <v>1009</v>
      </c>
      <c r="O150" t="s">
        <v>104</v>
      </c>
      <c r="P150" t="s">
        <v>104</v>
      </c>
      <c r="Q150">
        <v>1</v>
      </c>
      <c r="X150">
        <v>0.8</v>
      </c>
      <c r="Y150">
        <v>25.8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42</v>
      </c>
      <c r="AG150">
        <v>0.8</v>
      </c>
      <c r="AH150">
        <v>2</v>
      </c>
      <c r="AI150">
        <v>56612105</v>
      </c>
      <c r="AJ150">
        <v>106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ROW(Source!A101)</f>
        <v>101</v>
      </c>
      <c r="B151">
        <v>56612117</v>
      </c>
      <c r="C151">
        <v>56612099</v>
      </c>
      <c r="D151">
        <v>46723689</v>
      </c>
      <c r="E151">
        <v>1</v>
      </c>
      <c r="F151">
        <v>1</v>
      </c>
      <c r="G151">
        <v>27786564</v>
      </c>
      <c r="H151">
        <v>3</v>
      </c>
      <c r="I151" t="s">
        <v>475</v>
      </c>
      <c r="J151" t="s">
        <v>476</v>
      </c>
      <c r="K151" t="s">
        <v>477</v>
      </c>
      <c r="L151">
        <v>1348</v>
      </c>
      <c r="N151">
        <v>1009</v>
      </c>
      <c r="O151" t="s">
        <v>330</v>
      </c>
      <c r="P151" t="s">
        <v>330</v>
      </c>
      <c r="Q151">
        <v>1000</v>
      </c>
      <c r="X151">
        <v>5.0000000000000001E-4</v>
      </c>
      <c r="Y151">
        <v>60966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42</v>
      </c>
      <c r="AG151">
        <v>5.0000000000000001E-4</v>
      </c>
      <c r="AH151">
        <v>2</v>
      </c>
      <c r="AI151">
        <v>56612106</v>
      </c>
      <c r="AJ151">
        <v>107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ROW(Source!A101)</f>
        <v>101</v>
      </c>
      <c r="B152">
        <v>56612118</v>
      </c>
      <c r="C152">
        <v>56612099</v>
      </c>
      <c r="D152">
        <v>46723704</v>
      </c>
      <c r="E152">
        <v>1</v>
      </c>
      <c r="F152">
        <v>1</v>
      </c>
      <c r="G152">
        <v>27786564</v>
      </c>
      <c r="H152">
        <v>3</v>
      </c>
      <c r="I152" t="s">
        <v>478</v>
      </c>
      <c r="J152" t="s">
        <v>479</v>
      </c>
      <c r="K152" t="s">
        <v>480</v>
      </c>
      <c r="L152">
        <v>1348</v>
      </c>
      <c r="N152">
        <v>1009</v>
      </c>
      <c r="O152" t="s">
        <v>330</v>
      </c>
      <c r="P152" t="s">
        <v>330</v>
      </c>
      <c r="Q152">
        <v>1000</v>
      </c>
      <c r="X152">
        <v>4.0000000000000003E-5</v>
      </c>
      <c r="Y152">
        <v>7982.5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42</v>
      </c>
      <c r="AG152">
        <v>4.0000000000000003E-5</v>
      </c>
      <c r="AH152">
        <v>2</v>
      </c>
      <c r="AI152">
        <v>56612107</v>
      </c>
      <c r="AJ152">
        <v>108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ROW(Source!A101)</f>
        <v>101</v>
      </c>
      <c r="B153">
        <v>56612119</v>
      </c>
      <c r="C153">
        <v>56612099</v>
      </c>
      <c r="D153">
        <v>46735845</v>
      </c>
      <c r="E153">
        <v>1</v>
      </c>
      <c r="F153">
        <v>1</v>
      </c>
      <c r="G153">
        <v>27786564</v>
      </c>
      <c r="H153">
        <v>3</v>
      </c>
      <c r="I153" t="s">
        <v>481</v>
      </c>
      <c r="J153" t="s">
        <v>554</v>
      </c>
      <c r="K153" t="s">
        <v>483</v>
      </c>
      <c r="L153">
        <v>1356</v>
      </c>
      <c r="N153">
        <v>1010</v>
      </c>
      <c r="O153" t="s">
        <v>484</v>
      </c>
      <c r="P153" t="s">
        <v>484</v>
      </c>
      <c r="Q153">
        <v>1000</v>
      </c>
      <c r="X153">
        <v>4.0000000000000001E-3</v>
      </c>
      <c r="Y153">
        <v>226.68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42</v>
      </c>
      <c r="AG153">
        <v>4.0000000000000001E-3</v>
      </c>
      <c r="AH153">
        <v>2</v>
      </c>
      <c r="AI153">
        <v>56612108</v>
      </c>
      <c r="AJ153">
        <v>109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ROW(Source!A101)</f>
        <v>101</v>
      </c>
      <c r="B154">
        <v>56612120</v>
      </c>
      <c r="C154">
        <v>56612099</v>
      </c>
      <c r="D154">
        <v>46735506</v>
      </c>
      <c r="E154">
        <v>1</v>
      </c>
      <c r="F154">
        <v>1</v>
      </c>
      <c r="G154">
        <v>27786564</v>
      </c>
      <c r="H154">
        <v>3</v>
      </c>
      <c r="I154" t="s">
        <v>485</v>
      </c>
      <c r="J154" t="s">
        <v>486</v>
      </c>
      <c r="K154" t="s">
        <v>487</v>
      </c>
      <c r="L154">
        <v>1301</v>
      </c>
      <c r="N154">
        <v>1003</v>
      </c>
      <c r="O154" t="s">
        <v>56</v>
      </c>
      <c r="P154" t="s">
        <v>56</v>
      </c>
      <c r="Q154">
        <v>1</v>
      </c>
      <c r="X154">
        <v>0.96</v>
      </c>
      <c r="Y154">
        <v>0.7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42</v>
      </c>
      <c r="AG154">
        <v>0.96</v>
      </c>
      <c r="AH154">
        <v>2</v>
      </c>
      <c r="AI154">
        <v>56612109</v>
      </c>
      <c r="AJ154">
        <v>110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ROW(Source!A101)</f>
        <v>101</v>
      </c>
      <c r="B155">
        <v>56612121</v>
      </c>
      <c r="C155">
        <v>56612099</v>
      </c>
      <c r="D155">
        <v>46735508</v>
      </c>
      <c r="E155">
        <v>1</v>
      </c>
      <c r="F155">
        <v>1</v>
      </c>
      <c r="G155">
        <v>27786564</v>
      </c>
      <c r="H155">
        <v>3</v>
      </c>
      <c r="I155" t="s">
        <v>488</v>
      </c>
      <c r="J155" t="s">
        <v>489</v>
      </c>
      <c r="K155" t="s">
        <v>490</v>
      </c>
      <c r="L155">
        <v>1356</v>
      </c>
      <c r="N155">
        <v>1010</v>
      </c>
      <c r="O155" t="s">
        <v>484</v>
      </c>
      <c r="P155" t="s">
        <v>484</v>
      </c>
      <c r="Q155">
        <v>1000</v>
      </c>
      <c r="X155">
        <v>8.3199999999999993E-3</v>
      </c>
      <c r="Y155">
        <v>6.44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42</v>
      </c>
      <c r="AG155">
        <v>8.3199999999999993E-3</v>
      </c>
      <c r="AH155">
        <v>2</v>
      </c>
      <c r="AI155">
        <v>56612110</v>
      </c>
      <c r="AJ155">
        <v>111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ROW(Source!A101)</f>
        <v>101</v>
      </c>
      <c r="B156">
        <v>56612122</v>
      </c>
      <c r="C156">
        <v>56612099</v>
      </c>
      <c r="D156">
        <v>49717618</v>
      </c>
      <c r="E156">
        <v>27786564</v>
      </c>
      <c r="F156">
        <v>1</v>
      </c>
      <c r="G156">
        <v>27786564</v>
      </c>
      <c r="H156">
        <v>3</v>
      </c>
      <c r="I156" t="s">
        <v>555</v>
      </c>
      <c r="J156" t="s">
        <v>3</v>
      </c>
      <c r="K156" t="s">
        <v>556</v>
      </c>
      <c r="L156">
        <v>1303</v>
      </c>
      <c r="N156">
        <v>1003</v>
      </c>
      <c r="O156" t="s">
        <v>178</v>
      </c>
      <c r="P156" t="s">
        <v>178</v>
      </c>
      <c r="Q156">
        <v>1000</v>
      </c>
      <c r="X156">
        <v>0.10199999999999999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42</v>
      </c>
      <c r="AG156">
        <v>0.10199999999999999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ROW(Source!A101)</f>
        <v>101</v>
      </c>
      <c r="B157">
        <v>56612123</v>
      </c>
      <c r="C157">
        <v>56612099</v>
      </c>
      <c r="D157">
        <v>46556476</v>
      </c>
      <c r="E157">
        <v>27786564</v>
      </c>
      <c r="F157">
        <v>1</v>
      </c>
      <c r="G157">
        <v>27786564</v>
      </c>
      <c r="H157">
        <v>3</v>
      </c>
      <c r="I157" t="s">
        <v>557</v>
      </c>
      <c r="J157" t="s">
        <v>3</v>
      </c>
      <c r="K157" t="s">
        <v>558</v>
      </c>
      <c r="L157">
        <v>1354</v>
      </c>
      <c r="N157">
        <v>1010</v>
      </c>
      <c r="O157" t="s">
        <v>93</v>
      </c>
      <c r="P157" t="s">
        <v>93</v>
      </c>
      <c r="Q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42</v>
      </c>
      <c r="AG157">
        <v>0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ROW(Source!A102)</f>
        <v>102</v>
      </c>
      <c r="B158">
        <v>56612111</v>
      </c>
      <c r="C158">
        <v>56612099</v>
      </c>
      <c r="D158">
        <v>47634407</v>
      </c>
      <c r="E158">
        <v>27786564</v>
      </c>
      <c r="F158">
        <v>1</v>
      </c>
      <c r="G158">
        <v>27786564</v>
      </c>
      <c r="H158">
        <v>1</v>
      </c>
      <c r="I158" t="s">
        <v>438</v>
      </c>
      <c r="J158" t="s">
        <v>3</v>
      </c>
      <c r="K158" t="s">
        <v>439</v>
      </c>
      <c r="L158">
        <v>1191</v>
      </c>
      <c r="N158">
        <v>1013</v>
      </c>
      <c r="O158" t="s">
        <v>440</v>
      </c>
      <c r="P158" t="s">
        <v>440</v>
      </c>
      <c r="Q158">
        <v>1</v>
      </c>
      <c r="X158">
        <v>7.14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70</v>
      </c>
      <c r="AG158">
        <v>9.4247999999999994</v>
      </c>
      <c r="AH158">
        <v>2</v>
      </c>
      <c r="AI158">
        <v>56612100</v>
      </c>
      <c r="AJ158">
        <v>112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ROW(Source!A102)</f>
        <v>102</v>
      </c>
      <c r="B159">
        <v>56612112</v>
      </c>
      <c r="C159">
        <v>56612099</v>
      </c>
      <c r="D159">
        <v>47767106</v>
      </c>
      <c r="E159">
        <v>1</v>
      </c>
      <c r="F159">
        <v>1</v>
      </c>
      <c r="G159">
        <v>27786564</v>
      </c>
      <c r="H159">
        <v>2</v>
      </c>
      <c r="I159" t="s">
        <v>460</v>
      </c>
      <c r="J159" t="s">
        <v>461</v>
      </c>
      <c r="K159" t="s">
        <v>462</v>
      </c>
      <c r="L159">
        <v>1368</v>
      </c>
      <c r="N159">
        <v>1011</v>
      </c>
      <c r="O159" t="s">
        <v>444</v>
      </c>
      <c r="P159" t="s">
        <v>444</v>
      </c>
      <c r="Q159">
        <v>1</v>
      </c>
      <c r="X159">
        <v>0.49</v>
      </c>
      <c r="Y159">
        <v>0</v>
      </c>
      <c r="Z159">
        <v>83.1</v>
      </c>
      <c r="AA159">
        <v>12.62</v>
      </c>
      <c r="AB159">
        <v>0</v>
      </c>
      <c r="AC159">
        <v>0</v>
      </c>
      <c r="AD159">
        <v>1</v>
      </c>
      <c r="AE159">
        <v>0</v>
      </c>
      <c r="AF159" t="s">
        <v>70</v>
      </c>
      <c r="AG159">
        <v>0.64680000000000004</v>
      </c>
      <c r="AH159">
        <v>2</v>
      </c>
      <c r="AI159">
        <v>56612101</v>
      </c>
      <c r="AJ159">
        <v>113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ROW(Source!A102)</f>
        <v>102</v>
      </c>
      <c r="B160">
        <v>56612113</v>
      </c>
      <c r="C160">
        <v>56612099</v>
      </c>
      <c r="D160">
        <v>47766535</v>
      </c>
      <c r="E160">
        <v>1</v>
      </c>
      <c r="F160">
        <v>1</v>
      </c>
      <c r="G160">
        <v>27786564</v>
      </c>
      <c r="H160">
        <v>2</v>
      </c>
      <c r="I160" t="s">
        <v>463</v>
      </c>
      <c r="J160" t="s">
        <v>464</v>
      </c>
      <c r="K160" t="s">
        <v>465</v>
      </c>
      <c r="L160">
        <v>1368</v>
      </c>
      <c r="N160">
        <v>1011</v>
      </c>
      <c r="O160" t="s">
        <v>444</v>
      </c>
      <c r="P160" t="s">
        <v>444</v>
      </c>
      <c r="Q160">
        <v>1</v>
      </c>
      <c r="X160">
        <v>1.63</v>
      </c>
      <c r="Y160">
        <v>0</v>
      </c>
      <c r="Z160">
        <v>2.27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70</v>
      </c>
      <c r="AG160">
        <v>2.1515999999999997</v>
      </c>
      <c r="AH160">
        <v>2</v>
      </c>
      <c r="AI160">
        <v>56612102</v>
      </c>
      <c r="AJ160">
        <v>114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ROW(Source!A102)</f>
        <v>102</v>
      </c>
      <c r="B161">
        <v>56612114</v>
      </c>
      <c r="C161">
        <v>56612099</v>
      </c>
      <c r="D161">
        <v>47766545</v>
      </c>
      <c r="E161">
        <v>1</v>
      </c>
      <c r="F161">
        <v>1</v>
      </c>
      <c r="G161">
        <v>27786564</v>
      </c>
      <c r="H161">
        <v>2</v>
      </c>
      <c r="I161" t="s">
        <v>466</v>
      </c>
      <c r="J161" t="s">
        <v>467</v>
      </c>
      <c r="K161" t="s">
        <v>468</v>
      </c>
      <c r="L161">
        <v>1368</v>
      </c>
      <c r="N161">
        <v>1011</v>
      </c>
      <c r="O161" t="s">
        <v>444</v>
      </c>
      <c r="P161" t="s">
        <v>444</v>
      </c>
      <c r="Q161">
        <v>1</v>
      </c>
      <c r="X161">
        <v>1.63</v>
      </c>
      <c r="Y161">
        <v>0</v>
      </c>
      <c r="Z161">
        <v>0.73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70</v>
      </c>
      <c r="AG161">
        <v>2.1515999999999997</v>
      </c>
      <c r="AH161">
        <v>2</v>
      </c>
      <c r="AI161">
        <v>56612103</v>
      </c>
      <c r="AJ161">
        <v>115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ROW(Source!A102)</f>
        <v>102</v>
      </c>
      <c r="B162">
        <v>56612115</v>
      </c>
      <c r="C162">
        <v>56612099</v>
      </c>
      <c r="D162">
        <v>46723498</v>
      </c>
      <c r="E162">
        <v>1</v>
      </c>
      <c r="F162">
        <v>1</v>
      </c>
      <c r="G162">
        <v>27786564</v>
      </c>
      <c r="H162">
        <v>3</v>
      </c>
      <c r="I162" t="s">
        <v>469</v>
      </c>
      <c r="J162" t="s">
        <v>470</v>
      </c>
      <c r="K162" t="s">
        <v>471</v>
      </c>
      <c r="L162">
        <v>1348</v>
      </c>
      <c r="N162">
        <v>1009</v>
      </c>
      <c r="O162" t="s">
        <v>330</v>
      </c>
      <c r="P162" t="s">
        <v>330</v>
      </c>
      <c r="Q162">
        <v>1000</v>
      </c>
      <c r="X162">
        <v>6.0000000000000002E-5</v>
      </c>
      <c r="Y162">
        <v>11242.42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42</v>
      </c>
      <c r="AG162">
        <v>6.0000000000000002E-5</v>
      </c>
      <c r="AH162">
        <v>2</v>
      </c>
      <c r="AI162">
        <v>56612104</v>
      </c>
      <c r="AJ162">
        <v>116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ROW(Source!A102)</f>
        <v>102</v>
      </c>
      <c r="B163">
        <v>56612116</v>
      </c>
      <c r="C163">
        <v>56612099</v>
      </c>
      <c r="D163">
        <v>45796980</v>
      </c>
      <c r="E163">
        <v>1</v>
      </c>
      <c r="F163">
        <v>1</v>
      </c>
      <c r="G163">
        <v>27786564</v>
      </c>
      <c r="H163">
        <v>3</v>
      </c>
      <c r="I163" t="s">
        <v>472</v>
      </c>
      <c r="J163" t="s">
        <v>473</v>
      </c>
      <c r="K163" t="s">
        <v>474</v>
      </c>
      <c r="L163">
        <v>1346</v>
      </c>
      <c r="N163">
        <v>1009</v>
      </c>
      <c r="O163" t="s">
        <v>104</v>
      </c>
      <c r="P163" t="s">
        <v>104</v>
      </c>
      <c r="Q163">
        <v>1</v>
      </c>
      <c r="X163">
        <v>0.8</v>
      </c>
      <c r="Y163">
        <v>25.8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42</v>
      </c>
      <c r="AG163">
        <v>0.8</v>
      </c>
      <c r="AH163">
        <v>2</v>
      </c>
      <c r="AI163">
        <v>56612105</v>
      </c>
      <c r="AJ163">
        <v>117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ROW(Source!A102)</f>
        <v>102</v>
      </c>
      <c r="B164">
        <v>56612117</v>
      </c>
      <c r="C164">
        <v>56612099</v>
      </c>
      <c r="D164">
        <v>46723689</v>
      </c>
      <c r="E164">
        <v>1</v>
      </c>
      <c r="F164">
        <v>1</v>
      </c>
      <c r="G164">
        <v>27786564</v>
      </c>
      <c r="H164">
        <v>3</v>
      </c>
      <c r="I164" t="s">
        <v>475</v>
      </c>
      <c r="J164" t="s">
        <v>476</v>
      </c>
      <c r="K164" t="s">
        <v>477</v>
      </c>
      <c r="L164">
        <v>1348</v>
      </c>
      <c r="N164">
        <v>1009</v>
      </c>
      <c r="O164" t="s">
        <v>330</v>
      </c>
      <c r="P164" t="s">
        <v>330</v>
      </c>
      <c r="Q164">
        <v>1000</v>
      </c>
      <c r="X164">
        <v>5.0000000000000001E-4</v>
      </c>
      <c r="Y164">
        <v>60966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42</v>
      </c>
      <c r="AG164">
        <v>5.0000000000000001E-4</v>
      </c>
      <c r="AH164">
        <v>2</v>
      </c>
      <c r="AI164">
        <v>56612106</v>
      </c>
      <c r="AJ164">
        <v>118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ROW(Source!A102)</f>
        <v>102</v>
      </c>
      <c r="B165">
        <v>56612118</v>
      </c>
      <c r="C165">
        <v>56612099</v>
      </c>
      <c r="D165">
        <v>46723704</v>
      </c>
      <c r="E165">
        <v>1</v>
      </c>
      <c r="F165">
        <v>1</v>
      </c>
      <c r="G165">
        <v>27786564</v>
      </c>
      <c r="H165">
        <v>3</v>
      </c>
      <c r="I165" t="s">
        <v>478</v>
      </c>
      <c r="J165" t="s">
        <v>479</v>
      </c>
      <c r="K165" t="s">
        <v>480</v>
      </c>
      <c r="L165">
        <v>1348</v>
      </c>
      <c r="N165">
        <v>1009</v>
      </c>
      <c r="O165" t="s">
        <v>330</v>
      </c>
      <c r="P165" t="s">
        <v>330</v>
      </c>
      <c r="Q165">
        <v>1000</v>
      </c>
      <c r="X165">
        <v>4.0000000000000003E-5</v>
      </c>
      <c r="Y165">
        <v>7982.5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42</v>
      </c>
      <c r="AG165">
        <v>4.0000000000000003E-5</v>
      </c>
      <c r="AH165">
        <v>2</v>
      </c>
      <c r="AI165">
        <v>56612107</v>
      </c>
      <c r="AJ165">
        <v>119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ROW(Source!A102)</f>
        <v>102</v>
      </c>
      <c r="B166">
        <v>56612119</v>
      </c>
      <c r="C166">
        <v>56612099</v>
      </c>
      <c r="D166">
        <v>46735845</v>
      </c>
      <c r="E166">
        <v>1</v>
      </c>
      <c r="F166">
        <v>1</v>
      </c>
      <c r="G166">
        <v>27786564</v>
      </c>
      <c r="H166">
        <v>3</v>
      </c>
      <c r="I166" t="s">
        <v>481</v>
      </c>
      <c r="J166" t="s">
        <v>554</v>
      </c>
      <c r="K166" t="s">
        <v>483</v>
      </c>
      <c r="L166">
        <v>1356</v>
      </c>
      <c r="N166">
        <v>1010</v>
      </c>
      <c r="O166" t="s">
        <v>484</v>
      </c>
      <c r="P166" t="s">
        <v>484</v>
      </c>
      <c r="Q166">
        <v>1000</v>
      </c>
      <c r="X166">
        <v>4.0000000000000001E-3</v>
      </c>
      <c r="Y166">
        <v>226.68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42</v>
      </c>
      <c r="AG166">
        <v>4.0000000000000001E-3</v>
      </c>
      <c r="AH166">
        <v>2</v>
      </c>
      <c r="AI166">
        <v>56612108</v>
      </c>
      <c r="AJ166">
        <v>120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ROW(Source!A102)</f>
        <v>102</v>
      </c>
      <c r="B167">
        <v>56612120</v>
      </c>
      <c r="C167">
        <v>56612099</v>
      </c>
      <c r="D167">
        <v>46735506</v>
      </c>
      <c r="E167">
        <v>1</v>
      </c>
      <c r="F167">
        <v>1</v>
      </c>
      <c r="G167">
        <v>27786564</v>
      </c>
      <c r="H167">
        <v>3</v>
      </c>
      <c r="I167" t="s">
        <v>485</v>
      </c>
      <c r="J167" t="s">
        <v>486</v>
      </c>
      <c r="K167" t="s">
        <v>487</v>
      </c>
      <c r="L167">
        <v>1301</v>
      </c>
      <c r="N167">
        <v>1003</v>
      </c>
      <c r="O167" t="s">
        <v>56</v>
      </c>
      <c r="P167" t="s">
        <v>56</v>
      </c>
      <c r="Q167">
        <v>1</v>
      </c>
      <c r="X167">
        <v>0.96</v>
      </c>
      <c r="Y167">
        <v>0.7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42</v>
      </c>
      <c r="AG167">
        <v>0.96</v>
      </c>
      <c r="AH167">
        <v>2</v>
      </c>
      <c r="AI167">
        <v>56612109</v>
      </c>
      <c r="AJ167">
        <v>121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ROW(Source!A102)</f>
        <v>102</v>
      </c>
      <c r="B168">
        <v>56612121</v>
      </c>
      <c r="C168">
        <v>56612099</v>
      </c>
      <c r="D168">
        <v>46735508</v>
      </c>
      <c r="E168">
        <v>1</v>
      </c>
      <c r="F168">
        <v>1</v>
      </c>
      <c r="G168">
        <v>27786564</v>
      </c>
      <c r="H168">
        <v>3</v>
      </c>
      <c r="I168" t="s">
        <v>488</v>
      </c>
      <c r="J168" t="s">
        <v>489</v>
      </c>
      <c r="K168" t="s">
        <v>490</v>
      </c>
      <c r="L168">
        <v>1356</v>
      </c>
      <c r="N168">
        <v>1010</v>
      </c>
      <c r="O168" t="s">
        <v>484</v>
      </c>
      <c r="P168" t="s">
        <v>484</v>
      </c>
      <c r="Q168">
        <v>1000</v>
      </c>
      <c r="X168">
        <v>8.3199999999999993E-3</v>
      </c>
      <c r="Y168">
        <v>6.44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42</v>
      </c>
      <c r="AG168">
        <v>8.3199999999999993E-3</v>
      </c>
      <c r="AH168">
        <v>2</v>
      </c>
      <c r="AI168">
        <v>56612110</v>
      </c>
      <c r="AJ168">
        <v>122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ROW(Source!A102)</f>
        <v>102</v>
      </c>
      <c r="B169">
        <v>56612122</v>
      </c>
      <c r="C169">
        <v>56612099</v>
      </c>
      <c r="D169">
        <v>49717618</v>
      </c>
      <c r="E169">
        <v>27786564</v>
      </c>
      <c r="F169">
        <v>1</v>
      </c>
      <c r="G169">
        <v>27786564</v>
      </c>
      <c r="H169">
        <v>3</v>
      </c>
      <c r="I169" t="s">
        <v>555</v>
      </c>
      <c r="J169" t="s">
        <v>3</v>
      </c>
      <c r="K169" t="s">
        <v>556</v>
      </c>
      <c r="L169">
        <v>1303</v>
      </c>
      <c r="N169">
        <v>1003</v>
      </c>
      <c r="O169" t="s">
        <v>178</v>
      </c>
      <c r="P169" t="s">
        <v>178</v>
      </c>
      <c r="Q169">
        <v>1000</v>
      </c>
      <c r="X169">
        <v>0.10199999999999999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42</v>
      </c>
      <c r="AG169">
        <v>0.10199999999999999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ROW(Source!A102)</f>
        <v>102</v>
      </c>
      <c r="B170">
        <v>56612123</v>
      </c>
      <c r="C170">
        <v>56612099</v>
      </c>
      <c r="D170">
        <v>46556476</v>
      </c>
      <c r="E170">
        <v>27786564</v>
      </c>
      <c r="F170">
        <v>1</v>
      </c>
      <c r="G170">
        <v>27786564</v>
      </c>
      <c r="H170">
        <v>3</v>
      </c>
      <c r="I170" t="s">
        <v>557</v>
      </c>
      <c r="J170" t="s">
        <v>3</v>
      </c>
      <c r="K170" t="s">
        <v>558</v>
      </c>
      <c r="L170">
        <v>1354</v>
      </c>
      <c r="N170">
        <v>1010</v>
      </c>
      <c r="O170" t="s">
        <v>93</v>
      </c>
      <c r="P170" t="s">
        <v>93</v>
      </c>
      <c r="Q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42</v>
      </c>
      <c r="AG170">
        <v>0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ROW(Source!A107)</f>
        <v>107</v>
      </c>
      <c r="B171">
        <v>56612131</v>
      </c>
      <c r="C171">
        <v>56612126</v>
      </c>
      <c r="D171">
        <v>47634407</v>
      </c>
      <c r="E171">
        <v>27786564</v>
      </c>
      <c r="F171">
        <v>1</v>
      </c>
      <c r="G171">
        <v>27786564</v>
      </c>
      <c r="H171">
        <v>1</v>
      </c>
      <c r="I171" t="s">
        <v>438</v>
      </c>
      <c r="J171" t="s">
        <v>3</v>
      </c>
      <c r="K171" t="s">
        <v>439</v>
      </c>
      <c r="L171">
        <v>1191</v>
      </c>
      <c r="N171">
        <v>1013</v>
      </c>
      <c r="O171" t="s">
        <v>440</v>
      </c>
      <c r="P171" t="s">
        <v>440</v>
      </c>
      <c r="Q171">
        <v>1</v>
      </c>
      <c r="X171">
        <v>3.04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70</v>
      </c>
      <c r="AG171">
        <v>4.0128000000000004</v>
      </c>
      <c r="AH171">
        <v>2</v>
      </c>
      <c r="AI171">
        <v>56612127</v>
      </c>
      <c r="AJ171">
        <v>123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ROW(Source!A107)</f>
        <v>107</v>
      </c>
      <c r="B172">
        <v>56612132</v>
      </c>
      <c r="C172">
        <v>56612126</v>
      </c>
      <c r="D172">
        <v>47766965</v>
      </c>
      <c r="E172">
        <v>1</v>
      </c>
      <c r="F172">
        <v>1</v>
      </c>
      <c r="G172">
        <v>27786564</v>
      </c>
      <c r="H172">
        <v>2</v>
      </c>
      <c r="I172" t="s">
        <v>491</v>
      </c>
      <c r="J172" t="s">
        <v>492</v>
      </c>
      <c r="K172" t="s">
        <v>493</v>
      </c>
      <c r="L172">
        <v>1368</v>
      </c>
      <c r="N172">
        <v>1011</v>
      </c>
      <c r="O172" t="s">
        <v>444</v>
      </c>
      <c r="P172" t="s">
        <v>444</v>
      </c>
      <c r="Q172">
        <v>1</v>
      </c>
      <c r="X172">
        <v>0.1</v>
      </c>
      <c r="Y172">
        <v>0</v>
      </c>
      <c r="Z172">
        <v>0.12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70</v>
      </c>
      <c r="AG172">
        <v>0.13200000000000001</v>
      </c>
      <c r="AH172">
        <v>2</v>
      </c>
      <c r="AI172">
        <v>56612128</v>
      </c>
      <c r="AJ172">
        <v>124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ROW(Source!A107)</f>
        <v>107</v>
      </c>
      <c r="B173">
        <v>56612133</v>
      </c>
      <c r="C173">
        <v>56612126</v>
      </c>
      <c r="D173">
        <v>37620224</v>
      </c>
      <c r="E173">
        <v>1</v>
      </c>
      <c r="F173">
        <v>1</v>
      </c>
      <c r="G173">
        <v>27786564</v>
      </c>
      <c r="H173">
        <v>3</v>
      </c>
      <c r="I173" t="s">
        <v>494</v>
      </c>
      <c r="J173" t="s">
        <v>495</v>
      </c>
      <c r="K173" t="s">
        <v>496</v>
      </c>
      <c r="L173">
        <v>1346</v>
      </c>
      <c r="N173">
        <v>1009</v>
      </c>
      <c r="O173" t="s">
        <v>104</v>
      </c>
      <c r="P173" t="s">
        <v>104</v>
      </c>
      <c r="Q173">
        <v>1</v>
      </c>
      <c r="X173">
        <v>0.312</v>
      </c>
      <c r="Y173">
        <v>6.27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42</v>
      </c>
      <c r="AG173">
        <v>0.312</v>
      </c>
      <c r="AH173">
        <v>2</v>
      </c>
      <c r="AI173">
        <v>56612129</v>
      </c>
      <c r="AJ173">
        <v>125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ROW(Source!A107)</f>
        <v>107</v>
      </c>
      <c r="B174">
        <v>56612134</v>
      </c>
      <c r="C174">
        <v>56612126</v>
      </c>
      <c r="D174">
        <v>46556430</v>
      </c>
      <c r="E174">
        <v>27786564</v>
      </c>
      <c r="F174">
        <v>1</v>
      </c>
      <c r="G174">
        <v>27786564</v>
      </c>
      <c r="H174">
        <v>3</v>
      </c>
      <c r="I174" t="s">
        <v>559</v>
      </c>
      <c r="J174" t="s">
        <v>3</v>
      </c>
      <c r="K174" t="s">
        <v>560</v>
      </c>
      <c r="L174">
        <v>1391</v>
      </c>
      <c r="N174">
        <v>1013</v>
      </c>
      <c r="O174" t="s">
        <v>194</v>
      </c>
      <c r="P174" t="s">
        <v>194</v>
      </c>
      <c r="Q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42</v>
      </c>
      <c r="AG174">
        <v>1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ROW(Source!A108)</f>
        <v>108</v>
      </c>
      <c r="B175">
        <v>56612131</v>
      </c>
      <c r="C175">
        <v>56612126</v>
      </c>
      <c r="D175">
        <v>47634407</v>
      </c>
      <c r="E175">
        <v>27786564</v>
      </c>
      <c r="F175">
        <v>1</v>
      </c>
      <c r="G175">
        <v>27786564</v>
      </c>
      <c r="H175">
        <v>1</v>
      </c>
      <c r="I175" t="s">
        <v>438</v>
      </c>
      <c r="J175" t="s">
        <v>3</v>
      </c>
      <c r="K175" t="s">
        <v>439</v>
      </c>
      <c r="L175">
        <v>1191</v>
      </c>
      <c r="N175">
        <v>1013</v>
      </c>
      <c r="O175" t="s">
        <v>440</v>
      </c>
      <c r="P175" t="s">
        <v>440</v>
      </c>
      <c r="Q175">
        <v>1</v>
      </c>
      <c r="X175">
        <v>3.04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70</v>
      </c>
      <c r="AG175">
        <v>4.0128000000000004</v>
      </c>
      <c r="AH175">
        <v>2</v>
      </c>
      <c r="AI175">
        <v>56612127</v>
      </c>
      <c r="AJ175">
        <v>127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ROW(Source!A108)</f>
        <v>108</v>
      </c>
      <c r="B176">
        <v>56612132</v>
      </c>
      <c r="C176">
        <v>56612126</v>
      </c>
      <c r="D176">
        <v>47766965</v>
      </c>
      <c r="E176">
        <v>1</v>
      </c>
      <c r="F176">
        <v>1</v>
      </c>
      <c r="G176">
        <v>27786564</v>
      </c>
      <c r="H176">
        <v>2</v>
      </c>
      <c r="I176" t="s">
        <v>491</v>
      </c>
      <c r="J176" t="s">
        <v>492</v>
      </c>
      <c r="K176" t="s">
        <v>493</v>
      </c>
      <c r="L176">
        <v>1368</v>
      </c>
      <c r="N176">
        <v>1011</v>
      </c>
      <c r="O176" t="s">
        <v>444</v>
      </c>
      <c r="P176" t="s">
        <v>444</v>
      </c>
      <c r="Q176">
        <v>1</v>
      </c>
      <c r="X176">
        <v>0.1</v>
      </c>
      <c r="Y176">
        <v>0</v>
      </c>
      <c r="Z176">
        <v>0.12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70</v>
      </c>
      <c r="AG176">
        <v>0.13200000000000001</v>
      </c>
      <c r="AH176">
        <v>2</v>
      </c>
      <c r="AI176">
        <v>56612128</v>
      </c>
      <c r="AJ176">
        <v>128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ROW(Source!A108)</f>
        <v>108</v>
      </c>
      <c r="B177">
        <v>56612133</v>
      </c>
      <c r="C177">
        <v>56612126</v>
      </c>
      <c r="D177">
        <v>37620224</v>
      </c>
      <c r="E177">
        <v>1</v>
      </c>
      <c r="F177">
        <v>1</v>
      </c>
      <c r="G177">
        <v>27786564</v>
      </c>
      <c r="H177">
        <v>3</v>
      </c>
      <c r="I177" t="s">
        <v>494</v>
      </c>
      <c r="J177" t="s">
        <v>495</v>
      </c>
      <c r="K177" t="s">
        <v>496</v>
      </c>
      <c r="L177">
        <v>1346</v>
      </c>
      <c r="N177">
        <v>1009</v>
      </c>
      <c r="O177" t="s">
        <v>104</v>
      </c>
      <c r="P177" t="s">
        <v>104</v>
      </c>
      <c r="Q177">
        <v>1</v>
      </c>
      <c r="X177">
        <v>0.312</v>
      </c>
      <c r="Y177">
        <v>6.27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42</v>
      </c>
      <c r="AG177">
        <v>0.312</v>
      </c>
      <c r="AH177">
        <v>2</v>
      </c>
      <c r="AI177">
        <v>56612129</v>
      </c>
      <c r="AJ177">
        <v>129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ROW(Source!A108)</f>
        <v>108</v>
      </c>
      <c r="B178">
        <v>56612134</v>
      </c>
      <c r="C178">
        <v>56612126</v>
      </c>
      <c r="D178">
        <v>46556430</v>
      </c>
      <c r="E178">
        <v>27786564</v>
      </c>
      <c r="F178">
        <v>1</v>
      </c>
      <c r="G178">
        <v>27786564</v>
      </c>
      <c r="H178">
        <v>3</v>
      </c>
      <c r="I178" t="s">
        <v>559</v>
      </c>
      <c r="J178" t="s">
        <v>3</v>
      </c>
      <c r="K178" t="s">
        <v>560</v>
      </c>
      <c r="L178">
        <v>1391</v>
      </c>
      <c r="N178">
        <v>1013</v>
      </c>
      <c r="O178" t="s">
        <v>194</v>
      </c>
      <c r="P178" t="s">
        <v>194</v>
      </c>
      <c r="Q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42</v>
      </c>
      <c r="AG178">
        <v>1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ROW(Source!A111)</f>
        <v>111</v>
      </c>
      <c r="B179">
        <v>56612141</v>
      </c>
      <c r="C179">
        <v>56612136</v>
      </c>
      <c r="D179">
        <v>47634407</v>
      </c>
      <c r="E179">
        <v>27786564</v>
      </c>
      <c r="F179">
        <v>1</v>
      </c>
      <c r="G179">
        <v>27786564</v>
      </c>
      <c r="H179">
        <v>1</v>
      </c>
      <c r="I179" t="s">
        <v>438</v>
      </c>
      <c r="J179" t="s">
        <v>3</v>
      </c>
      <c r="K179" t="s">
        <v>439</v>
      </c>
      <c r="L179">
        <v>1191</v>
      </c>
      <c r="N179">
        <v>1013</v>
      </c>
      <c r="O179" t="s">
        <v>440</v>
      </c>
      <c r="P179" t="s">
        <v>440</v>
      </c>
      <c r="Q179">
        <v>1</v>
      </c>
      <c r="X179">
        <v>3.54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22</v>
      </c>
      <c r="AG179">
        <v>3.8940000000000006</v>
      </c>
      <c r="AH179">
        <v>2</v>
      </c>
      <c r="AI179">
        <v>56612137</v>
      </c>
      <c r="AJ179">
        <v>131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ROW(Source!A111)</f>
        <v>111</v>
      </c>
      <c r="B180">
        <v>56612142</v>
      </c>
      <c r="C180">
        <v>56612136</v>
      </c>
      <c r="D180">
        <v>47766965</v>
      </c>
      <c r="E180">
        <v>1</v>
      </c>
      <c r="F180">
        <v>1</v>
      </c>
      <c r="G180">
        <v>27786564</v>
      </c>
      <c r="H180">
        <v>2</v>
      </c>
      <c r="I180" t="s">
        <v>491</v>
      </c>
      <c r="J180" t="s">
        <v>492</v>
      </c>
      <c r="K180" t="s">
        <v>493</v>
      </c>
      <c r="L180">
        <v>1368</v>
      </c>
      <c r="N180">
        <v>1011</v>
      </c>
      <c r="O180" t="s">
        <v>444</v>
      </c>
      <c r="P180" t="s">
        <v>444</v>
      </c>
      <c r="Q180">
        <v>1</v>
      </c>
      <c r="X180">
        <v>0.13</v>
      </c>
      <c r="Y180">
        <v>0</v>
      </c>
      <c r="Z180">
        <v>0.12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22</v>
      </c>
      <c r="AG180">
        <v>0.14300000000000002</v>
      </c>
      <c r="AH180">
        <v>2</v>
      </c>
      <c r="AI180">
        <v>56612138</v>
      </c>
      <c r="AJ180">
        <v>132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ROW(Source!A111)</f>
        <v>111</v>
      </c>
      <c r="B181">
        <v>56612143</v>
      </c>
      <c r="C181">
        <v>56612136</v>
      </c>
      <c r="D181">
        <v>37620224</v>
      </c>
      <c r="E181">
        <v>1</v>
      </c>
      <c r="F181">
        <v>1</v>
      </c>
      <c r="G181">
        <v>27786564</v>
      </c>
      <c r="H181">
        <v>3</v>
      </c>
      <c r="I181" t="s">
        <v>494</v>
      </c>
      <c r="J181" t="s">
        <v>495</v>
      </c>
      <c r="K181" t="s">
        <v>496</v>
      </c>
      <c r="L181">
        <v>1346</v>
      </c>
      <c r="N181">
        <v>1009</v>
      </c>
      <c r="O181" t="s">
        <v>104</v>
      </c>
      <c r="P181" t="s">
        <v>104</v>
      </c>
      <c r="Q181">
        <v>1</v>
      </c>
      <c r="X181">
        <v>0.39360000000000001</v>
      </c>
      <c r="Y181">
        <v>6.27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3</v>
      </c>
      <c r="AG181">
        <v>0.39360000000000001</v>
      </c>
      <c r="AH181">
        <v>2</v>
      </c>
      <c r="AI181">
        <v>56612139</v>
      </c>
      <c r="AJ181">
        <v>133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ROW(Source!A111)</f>
        <v>111</v>
      </c>
      <c r="B182">
        <v>56612144</v>
      </c>
      <c r="C182">
        <v>56612136</v>
      </c>
      <c r="D182">
        <v>46556430</v>
      </c>
      <c r="E182">
        <v>27786564</v>
      </c>
      <c r="F182">
        <v>1</v>
      </c>
      <c r="G182">
        <v>27786564</v>
      </c>
      <c r="H182">
        <v>3</v>
      </c>
      <c r="I182" t="s">
        <v>559</v>
      </c>
      <c r="J182" t="s">
        <v>3</v>
      </c>
      <c r="K182" t="s">
        <v>560</v>
      </c>
      <c r="L182">
        <v>1391</v>
      </c>
      <c r="N182">
        <v>1013</v>
      </c>
      <c r="O182" t="s">
        <v>194</v>
      </c>
      <c r="P182" t="s">
        <v>194</v>
      </c>
      <c r="Q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3</v>
      </c>
      <c r="AG182">
        <v>1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ROW(Source!A112)</f>
        <v>112</v>
      </c>
      <c r="B183">
        <v>56612141</v>
      </c>
      <c r="C183">
        <v>56612136</v>
      </c>
      <c r="D183">
        <v>47634407</v>
      </c>
      <c r="E183">
        <v>27786564</v>
      </c>
      <c r="F183">
        <v>1</v>
      </c>
      <c r="G183">
        <v>27786564</v>
      </c>
      <c r="H183">
        <v>1</v>
      </c>
      <c r="I183" t="s">
        <v>438</v>
      </c>
      <c r="J183" t="s">
        <v>3</v>
      </c>
      <c r="K183" t="s">
        <v>439</v>
      </c>
      <c r="L183">
        <v>1191</v>
      </c>
      <c r="N183">
        <v>1013</v>
      </c>
      <c r="O183" t="s">
        <v>440</v>
      </c>
      <c r="P183" t="s">
        <v>440</v>
      </c>
      <c r="Q183">
        <v>1</v>
      </c>
      <c r="X183">
        <v>3.54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 t="s">
        <v>22</v>
      </c>
      <c r="AG183">
        <v>3.8940000000000006</v>
      </c>
      <c r="AH183">
        <v>2</v>
      </c>
      <c r="AI183">
        <v>56612137</v>
      </c>
      <c r="AJ183">
        <v>135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ROW(Source!A112)</f>
        <v>112</v>
      </c>
      <c r="B184">
        <v>56612142</v>
      </c>
      <c r="C184">
        <v>56612136</v>
      </c>
      <c r="D184">
        <v>47766965</v>
      </c>
      <c r="E184">
        <v>1</v>
      </c>
      <c r="F184">
        <v>1</v>
      </c>
      <c r="G184">
        <v>27786564</v>
      </c>
      <c r="H184">
        <v>2</v>
      </c>
      <c r="I184" t="s">
        <v>491</v>
      </c>
      <c r="J184" t="s">
        <v>492</v>
      </c>
      <c r="K184" t="s">
        <v>493</v>
      </c>
      <c r="L184">
        <v>1368</v>
      </c>
      <c r="N184">
        <v>1011</v>
      </c>
      <c r="O184" t="s">
        <v>444</v>
      </c>
      <c r="P184" t="s">
        <v>444</v>
      </c>
      <c r="Q184">
        <v>1</v>
      </c>
      <c r="X184">
        <v>0.13</v>
      </c>
      <c r="Y184">
        <v>0</v>
      </c>
      <c r="Z184">
        <v>0.12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22</v>
      </c>
      <c r="AG184">
        <v>0.14300000000000002</v>
      </c>
      <c r="AH184">
        <v>2</v>
      </c>
      <c r="AI184">
        <v>56612138</v>
      </c>
      <c r="AJ184">
        <v>136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ROW(Source!A112)</f>
        <v>112</v>
      </c>
      <c r="B185">
        <v>56612143</v>
      </c>
      <c r="C185">
        <v>56612136</v>
      </c>
      <c r="D185">
        <v>37620224</v>
      </c>
      <c r="E185">
        <v>1</v>
      </c>
      <c r="F185">
        <v>1</v>
      </c>
      <c r="G185">
        <v>27786564</v>
      </c>
      <c r="H185">
        <v>3</v>
      </c>
      <c r="I185" t="s">
        <v>494</v>
      </c>
      <c r="J185" t="s">
        <v>495</v>
      </c>
      <c r="K185" t="s">
        <v>496</v>
      </c>
      <c r="L185">
        <v>1346</v>
      </c>
      <c r="N185">
        <v>1009</v>
      </c>
      <c r="O185" t="s">
        <v>104</v>
      </c>
      <c r="P185" t="s">
        <v>104</v>
      </c>
      <c r="Q185">
        <v>1</v>
      </c>
      <c r="X185">
        <v>0.39360000000000001</v>
      </c>
      <c r="Y185">
        <v>6.27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0.39360000000000001</v>
      </c>
      <c r="AH185">
        <v>2</v>
      </c>
      <c r="AI185">
        <v>56612139</v>
      </c>
      <c r="AJ185">
        <v>137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ROW(Source!A112)</f>
        <v>112</v>
      </c>
      <c r="B186">
        <v>56612144</v>
      </c>
      <c r="C186">
        <v>56612136</v>
      </c>
      <c r="D186">
        <v>46556430</v>
      </c>
      <c r="E186">
        <v>27786564</v>
      </c>
      <c r="F186">
        <v>1</v>
      </c>
      <c r="G186">
        <v>27786564</v>
      </c>
      <c r="H186">
        <v>3</v>
      </c>
      <c r="I186" t="s">
        <v>559</v>
      </c>
      <c r="J186" t="s">
        <v>3</v>
      </c>
      <c r="K186" t="s">
        <v>560</v>
      </c>
      <c r="L186">
        <v>1391</v>
      </c>
      <c r="N186">
        <v>1013</v>
      </c>
      <c r="O186" t="s">
        <v>194</v>
      </c>
      <c r="P186" t="s">
        <v>194</v>
      </c>
      <c r="Q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3</v>
      </c>
      <c r="AG186">
        <v>1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ROW(Source!A115)</f>
        <v>115</v>
      </c>
      <c r="B187">
        <v>56612158</v>
      </c>
      <c r="C187">
        <v>56612146</v>
      </c>
      <c r="D187">
        <v>27731869</v>
      </c>
      <c r="E187">
        <v>27731863</v>
      </c>
      <c r="F187">
        <v>1</v>
      </c>
      <c r="G187">
        <v>27786564</v>
      </c>
      <c r="H187">
        <v>1</v>
      </c>
      <c r="I187" t="s">
        <v>438</v>
      </c>
      <c r="J187" t="s">
        <v>3</v>
      </c>
      <c r="K187" t="s">
        <v>439</v>
      </c>
      <c r="L187">
        <v>1191</v>
      </c>
      <c r="N187">
        <v>1013</v>
      </c>
      <c r="O187" t="s">
        <v>440</v>
      </c>
      <c r="P187" t="s">
        <v>440</v>
      </c>
      <c r="Q187">
        <v>1</v>
      </c>
      <c r="X187">
        <v>15.91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22</v>
      </c>
      <c r="AG187">
        <v>17.501000000000001</v>
      </c>
      <c r="AH187">
        <v>2</v>
      </c>
      <c r="AI187">
        <v>56612147</v>
      </c>
      <c r="AJ187">
        <v>139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ROW(Source!A115)</f>
        <v>115</v>
      </c>
      <c r="B188">
        <v>56612159</v>
      </c>
      <c r="C188">
        <v>56612146</v>
      </c>
      <c r="D188">
        <v>30415180</v>
      </c>
      <c r="E188">
        <v>1</v>
      </c>
      <c r="F188">
        <v>1</v>
      </c>
      <c r="G188">
        <v>27786564</v>
      </c>
      <c r="H188">
        <v>2</v>
      </c>
      <c r="I188" t="s">
        <v>497</v>
      </c>
      <c r="J188" t="s">
        <v>498</v>
      </c>
      <c r="K188" t="s">
        <v>499</v>
      </c>
      <c r="L188">
        <v>1367</v>
      </c>
      <c r="N188">
        <v>1011</v>
      </c>
      <c r="O188" t="s">
        <v>500</v>
      </c>
      <c r="P188" t="s">
        <v>500</v>
      </c>
      <c r="Q188">
        <v>1</v>
      </c>
      <c r="X188">
        <v>1.62</v>
      </c>
      <c r="Y188">
        <v>0</v>
      </c>
      <c r="Z188">
        <v>36.08</v>
      </c>
      <c r="AA188">
        <v>3.1</v>
      </c>
      <c r="AB188">
        <v>0</v>
      </c>
      <c r="AC188">
        <v>0</v>
      </c>
      <c r="AD188">
        <v>1</v>
      </c>
      <c r="AE188">
        <v>0</v>
      </c>
      <c r="AF188" t="s">
        <v>22</v>
      </c>
      <c r="AG188">
        <v>1.7820000000000003</v>
      </c>
      <c r="AH188">
        <v>2</v>
      </c>
      <c r="AI188">
        <v>56612148</v>
      </c>
      <c r="AJ188">
        <v>140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ROW(Source!A115)</f>
        <v>115</v>
      </c>
      <c r="B189">
        <v>56612160</v>
      </c>
      <c r="C189">
        <v>56612146</v>
      </c>
      <c r="D189">
        <v>27811655</v>
      </c>
      <c r="E189">
        <v>1</v>
      </c>
      <c r="F189">
        <v>1</v>
      </c>
      <c r="G189">
        <v>27786564</v>
      </c>
      <c r="H189">
        <v>2</v>
      </c>
      <c r="I189" t="s">
        <v>460</v>
      </c>
      <c r="J189" t="s">
        <v>461</v>
      </c>
      <c r="K189" t="s">
        <v>462</v>
      </c>
      <c r="L189">
        <v>1368</v>
      </c>
      <c r="N189">
        <v>1011</v>
      </c>
      <c r="O189" t="s">
        <v>444</v>
      </c>
      <c r="P189" t="s">
        <v>444</v>
      </c>
      <c r="Q189">
        <v>1</v>
      </c>
      <c r="X189">
        <v>0.01</v>
      </c>
      <c r="Y189">
        <v>0</v>
      </c>
      <c r="Z189">
        <v>83.1</v>
      </c>
      <c r="AA189">
        <v>12.62</v>
      </c>
      <c r="AB189">
        <v>0</v>
      </c>
      <c r="AC189">
        <v>0</v>
      </c>
      <c r="AD189">
        <v>1</v>
      </c>
      <c r="AE189">
        <v>0</v>
      </c>
      <c r="AF189" t="s">
        <v>22</v>
      </c>
      <c r="AG189">
        <v>1.1000000000000001E-2</v>
      </c>
      <c r="AH189">
        <v>2</v>
      </c>
      <c r="AI189">
        <v>56612149</v>
      </c>
      <c r="AJ189">
        <v>141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ROW(Source!A115)</f>
        <v>115</v>
      </c>
      <c r="B190">
        <v>56612161</v>
      </c>
      <c r="C190">
        <v>56612146</v>
      </c>
      <c r="D190">
        <v>27811005</v>
      </c>
      <c r="E190">
        <v>1</v>
      </c>
      <c r="F190">
        <v>1</v>
      </c>
      <c r="G190">
        <v>27786564</v>
      </c>
      <c r="H190">
        <v>2</v>
      </c>
      <c r="I190" t="s">
        <v>501</v>
      </c>
      <c r="J190" t="s">
        <v>502</v>
      </c>
      <c r="K190" t="s">
        <v>503</v>
      </c>
      <c r="L190">
        <v>1368</v>
      </c>
      <c r="N190">
        <v>1011</v>
      </c>
      <c r="O190" t="s">
        <v>444</v>
      </c>
      <c r="P190" t="s">
        <v>444</v>
      </c>
      <c r="Q190">
        <v>1</v>
      </c>
      <c r="X190">
        <v>0.17</v>
      </c>
      <c r="Y190">
        <v>0</v>
      </c>
      <c r="Z190">
        <v>0.17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22</v>
      </c>
      <c r="AG190">
        <v>0.18700000000000003</v>
      </c>
      <c r="AH190">
        <v>2</v>
      </c>
      <c r="AI190">
        <v>56612150</v>
      </c>
      <c r="AJ190">
        <v>142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ROW(Source!A115)</f>
        <v>115</v>
      </c>
      <c r="B191">
        <v>56612162</v>
      </c>
      <c r="C191">
        <v>56612146</v>
      </c>
      <c r="D191">
        <v>27786759</v>
      </c>
      <c r="E191">
        <v>1</v>
      </c>
      <c r="F191">
        <v>1</v>
      </c>
      <c r="G191">
        <v>27786564</v>
      </c>
      <c r="H191">
        <v>3</v>
      </c>
      <c r="I191" t="s">
        <v>504</v>
      </c>
      <c r="J191" t="s">
        <v>505</v>
      </c>
      <c r="K191" t="s">
        <v>506</v>
      </c>
      <c r="L191">
        <v>1346</v>
      </c>
      <c r="N191">
        <v>1009</v>
      </c>
      <c r="O191" t="s">
        <v>104</v>
      </c>
      <c r="P191" t="s">
        <v>104</v>
      </c>
      <c r="Q191">
        <v>1</v>
      </c>
      <c r="X191">
        <v>0.5</v>
      </c>
      <c r="Y191">
        <v>1.61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</v>
      </c>
      <c r="AG191">
        <v>0.5</v>
      </c>
      <c r="AH191">
        <v>2</v>
      </c>
      <c r="AI191">
        <v>56612151</v>
      </c>
      <c r="AJ191">
        <v>143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ROW(Source!A115)</f>
        <v>115</v>
      </c>
      <c r="B192">
        <v>56612163</v>
      </c>
      <c r="C192">
        <v>56612146</v>
      </c>
      <c r="D192">
        <v>27787976</v>
      </c>
      <c r="E192">
        <v>1</v>
      </c>
      <c r="F192">
        <v>1</v>
      </c>
      <c r="G192">
        <v>27786564</v>
      </c>
      <c r="H192">
        <v>3</v>
      </c>
      <c r="I192" t="s">
        <v>507</v>
      </c>
      <c r="J192" t="s">
        <v>508</v>
      </c>
      <c r="K192" t="s">
        <v>509</v>
      </c>
      <c r="L192">
        <v>1327</v>
      </c>
      <c r="N192">
        <v>1005</v>
      </c>
      <c r="O192" t="s">
        <v>510</v>
      </c>
      <c r="P192" t="s">
        <v>510</v>
      </c>
      <c r="Q192">
        <v>1</v>
      </c>
      <c r="X192">
        <v>0.05</v>
      </c>
      <c r="Y192">
        <v>127.33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</v>
      </c>
      <c r="AG192">
        <v>0.05</v>
      </c>
      <c r="AH192">
        <v>2</v>
      </c>
      <c r="AI192">
        <v>56612152</v>
      </c>
      <c r="AJ192">
        <v>144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ROW(Source!A115)</f>
        <v>115</v>
      </c>
      <c r="B193">
        <v>56612164</v>
      </c>
      <c r="C193">
        <v>56612146</v>
      </c>
      <c r="D193">
        <v>27788996</v>
      </c>
      <c r="E193">
        <v>1</v>
      </c>
      <c r="F193">
        <v>1</v>
      </c>
      <c r="G193">
        <v>27786564</v>
      </c>
      <c r="H193">
        <v>3</v>
      </c>
      <c r="I193" t="s">
        <v>494</v>
      </c>
      <c r="J193" t="s">
        <v>495</v>
      </c>
      <c r="K193" t="s">
        <v>496</v>
      </c>
      <c r="L193">
        <v>1346</v>
      </c>
      <c r="N193">
        <v>1009</v>
      </c>
      <c r="O193" t="s">
        <v>104</v>
      </c>
      <c r="P193" t="s">
        <v>104</v>
      </c>
      <c r="Q193">
        <v>1</v>
      </c>
      <c r="X193">
        <v>2.52</v>
      </c>
      <c r="Y193">
        <v>6.27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2.52</v>
      </c>
      <c r="AH193">
        <v>2</v>
      </c>
      <c r="AI193">
        <v>56612153</v>
      </c>
      <c r="AJ193">
        <v>145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ROW(Source!A115)</f>
        <v>115</v>
      </c>
      <c r="B194">
        <v>56612165</v>
      </c>
      <c r="C194">
        <v>56612146</v>
      </c>
      <c r="D194">
        <v>27789160</v>
      </c>
      <c r="E194">
        <v>1</v>
      </c>
      <c r="F194">
        <v>1</v>
      </c>
      <c r="G194">
        <v>27786564</v>
      </c>
      <c r="H194">
        <v>3</v>
      </c>
      <c r="I194" t="s">
        <v>511</v>
      </c>
      <c r="J194" t="s">
        <v>512</v>
      </c>
      <c r="K194" t="s">
        <v>513</v>
      </c>
      <c r="L194">
        <v>1354</v>
      </c>
      <c r="N194">
        <v>1010</v>
      </c>
      <c r="O194" t="s">
        <v>93</v>
      </c>
      <c r="P194" t="s">
        <v>93</v>
      </c>
      <c r="Q194">
        <v>1</v>
      </c>
      <c r="X194">
        <v>3.2</v>
      </c>
      <c r="Y194">
        <v>3.22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3.2</v>
      </c>
      <c r="AH194">
        <v>2</v>
      </c>
      <c r="AI194">
        <v>56612154</v>
      </c>
      <c r="AJ194">
        <v>146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ROW(Source!A115)</f>
        <v>115</v>
      </c>
      <c r="B195">
        <v>56612166</v>
      </c>
      <c r="C195">
        <v>56612146</v>
      </c>
      <c r="D195">
        <v>27787487</v>
      </c>
      <c r="E195">
        <v>1</v>
      </c>
      <c r="F195">
        <v>1</v>
      </c>
      <c r="G195">
        <v>27786564</v>
      </c>
      <c r="H195">
        <v>3</v>
      </c>
      <c r="I195" t="s">
        <v>514</v>
      </c>
      <c r="J195" t="s">
        <v>561</v>
      </c>
      <c r="K195" t="s">
        <v>516</v>
      </c>
      <c r="L195">
        <v>1348</v>
      </c>
      <c r="N195">
        <v>1009</v>
      </c>
      <c r="O195" t="s">
        <v>330</v>
      </c>
      <c r="P195" t="s">
        <v>330</v>
      </c>
      <c r="Q195">
        <v>1000</v>
      </c>
      <c r="X195">
        <v>1.0000000000000001E-5</v>
      </c>
      <c r="Y195">
        <v>81246.399999999994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1.0000000000000001E-5</v>
      </c>
      <c r="AH195">
        <v>2</v>
      </c>
      <c r="AI195">
        <v>56612155</v>
      </c>
      <c r="AJ195">
        <v>147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ROW(Source!A115)</f>
        <v>115</v>
      </c>
      <c r="B196">
        <v>56612167</v>
      </c>
      <c r="C196">
        <v>56612146</v>
      </c>
      <c r="D196">
        <v>27790395</v>
      </c>
      <c r="E196">
        <v>1</v>
      </c>
      <c r="F196">
        <v>1</v>
      </c>
      <c r="G196">
        <v>27786564</v>
      </c>
      <c r="H196">
        <v>3</v>
      </c>
      <c r="I196" t="s">
        <v>517</v>
      </c>
      <c r="J196" t="s">
        <v>562</v>
      </c>
      <c r="K196" t="s">
        <v>519</v>
      </c>
      <c r="L196">
        <v>1296</v>
      </c>
      <c r="N196">
        <v>1013</v>
      </c>
      <c r="O196" t="s">
        <v>520</v>
      </c>
      <c r="P196" t="s">
        <v>520</v>
      </c>
      <c r="Q196">
        <v>1</v>
      </c>
      <c r="X196">
        <v>0.6</v>
      </c>
      <c r="Y196">
        <v>16.260000000000002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0.6</v>
      </c>
      <c r="AH196">
        <v>2</v>
      </c>
      <c r="AI196">
        <v>56612156</v>
      </c>
      <c r="AJ196">
        <v>148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ROW(Source!A115)</f>
        <v>115</v>
      </c>
      <c r="B197">
        <v>56612168</v>
      </c>
      <c r="C197">
        <v>56612146</v>
      </c>
      <c r="D197">
        <v>46529254</v>
      </c>
      <c r="E197">
        <v>27731863</v>
      </c>
      <c r="F197">
        <v>1</v>
      </c>
      <c r="G197">
        <v>27786564</v>
      </c>
      <c r="H197">
        <v>3</v>
      </c>
      <c r="I197" t="s">
        <v>559</v>
      </c>
      <c r="J197" t="s">
        <v>3</v>
      </c>
      <c r="K197" t="s">
        <v>560</v>
      </c>
      <c r="L197">
        <v>1391</v>
      </c>
      <c r="N197">
        <v>1013</v>
      </c>
      <c r="O197" t="s">
        <v>194</v>
      </c>
      <c r="P197" t="s">
        <v>194</v>
      </c>
      <c r="Q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3</v>
      </c>
      <c r="AG197">
        <v>1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ROW(Source!A116)</f>
        <v>116</v>
      </c>
      <c r="B198">
        <v>56612158</v>
      </c>
      <c r="C198">
        <v>56612146</v>
      </c>
      <c r="D198">
        <v>27731869</v>
      </c>
      <c r="E198">
        <v>27731863</v>
      </c>
      <c r="F198">
        <v>1</v>
      </c>
      <c r="G198">
        <v>27786564</v>
      </c>
      <c r="H198">
        <v>1</v>
      </c>
      <c r="I198" t="s">
        <v>438</v>
      </c>
      <c r="J198" t="s">
        <v>3</v>
      </c>
      <c r="K198" t="s">
        <v>439</v>
      </c>
      <c r="L198">
        <v>1191</v>
      </c>
      <c r="N198">
        <v>1013</v>
      </c>
      <c r="O198" t="s">
        <v>440</v>
      </c>
      <c r="P198" t="s">
        <v>440</v>
      </c>
      <c r="Q198">
        <v>1</v>
      </c>
      <c r="X198">
        <v>15.91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1</v>
      </c>
      <c r="AF198" t="s">
        <v>22</v>
      </c>
      <c r="AG198">
        <v>17.501000000000001</v>
      </c>
      <c r="AH198">
        <v>2</v>
      </c>
      <c r="AI198">
        <v>56612147</v>
      </c>
      <c r="AJ198">
        <v>150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ROW(Source!A116)</f>
        <v>116</v>
      </c>
      <c r="B199">
        <v>56612159</v>
      </c>
      <c r="C199">
        <v>56612146</v>
      </c>
      <c r="D199">
        <v>30415180</v>
      </c>
      <c r="E199">
        <v>1</v>
      </c>
      <c r="F199">
        <v>1</v>
      </c>
      <c r="G199">
        <v>27786564</v>
      </c>
      <c r="H199">
        <v>2</v>
      </c>
      <c r="I199" t="s">
        <v>497</v>
      </c>
      <c r="J199" t="s">
        <v>498</v>
      </c>
      <c r="K199" t="s">
        <v>499</v>
      </c>
      <c r="L199">
        <v>1367</v>
      </c>
      <c r="N199">
        <v>1011</v>
      </c>
      <c r="O199" t="s">
        <v>500</v>
      </c>
      <c r="P199" t="s">
        <v>500</v>
      </c>
      <c r="Q199">
        <v>1</v>
      </c>
      <c r="X199">
        <v>1.62</v>
      </c>
      <c r="Y199">
        <v>0</v>
      </c>
      <c r="Z199">
        <v>36.08</v>
      </c>
      <c r="AA199">
        <v>3.1</v>
      </c>
      <c r="AB199">
        <v>0</v>
      </c>
      <c r="AC199">
        <v>0</v>
      </c>
      <c r="AD199">
        <v>1</v>
      </c>
      <c r="AE199">
        <v>0</v>
      </c>
      <c r="AF199" t="s">
        <v>22</v>
      </c>
      <c r="AG199">
        <v>1.7820000000000003</v>
      </c>
      <c r="AH199">
        <v>2</v>
      </c>
      <c r="AI199">
        <v>56612148</v>
      </c>
      <c r="AJ199">
        <v>151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ROW(Source!A116)</f>
        <v>116</v>
      </c>
      <c r="B200">
        <v>56612160</v>
      </c>
      <c r="C200">
        <v>56612146</v>
      </c>
      <c r="D200">
        <v>27811655</v>
      </c>
      <c r="E200">
        <v>1</v>
      </c>
      <c r="F200">
        <v>1</v>
      </c>
      <c r="G200">
        <v>27786564</v>
      </c>
      <c r="H200">
        <v>2</v>
      </c>
      <c r="I200" t="s">
        <v>460</v>
      </c>
      <c r="J200" t="s">
        <v>461</v>
      </c>
      <c r="K200" t="s">
        <v>462</v>
      </c>
      <c r="L200">
        <v>1368</v>
      </c>
      <c r="N200">
        <v>1011</v>
      </c>
      <c r="O200" t="s">
        <v>444</v>
      </c>
      <c r="P200" t="s">
        <v>444</v>
      </c>
      <c r="Q200">
        <v>1</v>
      </c>
      <c r="X200">
        <v>0.01</v>
      </c>
      <c r="Y200">
        <v>0</v>
      </c>
      <c r="Z200">
        <v>83.1</v>
      </c>
      <c r="AA200">
        <v>12.62</v>
      </c>
      <c r="AB200">
        <v>0</v>
      </c>
      <c r="AC200">
        <v>0</v>
      </c>
      <c r="AD200">
        <v>1</v>
      </c>
      <c r="AE200">
        <v>0</v>
      </c>
      <c r="AF200" t="s">
        <v>22</v>
      </c>
      <c r="AG200">
        <v>1.1000000000000001E-2</v>
      </c>
      <c r="AH200">
        <v>2</v>
      </c>
      <c r="AI200">
        <v>56612149</v>
      </c>
      <c r="AJ200">
        <v>152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ROW(Source!A116)</f>
        <v>116</v>
      </c>
      <c r="B201">
        <v>56612161</v>
      </c>
      <c r="C201">
        <v>56612146</v>
      </c>
      <c r="D201">
        <v>27811005</v>
      </c>
      <c r="E201">
        <v>1</v>
      </c>
      <c r="F201">
        <v>1</v>
      </c>
      <c r="G201">
        <v>27786564</v>
      </c>
      <c r="H201">
        <v>2</v>
      </c>
      <c r="I201" t="s">
        <v>501</v>
      </c>
      <c r="J201" t="s">
        <v>502</v>
      </c>
      <c r="K201" t="s">
        <v>503</v>
      </c>
      <c r="L201">
        <v>1368</v>
      </c>
      <c r="N201">
        <v>1011</v>
      </c>
      <c r="O201" t="s">
        <v>444</v>
      </c>
      <c r="P201" t="s">
        <v>444</v>
      </c>
      <c r="Q201">
        <v>1</v>
      </c>
      <c r="X201">
        <v>0.17</v>
      </c>
      <c r="Y201">
        <v>0</v>
      </c>
      <c r="Z201">
        <v>0.17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22</v>
      </c>
      <c r="AG201">
        <v>0.18700000000000003</v>
      </c>
      <c r="AH201">
        <v>2</v>
      </c>
      <c r="AI201">
        <v>56612150</v>
      </c>
      <c r="AJ201">
        <v>153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ROW(Source!A116)</f>
        <v>116</v>
      </c>
      <c r="B202">
        <v>56612162</v>
      </c>
      <c r="C202">
        <v>56612146</v>
      </c>
      <c r="D202">
        <v>27786759</v>
      </c>
      <c r="E202">
        <v>1</v>
      </c>
      <c r="F202">
        <v>1</v>
      </c>
      <c r="G202">
        <v>27786564</v>
      </c>
      <c r="H202">
        <v>3</v>
      </c>
      <c r="I202" t="s">
        <v>504</v>
      </c>
      <c r="J202" t="s">
        <v>505</v>
      </c>
      <c r="K202" t="s">
        <v>506</v>
      </c>
      <c r="L202">
        <v>1346</v>
      </c>
      <c r="N202">
        <v>1009</v>
      </c>
      <c r="O202" t="s">
        <v>104</v>
      </c>
      <c r="P202" t="s">
        <v>104</v>
      </c>
      <c r="Q202">
        <v>1</v>
      </c>
      <c r="X202">
        <v>0.5</v>
      </c>
      <c r="Y202">
        <v>1.61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</v>
      </c>
      <c r="AG202">
        <v>0.5</v>
      </c>
      <c r="AH202">
        <v>2</v>
      </c>
      <c r="AI202">
        <v>56612151</v>
      </c>
      <c r="AJ202">
        <v>154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ROW(Source!A116)</f>
        <v>116</v>
      </c>
      <c r="B203">
        <v>56612163</v>
      </c>
      <c r="C203">
        <v>56612146</v>
      </c>
      <c r="D203">
        <v>27787976</v>
      </c>
      <c r="E203">
        <v>1</v>
      </c>
      <c r="F203">
        <v>1</v>
      </c>
      <c r="G203">
        <v>27786564</v>
      </c>
      <c r="H203">
        <v>3</v>
      </c>
      <c r="I203" t="s">
        <v>507</v>
      </c>
      <c r="J203" t="s">
        <v>508</v>
      </c>
      <c r="K203" t="s">
        <v>509</v>
      </c>
      <c r="L203">
        <v>1327</v>
      </c>
      <c r="N203">
        <v>1005</v>
      </c>
      <c r="O203" t="s">
        <v>510</v>
      </c>
      <c r="P203" t="s">
        <v>510</v>
      </c>
      <c r="Q203">
        <v>1</v>
      </c>
      <c r="X203">
        <v>0.05</v>
      </c>
      <c r="Y203">
        <v>127.33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</v>
      </c>
      <c r="AG203">
        <v>0.05</v>
      </c>
      <c r="AH203">
        <v>2</v>
      </c>
      <c r="AI203">
        <v>56612152</v>
      </c>
      <c r="AJ203">
        <v>155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ROW(Source!A116)</f>
        <v>116</v>
      </c>
      <c r="B204">
        <v>56612164</v>
      </c>
      <c r="C204">
        <v>56612146</v>
      </c>
      <c r="D204">
        <v>27788996</v>
      </c>
      <c r="E204">
        <v>1</v>
      </c>
      <c r="F204">
        <v>1</v>
      </c>
      <c r="G204">
        <v>27786564</v>
      </c>
      <c r="H204">
        <v>3</v>
      </c>
      <c r="I204" t="s">
        <v>494</v>
      </c>
      <c r="J204" t="s">
        <v>495</v>
      </c>
      <c r="K204" t="s">
        <v>496</v>
      </c>
      <c r="L204">
        <v>1346</v>
      </c>
      <c r="N204">
        <v>1009</v>
      </c>
      <c r="O204" t="s">
        <v>104</v>
      </c>
      <c r="P204" t="s">
        <v>104</v>
      </c>
      <c r="Q204">
        <v>1</v>
      </c>
      <c r="X204">
        <v>2.52</v>
      </c>
      <c r="Y204">
        <v>6.27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</v>
      </c>
      <c r="AG204">
        <v>2.52</v>
      </c>
      <c r="AH204">
        <v>2</v>
      </c>
      <c r="AI204">
        <v>56612153</v>
      </c>
      <c r="AJ204">
        <v>156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ROW(Source!A116)</f>
        <v>116</v>
      </c>
      <c r="B205">
        <v>56612165</v>
      </c>
      <c r="C205">
        <v>56612146</v>
      </c>
      <c r="D205">
        <v>27789160</v>
      </c>
      <c r="E205">
        <v>1</v>
      </c>
      <c r="F205">
        <v>1</v>
      </c>
      <c r="G205">
        <v>27786564</v>
      </c>
      <c r="H205">
        <v>3</v>
      </c>
      <c r="I205" t="s">
        <v>511</v>
      </c>
      <c r="J205" t="s">
        <v>512</v>
      </c>
      <c r="K205" t="s">
        <v>513</v>
      </c>
      <c r="L205">
        <v>1354</v>
      </c>
      <c r="N205">
        <v>1010</v>
      </c>
      <c r="O205" t="s">
        <v>93</v>
      </c>
      <c r="P205" t="s">
        <v>93</v>
      </c>
      <c r="Q205">
        <v>1</v>
      </c>
      <c r="X205">
        <v>3.2</v>
      </c>
      <c r="Y205">
        <v>3.22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3.2</v>
      </c>
      <c r="AH205">
        <v>2</v>
      </c>
      <c r="AI205">
        <v>56612154</v>
      </c>
      <c r="AJ205">
        <v>157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ROW(Source!A116)</f>
        <v>116</v>
      </c>
      <c r="B206">
        <v>56612166</v>
      </c>
      <c r="C206">
        <v>56612146</v>
      </c>
      <c r="D206">
        <v>27787487</v>
      </c>
      <c r="E206">
        <v>1</v>
      </c>
      <c r="F206">
        <v>1</v>
      </c>
      <c r="G206">
        <v>27786564</v>
      </c>
      <c r="H206">
        <v>3</v>
      </c>
      <c r="I206" t="s">
        <v>514</v>
      </c>
      <c r="J206" t="s">
        <v>561</v>
      </c>
      <c r="K206" t="s">
        <v>516</v>
      </c>
      <c r="L206">
        <v>1348</v>
      </c>
      <c r="N206">
        <v>1009</v>
      </c>
      <c r="O206" t="s">
        <v>330</v>
      </c>
      <c r="P206" t="s">
        <v>330</v>
      </c>
      <c r="Q206">
        <v>1000</v>
      </c>
      <c r="X206">
        <v>1.0000000000000001E-5</v>
      </c>
      <c r="Y206">
        <v>81246.399999999994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</v>
      </c>
      <c r="AG206">
        <v>1.0000000000000001E-5</v>
      </c>
      <c r="AH206">
        <v>2</v>
      </c>
      <c r="AI206">
        <v>56612155</v>
      </c>
      <c r="AJ206">
        <v>158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ROW(Source!A116)</f>
        <v>116</v>
      </c>
      <c r="B207">
        <v>56612167</v>
      </c>
      <c r="C207">
        <v>56612146</v>
      </c>
      <c r="D207">
        <v>27790395</v>
      </c>
      <c r="E207">
        <v>1</v>
      </c>
      <c r="F207">
        <v>1</v>
      </c>
      <c r="G207">
        <v>27786564</v>
      </c>
      <c r="H207">
        <v>3</v>
      </c>
      <c r="I207" t="s">
        <v>517</v>
      </c>
      <c r="J207" t="s">
        <v>562</v>
      </c>
      <c r="K207" t="s">
        <v>519</v>
      </c>
      <c r="L207">
        <v>1296</v>
      </c>
      <c r="N207">
        <v>1013</v>
      </c>
      <c r="O207" t="s">
        <v>520</v>
      </c>
      <c r="P207" t="s">
        <v>520</v>
      </c>
      <c r="Q207">
        <v>1</v>
      </c>
      <c r="X207">
        <v>0.6</v>
      </c>
      <c r="Y207">
        <v>16.260000000000002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</v>
      </c>
      <c r="AG207">
        <v>0.6</v>
      </c>
      <c r="AH207">
        <v>2</v>
      </c>
      <c r="AI207">
        <v>56612156</v>
      </c>
      <c r="AJ207">
        <v>159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ROW(Source!A116)</f>
        <v>116</v>
      </c>
      <c r="B208">
        <v>56612168</v>
      </c>
      <c r="C208">
        <v>56612146</v>
      </c>
      <c r="D208">
        <v>46529254</v>
      </c>
      <c r="E208">
        <v>27731863</v>
      </c>
      <c r="F208">
        <v>1</v>
      </c>
      <c r="G208">
        <v>27786564</v>
      </c>
      <c r="H208">
        <v>3</v>
      </c>
      <c r="I208" t="s">
        <v>559</v>
      </c>
      <c r="J208" t="s">
        <v>3</v>
      </c>
      <c r="K208" t="s">
        <v>560</v>
      </c>
      <c r="L208">
        <v>1391</v>
      </c>
      <c r="N208">
        <v>1013</v>
      </c>
      <c r="O208" t="s">
        <v>194</v>
      </c>
      <c r="P208" t="s">
        <v>194</v>
      </c>
      <c r="Q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</v>
      </c>
      <c r="AG208">
        <v>1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ROW(Source!A119)</f>
        <v>119</v>
      </c>
      <c r="B209">
        <v>56612171</v>
      </c>
      <c r="C209">
        <v>56612170</v>
      </c>
      <c r="D209">
        <v>47634407</v>
      </c>
      <c r="E209">
        <v>27786564</v>
      </c>
      <c r="F209">
        <v>1</v>
      </c>
      <c r="G209">
        <v>27786564</v>
      </c>
      <c r="H209">
        <v>1</v>
      </c>
      <c r="I209" t="s">
        <v>438</v>
      </c>
      <c r="J209" t="s">
        <v>3</v>
      </c>
      <c r="K209" t="s">
        <v>439</v>
      </c>
      <c r="L209">
        <v>1191</v>
      </c>
      <c r="N209">
        <v>1013</v>
      </c>
      <c r="O209" t="s">
        <v>440</v>
      </c>
      <c r="P209" t="s">
        <v>440</v>
      </c>
      <c r="Q209">
        <v>1</v>
      </c>
      <c r="X209">
        <v>116.43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 t="s">
        <v>70</v>
      </c>
      <c r="AG209">
        <v>153.6876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ROW(Source!A119)</f>
        <v>119</v>
      </c>
      <c r="B210">
        <v>56612172</v>
      </c>
      <c r="C210">
        <v>56612170</v>
      </c>
      <c r="D210">
        <v>47767106</v>
      </c>
      <c r="E210">
        <v>1</v>
      </c>
      <c r="F210">
        <v>1</v>
      </c>
      <c r="G210">
        <v>27786564</v>
      </c>
      <c r="H210">
        <v>2</v>
      </c>
      <c r="I210" t="s">
        <v>460</v>
      </c>
      <c r="J210" t="s">
        <v>461</v>
      </c>
      <c r="K210" t="s">
        <v>462</v>
      </c>
      <c r="L210">
        <v>1368</v>
      </c>
      <c r="N210">
        <v>1011</v>
      </c>
      <c r="O210" t="s">
        <v>444</v>
      </c>
      <c r="P210" t="s">
        <v>444</v>
      </c>
      <c r="Q210">
        <v>1</v>
      </c>
      <c r="X210">
        <v>0.16</v>
      </c>
      <c r="Y210">
        <v>0</v>
      </c>
      <c r="Z210">
        <v>83.1</v>
      </c>
      <c r="AA210">
        <v>12.62</v>
      </c>
      <c r="AB210">
        <v>0</v>
      </c>
      <c r="AC210">
        <v>0</v>
      </c>
      <c r="AD210">
        <v>1</v>
      </c>
      <c r="AE210">
        <v>0</v>
      </c>
      <c r="AF210" t="s">
        <v>70</v>
      </c>
      <c r="AG210">
        <v>0.21120000000000003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ROW(Source!A119)</f>
        <v>119</v>
      </c>
      <c r="B211">
        <v>56612173</v>
      </c>
      <c r="C211">
        <v>56612170</v>
      </c>
      <c r="D211">
        <v>30390462</v>
      </c>
      <c r="E211">
        <v>1</v>
      </c>
      <c r="F211">
        <v>1</v>
      </c>
      <c r="G211">
        <v>27786564</v>
      </c>
      <c r="H211">
        <v>3</v>
      </c>
      <c r="I211" t="s">
        <v>504</v>
      </c>
      <c r="J211" t="s">
        <v>505</v>
      </c>
      <c r="K211" t="s">
        <v>506</v>
      </c>
      <c r="L211">
        <v>1346</v>
      </c>
      <c r="N211">
        <v>1009</v>
      </c>
      <c r="O211" t="s">
        <v>104</v>
      </c>
      <c r="P211" t="s">
        <v>104</v>
      </c>
      <c r="Q211">
        <v>1</v>
      </c>
      <c r="X211">
        <v>5</v>
      </c>
      <c r="Y211">
        <v>1.61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42</v>
      </c>
      <c r="AG211">
        <v>5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ROW(Source!A119)</f>
        <v>119</v>
      </c>
      <c r="B212">
        <v>56612174</v>
      </c>
      <c r="C212">
        <v>56612170</v>
      </c>
      <c r="D212">
        <v>46724002</v>
      </c>
      <c r="E212">
        <v>1</v>
      </c>
      <c r="F212">
        <v>1</v>
      </c>
      <c r="G212">
        <v>27786564</v>
      </c>
      <c r="H212">
        <v>3</v>
      </c>
      <c r="I212" t="s">
        <v>507</v>
      </c>
      <c r="J212" t="s">
        <v>508</v>
      </c>
      <c r="K212" t="s">
        <v>509</v>
      </c>
      <c r="L212">
        <v>1327</v>
      </c>
      <c r="N212">
        <v>1005</v>
      </c>
      <c r="O212" t="s">
        <v>510</v>
      </c>
      <c r="P212" t="s">
        <v>510</v>
      </c>
      <c r="Q212">
        <v>1</v>
      </c>
      <c r="X212">
        <v>5</v>
      </c>
      <c r="Y212">
        <v>127.33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42</v>
      </c>
      <c r="AG212">
        <v>5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ROW(Source!A119)</f>
        <v>119</v>
      </c>
      <c r="B213">
        <v>56612175</v>
      </c>
      <c r="C213">
        <v>56612170</v>
      </c>
      <c r="D213">
        <v>47765724</v>
      </c>
      <c r="E213">
        <v>1</v>
      </c>
      <c r="F213">
        <v>1</v>
      </c>
      <c r="G213">
        <v>27786564</v>
      </c>
      <c r="H213">
        <v>3</v>
      </c>
      <c r="I213" t="s">
        <v>563</v>
      </c>
      <c r="J213" t="s">
        <v>564</v>
      </c>
      <c r="K213" t="s">
        <v>565</v>
      </c>
      <c r="L213">
        <v>1354</v>
      </c>
      <c r="N213">
        <v>1010</v>
      </c>
      <c r="O213" t="s">
        <v>93</v>
      </c>
      <c r="P213" t="s">
        <v>93</v>
      </c>
      <c r="Q213">
        <v>1</v>
      </c>
      <c r="X213">
        <v>1.2</v>
      </c>
      <c r="Y213">
        <v>38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42</v>
      </c>
      <c r="AG213">
        <v>1.2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ROW(Source!A119)</f>
        <v>119</v>
      </c>
      <c r="B214">
        <v>56612176</v>
      </c>
      <c r="C214">
        <v>56612170</v>
      </c>
      <c r="D214">
        <v>30394098</v>
      </c>
      <c r="E214">
        <v>1</v>
      </c>
      <c r="F214">
        <v>1</v>
      </c>
      <c r="G214">
        <v>27786564</v>
      </c>
      <c r="H214">
        <v>3</v>
      </c>
      <c r="I214" t="s">
        <v>517</v>
      </c>
      <c r="J214" t="s">
        <v>562</v>
      </c>
      <c r="K214" t="s">
        <v>519</v>
      </c>
      <c r="L214">
        <v>1296</v>
      </c>
      <c r="N214">
        <v>1013</v>
      </c>
      <c r="O214" t="s">
        <v>520</v>
      </c>
      <c r="P214" t="s">
        <v>520</v>
      </c>
      <c r="Q214">
        <v>1</v>
      </c>
      <c r="X214">
        <v>15</v>
      </c>
      <c r="Y214">
        <v>16.260000000000002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42</v>
      </c>
      <c r="AG214">
        <v>15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ROW(Source!A119)</f>
        <v>119</v>
      </c>
      <c r="B215">
        <v>56612177</v>
      </c>
      <c r="C215">
        <v>56612170</v>
      </c>
      <c r="D215">
        <v>46556430</v>
      </c>
      <c r="E215">
        <v>27786564</v>
      </c>
      <c r="F215">
        <v>1</v>
      </c>
      <c r="G215">
        <v>27786564</v>
      </c>
      <c r="H215">
        <v>3</v>
      </c>
      <c r="I215" t="s">
        <v>559</v>
      </c>
      <c r="J215" t="s">
        <v>3</v>
      </c>
      <c r="K215" t="s">
        <v>566</v>
      </c>
      <c r="L215">
        <v>1391</v>
      </c>
      <c r="N215">
        <v>1013</v>
      </c>
      <c r="O215" t="s">
        <v>194</v>
      </c>
      <c r="P215" t="s">
        <v>194</v>
      </c>
      <c r="Q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42</v>
      </c>
      <c r="AG215">
        <v>0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ROW(Source!A120)</f>
        <v>120</v>
      </c>
      <c r="B216">
        <v>56612171</v>
      </c>
      <c r="C216">
        <v>56612170</v>
      </c>
      <c r="D216">
        <v>47634407</v>
      </c>
      <c r="E216">
        <v>27786564</v>
      </c>
      <c r="F216">
        <v>1</v>
      </c>
      <c r="G216">
        <v>27786564</v>
      </c>
      <c r="H216">
        <v>1</v>
      </c>
      <c r="I216" t="s">
        <v>438</v>
      </c>
      <c r="J216" t="s">
        <v>3</v>
      </c>
      <c r="K216" t="s">
        <v>439</v>
      </c>
      <c r="L216">
        <v>1191</v>
      </c>
      <c r="N216">
        <v>1013</v>
      </c>
      <c r="O216" t="s">
        <v>440</v>
      </c>
      <c r="P216" t="s">
        <v>440</v>
      </c>
      <c r="Q216">
        <v>1</v>
      </c>
      <c r="X216">
        <v>116.43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 t="s">
        <v>70</v>
      </c>
      <c r="AG216">
        <v>153.6876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ROW(Source!A120)</f>
        <v>120</v>
      </c>
      <c r="B217">
        <v>56612172</v>
      </c>
      <c r="C217">
        <v>56612170</v>
      </c>
      <c r="D217">
        <v>47767106</v>
      </c>
      <c r="E217">
        <v>1</v>
      </c>
      <c r="F217">
        <v>1</v>
      </c>
      <c r="G217">
        <v>27786564</v>
      </c>
      <c r="H217">
        <v>2</v>
      </c>
      <c r="I217" t="s">
        <v>460</v>
      </c>
      <c r="J217" t="s">
        <v>461</v>
      </c>
      <c r="K217" t="s">
        <v>462</v>
      </c>
      <c r="L217">
        <v>1368</v>
      </c>
      <c r="N217">
        <v>1011</v>
      </c>
      <c r="O217" t="s">
        <v>444</v>
      </c>
      <c r="P217" t="s">
        <v>444</v>
      </c>
      <c r="Q217">
        <v>1</v>
      </c>
      <c r="X217">
        <v>0.16</v>
      </c>
      <c r="Y217">
        <v>0</v>
      </c>
      <c r="Z217">
        <v>83.1</v>
      </c>
      <c r="AA217">
        <v>12.62</v>
      </c>
      <c r="AB217">
        <v>0</v>
      </c>
      <c r="AC217">
        <v>0</v>
      </c>
      <c r="AD217">
        <v>1</v>
      </c>
      <c r="AE217">
        <v>0</v>
      </c>
      <c r="AF217" t="s">
        <v>70</v>
      </c>
      <c r="AG217">
        <v>0.21120000000000003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ROW(Source!A120)</f>
        <v>120</v>
      </c>
      <c r="B218">
        <v>56612173</v>
      </c>
      <c r="C218">
        <v>56612170</v>
      </c>
      <c r="D218">
        <v>30390462</v>
      </c>
      <c r="E218">
        <v>1</v>
      </c>
      <c r="F218">
        <v>1</v>
      </c>
      <c r="G218">
        <v>27786564</v>
      </c>
      <c r="H218">
        <v>3</v>
      </c>
      <c r="I218" t="s">
        <v>504</v>
      </c>
      <c r="J218" t="s">
        <v>505</v>
      </c>
      <c r="K218" t="s">
        <v>506</v>
      </c>
      <c r="L218">
        <v>1346</v>
      </c>
      <c r="N218">
        <v>1009</v>
      </c>
      <c r="O218" t="s">
        <v>104</v>
      </c>
      <c r="P218" t="s">
        <v>104</v>
      </c>
      <c r="Q218">
        <v>1</v>
      </c>
      <c r="X218">
        <v>5</v>
      </c>
      <c r="Y218">
        <v>1.61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42</v>
      </c>
      <c r="AG218">
        <v>5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ROW(Source!A120)</f>
        <v>120</v>
      </c>
      <c r="B219">
        <v>56612174</v>
      </c>
      <c r="C219">
        <v>56612170</v>
      </c>
      <c r="D219">
        <v>46724002</v>
      </c>
      <c r="E219">
        <v>1</v>
      </c>
      <c r="F219">
        <v>1</v>
      </c>
      <c r="G219">
        <v>27786564</v>
      </c>
      <c r="H219">
        <v>3</v>
      </c>
      <c r="I219" t="s">
        <v>507</v>
      </c>
      <c r="J219" t="s">
        <v>508</v>
      </c>
      <c r="K219" t="s">
        <v>509</v>
      </c>
      <c r="L219">
        <v>1327</v>
      </c>
      <c r="N219">
        <v>1005</v>
      </c>
      <c r="O219" t="s">
        <v>510</v>
      </c>
      <c r="P219" t="s">
        <v>510</v>
      </c>
      <c r="Q219">
        <v>1</v>
      </c>
      <c r="X219">
        <v>5</v>
      </c>
      <c r="Y219">
        <v>127.33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42</v>
      </c>
      <c r="AG219">
        <v>5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ROW(Source!A120)</f>
        <v>120</v>
      </c>
      <c r="B220">
        <v>56612175</v>
      </c>
      <c r="C220">
        <v>56612170</v>
      </c>
      <c r="D220">
        <v>47765724</v>
      </c>
      <c r="E220">
        <v>1</v>
      </c>
      <c r="F220">
        <v>1</v>
      </c>
      <c r="G220">
        <v>27786564</v>
      </c>
      <c r="H220">
        <v>3</v>
      </c>
      <c r="I220" t="s">
        <v>563</v>
      </c>
      <c r="J220" t="s">
        <v>564</v>
      </c>
      <c r="K220" t="s">
        <v>565</v>
      </c>
      <c r="L220">
        <v>1354</v>
      </c>
      <c r="N220">
        <v>1010</v>
      </c>
      <c r="O220" t="s">
        <v>93</v>
      </c>
      <c r="P220" t="s">
        <v>93</v>
      </c>
      <c r="Q220">
        <v>1</v>
      </c>
      <c r="X220">
        <v>1.2</v>
      </c>
      <c r="Y220">
        <v>38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42</v>
      </c>
      <c r="AG220">
        <v>1.2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ROW(Source!A120)</f>
        <v>120</v>
      </c>
      <c r="B221">
        <v>56612176</v>
      </c>
      <c r="C221">
        <v>56612170</v>
      </c>
      <c r="D221">
        <v>30394098</v>
      </c>
      <c r="E221">
        <v>1</v>
      </c>
      <c r="F221">
        <v>1</v>
      </c>
      <c r="G221">
        <v>27786564</v>
      </c>
      <c r="H221">
        <v>3</v>
      </c>
      <c r="I221" t="s">
        <v>517</v>
      </c>
      <c r="J221" t="s">
        <v>562</v>
      </c>
      <c r="K221" t="s">
        <v>519</v>
      </c>
      <c r="L221">
        <v>1296</v>
      </c>
      <c r="N221">
        <v>1013</v>
      </c>
      <c r="O221" t="s">
        <v>520</v>
      </c>
      <c r="P221" t="s">
        <v>520</v>
      </c>
      <c r="Q221">
        <v>1</v>
      </c>
      <c r="X221">
        <v>15</v>
      </c>
      <c r="Y221">
        <v>16.260000000000002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42</v>
      </c>
      <c r="AG221">
        <v>15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ROW(Source!A120)</f>
        <v>120</v>
      </c>
      <c r="B222">
        <v>56612177</v>
      </c>
      <c r="C222">
        <v>56612170</v>
      </c>
      <c r="D222">
        <v>46556430</v>
      </c>
      <c r="E222">
        <v>27786564</v>
      </c>
      <c r="F222">
        <v>1</v>
      </c>
      <c r="G222">
        <v>27786564</v>
      </c>
      <c r="H222">
        <v>3</v>
      </c>
      <c r="I222" t="s">
        <v>559</v>
      </c>
      <c r="J222" t="s">
        <v>3</v>
      </c>
      <c r="K222" t="s">
        <v>566</v>
      </c>
      <c r="L222">
        <v>1391</v>
      </c>
      <c r="N222">
        <v>1013</v>
      </c>
      <c r="O222" t="s">
        <v>194</v>
      </c>
      <c r="P222" t="s">
        <v>194</v>
      </c>
      <c r="Q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42</v>
      </c>
      <c r="AG222">
        <v>0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ROW(Source!A123)</f>
        <v>123</v>
      </c>
      <c r="B223">
        <v>56612180</v>
      </c>
      <c r="C223">
        <v>56612179</v>
      </c>
      <c r="D223">
        <v>47634407</v>
      </c>
      <c r="E223">
        <v>27786564</v>
      </c>
      <c r="F223">
        <v>1</v>
      </c>
      <c r="G223">
        <v>27786564</v>
      </c>
      <c r="H223">
        <v>1</v>
      </c>
      <c r="I223" t="s">
        <v>438</v>
      </c>
      <c r="J223" t="s">
        <v>3</v>
      </c>
      <c r="K223" t="s">
        <v>439</v>
      </c>
      <c r="L223">
        <v>1191</v>
      </c>
      <c r="N223">
        <v>1013</v>
      </c>
      <c r="O223" t="s">
        <v>440</v>
      </c>
      <c r="P223" t="s">
        <v>440</v>
      </c>
      <c r="Q223">
        <v>1</v>
      </c>
      <c r="X223">
        <v>155.88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 t="s">
        <v>70</v>
      </c>
      <c r="AG223">
        <v>205.76160000000002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ROW(Source!A123)</f>
        <v>123</v>
      </c>
      <c r="B224">
        <v>56612181</v>
      </c>
      <c r="C224">
        <v>56612179</v>
      </c>
      <c r="D224">
        <v>30415180</v>
      </c>
      <c r="E224">
        <v>1</v>
      </c>
      <c r="F224">
        <v>1</v>
      </c>
      <c r="G224">
        <v>27786564</v>
      </c>
      <c r="H224">
        <v>2</v>
      </c>
      <c r="I224" t="s">
        <v>497</v>
      </c>
      <c r="J224" t="s">
        <v>498</v>
      </c>
      <c r="K224" t="s">
        <v>499</v>
      </c>
      <c r="L224">
        <v>1367</v>
      </c>
      <c r="N224">
        <v>1011</v>
      </c>
      <c r="O224" t="s">
        <v>500</v>
      </c>
      <c r="P224" t="s">
        <v>500</v>
      </c>
      <c r="Q224">
        <v>1</v>
      </c>
      <c r="X224">
        <v>19.72</v>
      </c>
      <c r="Y224">
        <v>0</v>
      </c>
      <c r="Z224">
        <v>36.08</v>
      </c>
      <c r="AA224">
        <v>3.1</v>
      </c>
      <c r="AB224">
        <v>0</v>
      </c>
      <c r="AC224">
        <v>0</v>
      </c>
      <c r="AD224">
        <v>1</v>
      </c>
      <c r="AE224">
        <v>0</v>
      </c>
      <c r="AF224" t="s">
        <v>70</v>
      </c>
      <c r="AG224">
        <v>26.0304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ROW(Source!A123)</f>
        <v>123</v>
      </c>
      <c r="B225">
        <v>56612182</v>
      </c>
      <c r="C225">
        <v>56612179</v>
      </c>
      <c r="D225">
        <v>47767106</v>
      </c>
      <c r="E225">
        <v>1</v>
      </c>
      <c r="F225">
        <v>1</v>
      </c>
      <c r="G225">
        <v>27786564</v>
      </c>
      <c r="H225">
        <v>2</v>
      </c>
      <c r="I225" t="s">
        <v>460</v>
      </c>
      <c r="J225" t="s">
        <v>461</v>
      </c>
      <c r="K225" t="s">
        <v>462</v>
      </c>
      <c r="L225">
        <v>1368</v>
      </c>
      <c r="N225">
        <v>1011</v>
      </c>
      <c r="O225" t="s">
        <v>444</v>
      </c>
      <c r="P225" t="s">
        <v>444</v>
      </c>
      <c r="Q225">
        <v>1</v>
      </c>
      <c r="X225">
        <v>0.05</v>
      </c>
      <c r="Y225">
        <v>0</v>
      </c>
      <c r="Z225">
        <v>83.1</v>
      </c>
      <c r="AA225">
        <v>12.62</v>
      </c>
      <c r="AB225">
        <v>0</v>
      </c>
      <c r="AC225">
        <v>0</v>
      </c>
      <c r="AD225">
        <v>1</v>
      </c>
      <c r="AE225">
        <v>0</v>
      </c>
      <c r="AF225" t="s">
        <v>70</v>
      </c>
      <c r="AG225">
        <v>6.6000000000000003E-2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ROW(Source!A123)</f>
        <v>123</v>
      </c>
      <c r="B226">
        <v>56612183</v>
      </c>
      <c r="C226">
        <v>56612179</v>
      </c>
      <c r="D226">
        <v>30390462</v>
      </c>
      <c r="E226">
        <v>1</v>
      </c>
      <c r="F226">
        <v>1</v>
      </c>
      <c r="G226">
        <v>27786564</v>
      </c>
      <c r="H226">
        <v>3</v>
      </c>
      <c r="I226" t="s">
        <v>504</v>
      </c>
      <c r="J226" t="s">
        <v>505</v>
      </c>
      <c r="K226" t="s">
        <v>506</v>
      </c>
      <c r="L226">
        <v>1346</v>
      </c>
      <c r="N226">
        <v>1009</v>
      </c>
      <c r="O226" t="s">
        <v>104</v>
      </c>
      <c r="P226" t="s">
        <v>104</v>
      </c>
      <c r="Q226">
        <v>1</v>
      </c>
      <c r="X226">
        <v>10</v>
      </c>
      <c r="Y226">
        <v>1.61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42</v>
      </c>
      <c r="AG226">
        <v>10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ROW(Source!A123)</f>
        <v>123</v>
      </c>
      <c r="B227">
        <v>56612184</v>
      </c>
      <c r="C227">
        <v>56612179</v>
      </c>
      <c r="D227">
        <v>46724002</v>
      </c>
      <c r="E227">
        <v>1</v>
      </c>
      <c r="F227">
        <v>1</v>
      </c>
      <c r="G227">
        <v>27786564</v>
      </c>
      <c r="H227">
        <v>3</v>
      </c>
      <c r="I227" t="s">
        <v>507</v>
      </c>
      <c r="J227" t="s">
        <v>508</v>
      </c>
      <c r="K227" t="s">
        <v>509</v>
      </c>
      <c r="L227">
        <v>1327</v>
      </c>
      <c r="N227">
        <v>1005</v>
      </c>
      <c r="O227" t="s">
        <v>510</v>
      </c>
      <c r="P227" t="s">
        <v>510</v>
      </c>
      <c r="Q227">
        <v>1</v>
      </c>
      <c r="X227">
        <v>1</v>
      </c>
      <c r="Y227">
        <v>127.33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42</v>
      </c>
      <c r="AG227">
        <v>1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ROW(Source!A123)</f>
        <v>123</v>
      </c>
      <c r="B228">
        <v>56612185</v>
      </c>
      <c r="C228">
        <v>56612179</v>
      </c>
      <c r="D228">
        <v>37620224</v>
      </c>
      <c r="E228">
        <v>1</v>
      </c>
      <c r="F228">
        <v>1</v>
      </c>
      <c r="G228">
        <v>27786564</v>
      </c>
      <c r="H228">
        <v>3</v>
      </c>
      <c r="I228" t="s">
        <v>494</v>
      </c>
      <c r="J228" t="s">
        <v>495</v>
      </c>
      <c r="K228" t="s">
        <v>496</v>
      </c>
      <c r="L228">
        <v>1346</v>
      </c>
      <c r="N228">
        <v>1009</v>
      </c>
      <c r="O228" t="s">
        <v>104</v>
      </c>
      <c r="P228" t="s">
        <v>104</v>
      </c>
      <c r="Q228">
        <v>1</v>
      </c>
      <c r="X228">
        <v>30.6</v>
      </c>
      <c r="Y228">
        <v>6.27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42</v>
      </c>
      <c r="AG228">
        <v>30.6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ROW(Source!A123)</f>
        <v>123</v>
      </c>
      <c r="B229">
        <v>56612186</v>
      </c>
      <c r="C229">
        <v>56612179</v>
      </c>
      <c r="D229">
        <v>30394098</v>
      </c>
      <c r="E229">
        <v>1</v>
      </c>
      <c r="F229">
        <v>1</v>
      </c>
      <c r="G229">
        <v>27786564</v>
      </c>
      <c r="H229">
        <v>3</v>
      </c>
      <c r="I229" t="s">
        <v>517</v>
      </c>
      <c r="J229" t="s">
        <v>562</v>
      </c>
      <c r="K229" t="s">
        <v>519</v>
      </c>
      <c r="L229">
        <v>1296</v>
      </c>
      <c r="N229">
        <v>1013</v>
      </c>
      <c r="O229" t="s">
        <v>520</v>
      </c>
      <c r="P229" t="s">
        <v>520</v>
      </c>
      <c r="Q229">
        <v>1</v>
      </c>
      <c r="X229">
        <v>5</v>
      </c>
      <c r="Y229">
        <v>16.260000000000002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42</v>
      </c>
      <c r="AG229">
        <v>5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ROW(Source!A123)</f>
        <v>123</v>
      </c>
      <c r="B230">
        <v>56612187</v>
      </c>
      <c r="C230">
        <v>56612179</v>
      </c>
      <c r="D230">
        <v>46735801</v>
      </c>
      <c r="E230">
        <v>1</v>
      </c>
      <c r="F230">
        <v>1</v>
      </c>
      <c r="G230">
        <v>27786564</v>
      </c>
      <c r="H230">
        <v>3</v>
      </c>
      <c r="I230" t="s">
        <v>567</v>
      </c>
      <c r="J230" t="s">
        <v>568</v>
      </c>
      <c r="K230" t="s">
        <v>569</v>
      </c>
      <c r="L230">
        <v>1355</v>
      </c>
      <c r="N230">
        <v>1010</v>
      </c>
      <c r="O230" t="s">
        <v>570</v>
      </c>
      <c r="P230" t="s">
        <v>570</v>
      </c>
      <c r="Q230">
        <v>100</v>
      </c>
      <c r="X230">
        <v>2</v>
      </c>
      <c r="Y230">
        <v>59.47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42</v>
      </c>
      <c r="AG230">
        <v>2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ROW(Source!A123)</f>
        <v>123</v>
      </c>
      <c r="B231">
        <v>56612188</v>
      </c>
      <c r="C231">
        <v>56612179</v>
      </c>
      <c r="D231">
        <v>30382931</v>
      </c>
      <c r="E231">
        <v>27786564</v>
      </c>
      <c r="F231">
        <v>1</v>
      </c>
      <c r="G231">
        <v>27786564</v>
      </c>
      <c r="H231">
        <v>3</v>
      </c>
      <c r="I231" t="s">
        <v>571</v>
      </c>
      <c r="J231" t="s">
        <v>3</v>
      </c>
      <c r="K231" t="s">
        <v>572</v>
      </c>
      <c r="L231">
        <v>1391</v>
      </c>
      <c r="N231">
        <v>1013</v>
      </c>
      <c r="O231" t="s">
        <v>194</v>
      </c>
      <c r="P231" t="s">
        <v>194</v>
      </c>
      <c r="Q231">
        <v>1</v>
      </c>
      <c r="X231">
        <v>100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42</v>
      </c>
      <c r="AG231">
        <v>100</v>
      </c>
      <c r="AH231">
        <v>3</v>
      </c>
      <c r="AI231">
        <v>-1</v>
      </c>
      <c r="AJ231" t="s">
        <v>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ROW(Source!A124)</f>
        <v>124</v>
      </c>
      <c r="B232">
        <v>56612180</v>
      </c>
      <c r="C232">
        <v>56612179</v>
      </c>
      <c r="D232">
        <v>47634407</v>
      </c>
      <c r="E232">
        <v>27786564</v>
      </c>
      <c r="F232">
        <v>1</v>
      </c>
      <c r="G232">
        <v>27786564</v>
      </c>
      <c r="H232">
        <v>1</v>
      </c>
      <c r="I232" t="s">
        <v>438</v>
      </c>
      <c r="J232" t="s">
        <v>3</v>
      </c>
      <c r="K232" t="s">
        <v>439</v>
      </c>
      <c r="L232">
        <v>1191</v>
      </c>
      <c r="N232">
        <v>1013</v>
      </c>
      <c r="O232" t="s">
        <v>440</v>
      </c>
      <c r="P232" t="s">
        <v>440</v>
      </c>
      <c r="Q232">
        <v>1</v>
      </c>
      <c r="X232">
        <v>155.88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 t="s">
        <v>70</v>
      </c>
      <c r="AG232">
        <v>205.76160000000002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ROW(Source!A124)</f>
        <v>124</v>
      </c>
      <c r="B233">
        <v>56612181</v>
      </c>
      <c r="C233">
        <v>56612179</v>
      </c>
      <c r="D233">
        <v>30415180</v>
      </c>
      <c r="E233">
        <v>1</v>
      </c>
      <c r="F233">
        <v>1</v>
      </c>
      <c r="G233">
        <v>27786564</v>
      </c>
      <c r="H233">
        <v>2</v>
      </c>
      <c r="I233" t="s">
        <v>497</v>
      </c>
      <c r="J233" t="s">
        <v>498</v>
      </c>
      <c r="K233" t="s">
        <v>499</v>
      </c>
      <c r="L233">
        <v>1367</v>
      </c>
      <c r="N233">
        <v>1011</v>
      </c>
      <c r="O233" t="s">
        <v>500</v>
      </c>
      <c r="P233" t="s">
        <v>500</v>
      </c>
      <c r="Q233">
        <v>1</v>
      </c>
      <c r="X233">
        <v>19.72</v>
      </c>
      <c r="Y233">
        <v>0</v>
      </c>
      <c r="Z233">
        <v>36.08</v>
      </c>
      <c r="AA233">
        <v>3.1</v>
      </c>
      <c r="AB233">
        <v>0</v>
      </c>
      <c r="AC233">
        <v>0</v>
      </c>
      <c r="AD233">
        <v>1</v>
      </c>
      <c r="AE233">
        <v>0</v>
      </c>
      <c r="AF233" t="s">
        <v>70</v>
      </c>
      <c r="AG233">
        <v>26.0304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ROW(Source!A124)</f>
        <v>124</v>
      </c>
      <c r="B234">
        <v>56612182</v>
      </c>
      <c r="C234">
        <v>56612179</v>
      </c>
      <c r="D234">
        <v>47767106</v>
      </c>
      <c r="E234">
        <v>1</v>
      </c>
      <c r="F234">
        <v>1</v>
      </c>
      <c r="G234">
        <v>27786564</v>
      </c>
      <c r="H234">
        <v>2</v>
      </c>
      <c r="I234" t="s">
        <v>460</v>
      </c>
      <c r="J234" t="s">
        <v>461</v>
      </c>
      <c r="K234" t="s">
        <v>462</v>
      </c>
      <c r="L234">
        <v>1368</v>
      </c>
      <c r="N234">
        <v>1011</v>
      </c>
      <c r="O234" t="s">
        <v>444</v>
      </c>
      <c r="P234" t="s">
        <v>444</v>
      </c>
      <c r="Q234">
        <v>1</v>
      </c>
      <c r="X234">
        <v>0.05</v>
      </c>
      <c r="Y234">
        <v>0</v>
      </c>
      <c r="Z234">
        <v>83.1</v>
      </c>
      <c r="AA234">
        <v>12.62</v>
      </c>
      <c r="AB234">
        <v>0</v>
      </c>
      <c r="AC234">
        <v>0</v>
      </c>
      <c r="AD234">
        <v>1</v>
      </c>
      <c r="AE234">
        <v>0</v>
      </c>
      <c r="AF234" t="s">
        <v>70</v>
      </c>
      <c r="AG234">
        <v>6.6000000000000003E-2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ROW(Source!A124)</f>
        <v>124</v>
      </c>
      <c r="B235">
        <v>56612183</v>
      </c>
      <c r="C235">
        <v>56612179</v>
      </c>
      <c r="D235">
        <v>30390462</v>
      </c>
      <c r="E235">
        <v>1</v>
      </c>
      <c r="F235">
        <v>1</v>
      </c>
      <c r="G235">
        <v>27786564</v>
      </c>
      <c r="H235">
        <v>3</v>
      </c>
      <c r="I235" t="s">
        <v>504</v>
      </c>
      <c r="J235" t="s">
        <v>505</v>
      </c>
      <c r="K235" t="s">
        <v>506</v>
      </c>
      <c r="L235">
        <v>1346</v>
      </c>
      <c r="N235">
        <v>1009</v>
      </c>
      <c r="O235" t="s">
        <v>104</v>
      </c>
      <c r="P235" t="s">
        <v>104</v>
      </c>
      <c r="Q235">
        <v>1</v>
      </c>
      <c r="X235">
        <v>10</v>
      </c>
      <c r="Y235">
        <v>1.61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42</v>
      </c>
      <c r="AG235">
        <v>10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ROW(Source!A124)</f>
        <v>124</v>
      </c>
      <c r="B236">
        <v>56612184</v>
      </c>
      <c r="C236">
        <v>56612179</v>
      </c>
      <c r="D236">
        <v>46724002</v>
      </c>
      <c r="E236">
        <v>1</v>
      </c>
      <c r="F236">
        <v>1</v>
      </c>
      <c r="G236">
        <v>27786564</v>
      </c>
      <c r="H236">
        <v>3</v>
      </c>
      <c r="I236" t="s">
        <v>507</v>
      </c>
      <c r="J236" t="s">
        <v>508</v>
      </c>
      <c r="K236" t="s">
        <v>509</v>
      </c>
      <c r="L236">
        <v>1327</v>
      </c>
      <c r="N236">
        <v>1005</v>
      </c>
      <c r="O236" t="s">
        <v>510</v>
      </c>
      <c r="P236" t="s">
        <v>510</v>
      </c>
      <c r="Q236">
        <v>1</v>
      </c>
      <c r="X236">
        <v>1</v>
      </c>
      <c r="Y236">
        <v>127.33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42</v>
      </c>
      <c r="AG236">
        <v>1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ROW(Source!A124)</f>
        <v>124</v>
      </c>
      <c r="B237">
        <v>56612185</v>
      </c>
      <c r="C237">
        <v>56612179</v>
      </c>
      <c r="D237">
        <v>37620224</v>
      </c>
      <c r="E237">
        <v>1</v>
      </c>
      <c r="F237">
        <v>1</v>
      </c>
      <c r="G237">
        <v>27786564</v>
      </c>
      <c r="H237">
        <v>3</v>
      </c>
      <c r="I237" t="s">
        <v>494</v>
      </c>
      <c r="J237" t="s">
        <v>495</v>
      </c>
      <c r="K237" t="s">
        <v>496</v>
      </c>
      <c r="L237">
        <v>1346</v>
      </c>
      <c r="N237">
        <v>1009</v>
      </c>
      <c r="O237" t="s">
        <v>104</v>
      </c>
      <c r="P237" t="s">
        <v>104</v>
      </c>
      <c r="Q237">
        <v>1</v>
      </c>
      <c r="X237">
        <v>30.6</v>
      </c>
      <c r="Y237">
        <v>6.27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42</v>
      </c>
      <c r="AG237">
        <v>30.6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ROW(Source!A124)</f>
        <v>124</v>
      </c>
      <c r="B238">
        <v>56612186</v>
      </c>
      <c r="C238">
        <v>56612179</v>
      </c>
      <c r="D238">
        <v>30394098</v>
      </c>
      <c r="E238">
        <v>1</v>
      </c>
      <c r="F238">
        <v>1</v>
      </c>
      <c r="G238">
        <v>27786564</v>
      </c>
      <c r="H238">
        <v>3</v>
      </c>
      <c r="I238" t="s">
        <v>517</v>
      </c>
      <c r="J238" t="s">
        <v>562</v>
      </c>
      <c r="K238" t="s">
        <v>519</v>
      </c>
      <c r="L238">
        <v>1296</v>
      </c>
      <c r="N238">
        <v>1013</v>
      </c>
      <c r="O238" t="s">
        <v>520</v>
      </c>
      <c r="P238" t="s">
        <v>520</v>
      </c>
      <c r="Q238">
        <v>1</v>
      </c>
      <c r="X238">
        <v>5</v>
      </c>
      <c r="Y238">
        <v>16.260000000000002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42</v>
      </c>
      <c r="AG238">
        <v>5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ROW(Source!A124)</f>
        <v>124</v>
      </c>
      <c r="B239">
        <v>56612187</v>
      </c>
      <c r="C239">
        <v>56612179</v>
      </c>
      <c r="D239">
        <v>46735801</v>
      </c>
      <c r="E239">
        <v>1</v>
      </c>
      <c r="F239">
        <v>1</v>
      </c>
      <c r="G239">
        <v>27786564</v>
      </c>
      <c r="H239">
        <v>3</v>
      </c>
      <c r="I239" t="s">
        <v>567</v>
      </c>
      <c r="J239" t="s">
        <v>568</v>
      </c>
      <c r="K239" t="s">
        <v>569</v>
      </c>
      <c r="L239">
        <v>1355</v>
      </c>
      <c r="N239">
        <v>1010</v>
      </c>
      <c r="O239" t="s">
        <v>570</v>
      </c>
      <c r="P239" t="s">
        <v>570</v>
      </c>
      <c r="Q239">
        <v>100</v>
      </c>
      <c r="X239">
        <v>2</v>
      </c>
      <c r="Y239">
        <v>59.47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42</v>
      </c>
      <c r="AG239">
        <v>2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ROW(Source!A124)</f>
        <v>124</v>
      </c>
      <c r="B240">
        <v>56612188</v>
      </c>
      <c r="C240">
        <v>56612179</v>
      </c>
      <c r="D240">
        <v>30382931</v>
      </c>
      <c r="E240">
        <v>27786564</v>
      </c>
      <c r="F240">
        <v>1</v>
      </c>
      <c r="G240">
        <v>27786564</v>
      </c>
      <c r="H240">
        <v>3</v>
      </c>
      <c r="I240" t="s">
        <v>571</v>
      </c>
      <c r="J240" t="s">
        <v>3</v>
      </c>
      <c r="K240" t="s">
        <v>572</v>
      </c>
      <c r="L240">
        <v>1391</v>
      </c>
      <c r="N240">
        <v>1013</v>
      </c>
      <c r="O240" t="s">
        <v>194</v>
      </c>
      <c r="P240" t="s">
        <v>194</v>
      </c>
      <c r="Q240">
        <v>1</v>
      </c>
      <c r="X240">
        <v>100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42</v>
      </c>
      <c r="AG240">
        <v>100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ROW(Source!A125)</f>
        <v>125</v>
      </c>
      <c r="B241">
        <v>56612190</v>
      </c>
      <c r="C241">
        <v>56612189</v>
      </c>
      <c r="D241">
        <v>47634407</v>
      </c>
      <c r="E241">
        <v>27786564</v>
      </c>
      <c r="F241">
        <v>1</v>
      </c>
      <c r="G241">
        <v>27786564</v>
      </c>
      <c r="H241">
        <v>1</v>
      </c>
      <c r="I241" t="s">
        <v>438</v>
      </c>
      <c r="J241" t="s">
        <v>3</v>
      </c>
      <c r="K241" t="s">
        <v>439</v>
      </c>
      <c r="L241">
        <v>1191</v>
      </c>
      <c r="N241">
        <v>1013</v>
      </c>
      <c r="O241" t="s">
        <v>440</v>
      </c>
      <c r="P241" t="s">
        <v>440</v>
      </c>
      <c r="Q241">
        <v>1</v>
      </c>
      <c r="X241">
        <v>155.88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 t="s">
        <v>22</v>
      </c>
      <c r="AG241">
        <v>171.46800000000002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ROW(Source!A125)</f>
        <v>125</v>
      </c>
      <c r="B242">
        <v>56612191</v>
      </c>
      <c r="C242">
        <v>56612189</v>
      </c>
      <c r="D242">
        <v>30415180</v>
      </c>
      <c r="E242">
        <v>1</v>
      </c>
      <c r="F242">
        <v>1</v>
      </c>
      <c r="G242">
        <v>27786564</v>
      </c>
      <c r="H242">
        <v>2</v>
      </c>
      <c r="I242" t="s">
        <v>497</v>
      </c>
      <c r="J242" t="s">
        <v>498</v>
      </c>
      <c r="K242" t="s">
        <v>499</v>
      </c>
      <c r="L242">
        <v>1367</v>
      </c>
      <c r="N242">
        <v>1011</v>
      </c>
      <c r="O242" t="s">
        <v>500</v>
      </c>
      <c r="P242" t="s">
        <v>500</v>
      </c>
      <c r="Q242">
        <v>1</v>
      </c>
      <c r="X242">
        <v>19.72</v>
      </c>
      <c r="Y242">
        <v>0</v>
      </c>
      <c r="Z242">
        <v>36.08</v>
      </c>
      <c r="AA242">
        <v>3.1</v>
      </c>
      <c r="AB242">
        <v>0</v>
      </c>
      <c r="AC242">
        <v>0</v>
      </c>
      <c r="AD242">
        <v>1</v>
      </c>
      <c r="AE242">
        <v>0</v>
      </c>
      <c r="AF242" t="s">
        <v>22</v>
      </c>
      <c r="AG242">
        <v>21.692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ROW(Source!A125)</f>
        <v>125</v>
      </c>
      <c r="B243">
        <v>56612192</v>
      </c>
      <c r="C243">
        <v>56612189</v>
      </c>
      <c r="D243">
        <v>47767106</v>
      </c>
      <c r="E243">
        <v>1</v>
      </c>
      <c r="F243">
        <v>1</v>
      </c>
      <c r="G243">
        <v>27786564</v>
      </c>
      <c r="H243">
        <v>2</v>
      </c>
      <c r="I243" t="s">
        <v>460</v>
      </c>
      <c r="J243" t="s">
        <v>461</v>
      </c>
      <c r="K243" t="s">
        <v>462</v>
      </c>
      <c r="L243">
        <v>1368</v>
      </c>
      <c r="N243">
        <v>1011</v>
      </c>
      <c r="O243" t="s">
        <v>444</v>
      </c>
      <c r="P243" t="s">
        <v>444</v>
      </c>
      <c r="Q243">
        <v>1</v>
      </c>
      <c r="X243">
        <v>0.05</v>
      </c>
      <c r="Y243">
        <v>0</v>
      </c>
      <c r="Z243">
        <v>83.1</v>
      </c>
      <c r="AA243">
        <v>12.62</v>
      </c>
      <c r="AB243">
        <v>0</v>
      </c>
      <c r="AC243">
        <v>0</v>
      </c>
      <c r="AD243">
        <v>1</v>
      </c>
      <c r="AE243">
        <v>0</v>
      </c>
      <c r="AF243" t="s">
        <v>22</v>
      </c>
      <c r="AG243">
        <v>5.5000000000000007E-2</v>
      </c>
      <c r="AH243">
        <v>3</v>
      </c>
      <c r="AI243">
        <v>-1</v>
      </c>
      <c r="AJ243" t="s">
        <v>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ROW(Source!A125)</f>
        <v>125</v>
      </c>
      <c r="B244">
        <v>56612193</v>
      </c>
      <c r="C244">
        <v>56612189</v>
      </c>
      <c r="D244">
        <v>30390462</v>
      </c>
      <c r="E244">
        <v>1</v>
      </c>
      <c r="F244">
        <v>1</v>
      </c>
      <c r="G244">
        <v>27786564</v>
      </c>
      <c r="H244">
        <v>3</v>
      </c>
      <c r="I244" t="s">
        <v>504</v>
      </c>
      <c r="J244" t="s">
        <v>505</v>
      </c>
      <c r="K244" t="s">
        <v>506</v>
      </c>
      <c r="L244">
        <v>1346</v>
      </c>
      <c r="N244">
        <v>1009</v>
      </c>
      <c r="O244" t="s">
        <v>104</v>
      </c>
      <c r="P244" t="s">
        <v>104</v>
      </c>
      <c r="Q244">
        <v>1</v>
      </c>
      <c r="X244">
        <v>10</v>
      </c>
      <c r="Y244">
        <v>1.61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</v>
      </c>
      <c r="AG244">
        <v>10</v>
      </c>
      <c r="AH244">
        <v>3</v>
      </c>
      <c r="AI244">
        <v>-1</v>
      </c>
      <c r="AJ244" t="s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ROW(Source!A125)</f>
        <v>125</v>
      </c>
      <c r="B245">
        <v>56612194</v>
      </c>
      <c r="C245">
        <v>56612189</v>
      </c>
      <c r="D245">
        <v>46724002</v>
      </c>
      <c r="E245">
        <v>1</v>
      </c>
      <c r="F245">
        <v>1</v>
      </c>
      <c r="G245">
        <v>27786564</v>
      </c>
      <c r="H245">
        <v>3</v>
      </c>
      <c r="I245" t="s">
        <v>507</v>
      </c>
      <c r="J245" t="s">
        <v>508</v>
      </c>
      <c r="K245" t="s">
        <v>509</v>
      </c>
      <c r="L245">
        <v>1327</v>
      </c>
      <c r="N245">
        <v>1005</v>
      </c>
      <c r="O245" t="s">
        <v>510</v>
      </c>
      <c r="P245" t="s">
        <v>510</v>
      </c>
      <c r="Q245">
        <v>1</v>
      </c>
      <c r="X245">
        <v>1</v>
      </c>
      <c r="Y245">
        <v>127.33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3</v>
      </c>
      <c r="AG245">
        <v>1</v>
      </c>
      <c r="AH245">
        <v>3</v>
      </c>
      <c r="AI245">
        <v>-1</v>
      </c>
      <c r="AJ245" t="s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ROW(Source!A125)</f>
        <v>125</v>
      </c>
      <c r="B246">
        <v>56612195</v>
      </c>
      <c r="C246">
        <v>56612189</v>
      </c>
      <c r="D246">
        <v>37620224</v>
      </c>
      <c r="E246">
        <v>1</v>
      </c>
      <c r="F246">
        <v>1</v>
      </c>
      <c r="G246">
        <v>27786564</v>
      </c>
      <c r="H246">
        <v>3</v>
      </c>
      <c r="I246" t="s">
        <v>494</v>
      </c>
      <c r="J246" t="s">
        <v>495</v>
      </c>
      <c r="K246" t="s">
        <v>496</v>
      </c>
      <c r="L246">
        <v>1346</v>
      </c>
      <c r="N246">
        <v>1009</v>
      </c>
      <c r="O246" t="s">
        <v>104</v>
      </c>
      <c r="P246" t="s">
        <v>104</v>
      </c>
      <c r="Q246">
        <v>1</v>
      </c>
      <c r="X246">
        <v>30.6</v>
      </c>
      <c r="Y246">
        <v>6.27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3</v>
      </c>
      <c r="AG246">
        <v>30.6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ROW(Source!A125)</f>
        <v>125</v>
      </c>
      <c r="B247">
        <v>56612196</v>
      </c>
      <c r="C247">
        <v>56612189</v>
      </c>
      <c r="D247">
        <v>30394098</v>
      </c>
      <c r="E247">
        <v>1</v>
      </c>
      <c r="F247">
        <v>1</v>
      </c>
      <c r="G247">
        <v>27786564</v>
      </c>
      <c r="H247">
        <v>3</v>
      </c>
      <c r="I247" t="s">
        <v>517</v>
      </c>
      <c r="J247" t="s">
        <v>562</v>
      </c>
      <c r="K247" t="s">
        <v>519</v>
      </c>
      <c r="L247">
        <v>1296</v>
      </c>
      <c r="N247">
        <v>1013</v>
      </c>
      <c r="O247" t="s">
        <v>520</v>
      </c>
      <c r="P247" t="s">
        <v>520</v>
      </c>
      <c r="Q247">
        <v>1</v>
      </c>
      <c r="X247">
        <v>5</v>
      </c>
      <c r="Y247">
        <v>16.260000000000002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</v>
      </c>
      <c r="AG247">
        <v>5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ROW(Source!A125)</f>
        <v>125</v>
      </c>
      <c r="B248">
        <v>56612197</v>
      </c>
      <c r="C248">
        <v>56612189</v>
      </c>
      <c r="D248">
        <v>46735801</v>
      </c>
      <c r="E248">
        <v>1</v>
      </c>
      <c r="F248">
        <v>1</v>
      </c>
      <c r="G248">
        <v>27786564</v>
      </c>
      <c r="H248">
        <v>3</v>
      </c>
      <c r="I248" t="s">
        <v>567</v>
      </c>
      <c r="J248" t="s">
        <v>568</v>
      </c>
      <c r="K248" t="s">
        <v>569</v>
      </c>
      <c r="L248">
        <v>1355</v>
      </c>
      <c r="N248">
        <v>1010</v>
      </c>
      <c r="O248" t="s">
        <v>570</v>
      </c>
      <c r="P248" t="s">
        <v>570</v>
      </c>
      <c r="Q248">
        <v>100</v>
      </c>
      <c r="X248">
        <v>2</v>
      </c>
      <c r="Y248">
        <v>59.47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</v>
      </c>
      <c r="AG248">
        <v>2</v>
      </c>
      <c r="AH248">
        <v>3</v>
      </c>
      <c r="AI248">
        <v>-1</v>
      </c>
      <c r="AJ248" t="s">
        <v>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ROW(Source!A125)</f>
        <v>125</v>
      </c>
      <c r="B249">
        <v>56612198</v>
      </c>
      <c r="C249">
        <v>56612189</v>
      </c>
      <c r="D249">
        <v>30382931</v>
      </c>
      <c r="E249">
        <v>27786564</v>
      </c>
      <c r="F249">
        <v>1</v>
      </c>
      <c r="G249">
        <v>27786564</v>
      </c>
      <c r="H249">
        <v>3</v>
      </c>
      <c r="I249" t="s">
        <v>571</v>
      </c>
      <c r="J249" t="s">
        <v>3</v>
      </c>
      <c r="K249" t="s">
        <v>572</v>
      </c>
      <c r="L249">
        <v>1391</v>
      </c>
      <c r="N249">
        <v>1013</v>
      </c>
      <c r="O249" t="s">
        <v>194</v>
      </c>
      <c r="P249" t="s">
        <v>194</v>
      </c>
      <c r="Q249">
        <v>1</v>
      </c>
      <c r="X249">
        <v>100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3</v>
      </c>
      <c r="AG249">
        <v>100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ROW(Source!A126)</f>
        <v>126</v>
      </c>
      <c r="B250">
        <v>56612190</v>
      </c>
      <c r="C250">
        <v>56612189</v>
      </c>
      <c r="D250">
        <v>47634407</v>
      </c>
      <c r="E250">
        <v>27786564</v>
      </c>
      <c r="F250">
        <v>1</v>
      </c>
      <c r="G250">
        <v>27786564</v>
      </c>
      <c r="H250">
        <v>1</v>
      </c>
      <c r="I250" t="s">
        <v>438</v>
      </c>
      <c r="J250" t="s">
        <v>3</v>
      </c>
      <c r="K250" t="s">
        <v>439</v>
      </c>
      <c r="L250">
        <v>1191</v>
      </c>
      <c r="N250">
        <v>1013</v>
      </c>
      <c r="O250" t="s">
        <v>440</v>
      </c>
      <c r="P250" t="s">
        <v>440</v>
      </c>
      <c r="Q250">
        <v>1</v>
      </c>
      <c r="X250">
        <v>155.88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 t="s">
        <v>22</v>
      </c>
      <c r="AG250">
        <v>171.46800000000002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ROW(Source!A126)</f>
        <v>126</v>
      </c>
      <c r="B251">
        <v>56612191</v>
      </c>
      <c r="C251">
        <v>56612189</v>
      </c>
      <c r="D251">
        <v>30415180</v>
      </c>
      <c r="E251">
        <v>1</v>
      </c>
      <c r="F251">
        <v>1</v>
      </c>
      <c r="G251">
        <v>27786564</v>
      </c>
      <c r="H251">
        <v>2</v>
      </c>
      <c r="I251" t="s">
        <v>497</v>
      </c>
      <c r="J251" t="s">
        <v>498</v>
      </c>
      <c r="K251" t="s">
        <v>499</v>
      </c>
      <c r="L251">
        <v>1367</v>
      </c>
      <c r="N251">
        <v>1011</v>
      </c>
      <c r="O251" t="s">
        <v>500</v>
      </c>
      <c r="P251" t="s">
        <v>500</v>
      </c>
      <c r="Q251">
        <v>1</v>
      </c>
      <c r="X251">
        <v>19.72</v>
      </c>
      <c r="Y251">
        <v>0</v>
      </c>
      <c r="Z251">
        <v>36.08</v>
      </c>
      <c r="AA251">
        <v>3.1</v>
      </c>
      <c r="AB251">
        <v>0</v>
      </c>
      <c r="AC251">
        <v>0</v>
      </c>
      <c r="AD251">
        <v>1</v>
      </c>
      <c r="AE251">
        <v>0</v>
      </c>
      <c r="AF251" t="s">
        <v>22</v>
      </c>
      <c r="AG251">
        <v>21.692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ROW(Source!A126)</f>
        <v>126</v>
      </c>
      <c r="B252">
        <v>56612192</v>
      </c>
      <c r="C252">
        <v>56612189</v>
      </c>
      <c r="D252">
        <v>47767106</v>
      </c>
      <c r="E252">
        <v>1</v>
      </c>
      <c r="F252">
        <v>1</v>
      </c>
      <c r="G252">
        <v>27786564</v>
      </c>
      <c r="H252">
        <v>2</v>
      </c>
      <c r="I252" t="s">
        <v>460</v>
      </c>
      <c r="J252" t="s">
        <v>461</v>
      </c>
      <c r="K252" t="s">
        <v>462</v>
      </c>
      <c r="L252">
        <v>1368</v>
      </c>
      <c r="N252">
        <v>1011</v>
      </c>
      <c r="O252" t="s">
        <v>444</v>
      </c>
      <c r="P252" t="s">
        <v>444</v>
      </c>
      <c r="Q252">
        <v>1</v>
      </c>
      <c r="X252">
        <v>0.05</v>
      </c>
      <c r="Y252">
        <v>0</v>
      </c>
      <c r="Z252">
        <v>83.1</v>
      </c>
      <c r="AA252">
        <v>12.62</v>
      </c>
      <c r="AB252">
        <v>0</v>
      </c>
      <c r="AC252">
        <v>0</v>
      </c>
      <c r="AD252">
        <v>1</v>
      </c>
      <c r="AE252">
        <v>0</v>
      </c>
      <c r="AF252" t="s">
        <v>22</v>
      </c>
      <c r="AG252">
        <v>5.5000000000000007E-2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ROW(Source!A126)</f>
        <v>126</v>
      </c>
      <c r="B253">
        <v>56612193</v>
      </c>
      <c r="C253">
        <v>56612189</v>
      </c>
      <c r="D253">
        <v>30390462</v>
      </c>
      <c r="E253">
        <v>1</v>
      </c>
      <c r="F253">
        <v>1</v>
      </c>
      <c r="G253">
        <v>27786564</v>
      </c>
      <c r="H253">
        <v>3</v>
      </c>
      <c r="I253" t="s">
        <v>504</v>
      </c>
      <c r="J253" t="s">
        <v>505</v>
      </c>
      <c r="K253" t="s">
        <v>506</v>
      </c>
      <c r="L253">
        <v>1346</v>
      </c>
      <c r="N253">
        <v>1009</v>
      </c>
      <c r="O253" t="s">
        <v>104</v>
      </c>
      <c r="P253" t="s">
        <v>104</v>
      </c>
      <c r="Q253">
        <v>1</v>
      </c>
      <c r="X253">
        <v>10</v>
      </c>
      <c r="Y253">
        <v>1.61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3</v>
      </c>
      <c r="AG253">
        <v>10</v>
      </c>
      <c r="AH253">
        <v>3</v>
      </c>
      <c r="AI253">
        <v>-1</v>
      </c>
      <c r="AJ253" t="s">
        <v>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ROW(Source!A126)</f>
        <v>126</v>
      </c>
      <c r="B254">
        <v>56612194</v>
      </c>
      <c r="C254">
        <v>56612189</v>
      </c>
      <c r="D254">
        <v>46724002</v>
      </c>
      <c r="E254">
        <v>1</v>
      </c>
      <c r="F254">
        <v>1</v>
      </c>
      <c r="G254">
        <v>27786564</v>
      </c>
      <c r="H254">
        <v>3</v>
      </c>
      <c r="I254" t="s">
        <v>507</v>
      </c>
      <c r="J254" t="s">
        <v>508</v>
      </c>
      <c r="K254" t="s">
        <v>509</v>
      </c>
      <c r="L254">
        <v>1327</v>
      </c>
      <c r="N254">
        <v>1005</v>
      </c>
      <c r="O254" t="s">
        <v>510</v>
      </c>
      <c r="P254" t="s">
        <v>510</v>
      </c>
      <c r="Q254">
        <v>1</v>
      </c>
      <c r="X254">
        <v>1</v>
      </c>
      <c r="Y254">
        <v>127.33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</v>
      </c>
      <c r="AG254">
        <v>1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ROW(Source!A126)</f>
        <v>126</v>
      </c>
      <c r="B255">
        <v>56612195</v>
      </c>
      <c r="C255">
        <v>56612189</v>
      </c>
      <c r="D255">
        <v>37620224</v>
      </c>
      <c r="E255">
        <v>1</v>
      </c>
      <c r="F255">
        <v>1</v>
      </c>
      <c r="G255">
        <v>27786564</v>
      </c>
      <c r="H255">
        <v>3</v>
      </c>
      <c r="I255" t="s">
        <v>494</v>
      </c>
      <c r="J255" t="s">
        <v>495</v>
      </c>
      <c r="K255" t="s">
        <v>496</v>
      </c>
      <c r="L255">
        <v>1346</v>
      </c>
      <c r="N255">
        <v>1009</v>
      </c>
      <c r="O255" t="s">
        <v>104</v>
      </c>
      <c r="P255" t="s">
        <v>104</v>
      </c>
      <c r="Q255">
        <v>1</v>
      </c>
      <c r="X255">
        <v>30.6</v>
      </c>
      <c r="Y255">
        <v>6.27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</v>
      </c>
      <c r="AG255">
        <v>30.6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ROW(Source!A126)</f>
        <v>126</v>
      </c>
      <c r="B256">
        <v>56612196</v>
      </c>
      <c r="C256">
        <v>56612189</v>
      </c>
      <c r="D256">
        <v>30394098</v>
      </c>
      <c r="E256">
        <v>1</v>
      </c>
      <c r="F256">
        <v>1</v>
      </c>
      <c r="G256">
        <v>27786564</v>
      </c>
      <c r="H256">
        <v>3</v>
      </c>
      <c r="I256" t="s">
        <v>517</v>
      </c>
      <c r="J256" t="s">
        <v>562</v>
      </c>
      <c r="K256" t="s">
        <v>519</v>
      </c>
      <c r="L256">
        <v>1296</v>
      </c>
      <c r="N256">
        <v>1013</v>
      </c>
      <c r="O256" t="s">
        <v>520</v>
      </c>
      <c r="P256" t="s">
        <v>520</v>
      </c>
      <c r="Q256">
        <v>1</v>
      </c>
      <c r="X256">
        <v>5</v>
      </c>
      <c r="Y256">
        <v>16.260000000000002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</v>
      </c>
      <c r="AG256">
        <v>5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ROW(Source!A126)</f>
        <v>126</v>
      </c>
      <c r="B257">
        <v>56612197</v>
      </c>
      <c r="C257">
        <v>56612189</v>
      </c>
      <c r="D257">
        <v>46735801</v>
      </c>
      <c r="E257">
        <v>1</v>
      </c>
      <c r="F257">
        <v>1</v>
      </c>
      <c r="G257">
        <v>27786564</v>
      </c>
      <c r="H257">
        <v>3</v>
      </c>
      <c r="I257" t="s">
        <v>567</v>
      </c>
      <c r="J257" t="s">
        <v>568</v>
      </c>
      <c r="K257" t="s">
        <v>569</v>
      </c>
      <c r="L257">
        <v>1355</v>
      </c>
      <c r="N257">
        <v>1010</v>
      </c>
      <c r="O257" t="s">
        <v>570</v>
      </c>
      <c r="P257" t="s">
        <v>570</v>
      </c>
      <c r="Q257">
        <v>100</v>
      </c>
      <c r="X257">
        <v>2</v>
      </c>
      <c r="Y257">
        <v>59.47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3</v>
      </c>
      <c r="AG257">
        <v>2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ROW(Source!A126)</f>
        <v>126</v>
      </c>
      <c r="B258">
        <v>56612198</v>
      </c>
      <c r="C258">
        <v>56612189</v>
      </c>
      <c r="D258">
        <v>30382931</v>
      </c>
      <c r="E258">
        <v>27786564</v>
      </c>
      <c r="F258">
        <v>1</v>
      </c>
      <c r="G258">
        <v>27786564</v>
      </c>
      <c r="H258">
        <v>3</v>
      </c>
      <c r="I258" t="s">
        <v>571</v>
      </c>
      <c r="J258" t="s">
        <v>3</v>
      </c>
      <c r="K258" t="s">
        <v>572</v>
      </c>
      <c r="L258">
        <v>1391</v>
      </c>
      <c r="N258">
        <v>1013</v>
      </c>
      <c r="O258" t="s">
        <v>194</v>
      </c>
      <c r="P258" t="s">
        <v>194</v>
      </c>
      <c r="Q258">
        <v>1</v>
      </c>
      <c r="X258">
        <v>100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</v>
      </c>
      <c r="AG258">
        <v>100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ROW(Source!A129)</f>
        <v>129</v>
      </c>
      <c r="B259">
        <v>56612201</v>
      </c>
      <c r="C259">
        <v>56612200</v>
      </c>
      <c r="D259">
        <v>47634407</v>
      </c>
      <c r="E259">
        <v>27786564</v>
      </c>
      <c r="F259">
        <v>1</v>
      </c>
      <c r="G259">
        <v>27786564</v>
      </c>
      <c r="H259">
        <v>1</v>
      </c>
      <c r="I259" t="s">
        <v>438</v>
      </c>
      <c r="J259" t="s">
        <v>3</v>
      </c>
      <c r="K259" t="s">
        <v>439</v>
      </c>
      <c r="L259">
        <v>1191</v>
      </c>
      <c r="N259">
        <v>1013</v>
      </c>
      <c r="O259" t="s">
        <v>440</v>
      </c>
      <c r="P259" t="s">
        <v>440</v>
      </c>
      <c r="Q259">
        <v>1</v>
      </c>
      <c r="X259">
        <v>2.15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 t="s">
        <v>22</v>
      </c>
      <c r="AG259">
        <v>2.3650000000000002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ROW(Source!A129)</f>
        <v>129</v>
      </c>
      <c r="B260">
        <v>56612202</v>
      </c>
      <c r="C260">
        <v>56612200</v>
      </c>
      <c r="D260">
        <v>47767106</v>
      </c>
      <c r="E260">
        <v>1</v>
      </c>
      <c r="F260">
        <v>1</v>
      </c>
      <c r="G260">
        <v>27786564</v>
      </c>
      <c r="H260">
        <v>2</v>
      </c>
      <c r="I260" t="s">
        <v>460</v>
      </c>
      <c r="J260" t="s">
        <v>461</v>
      </c>
      <c r="K260" t="s">
        <v>462</v>
      </c>
      <c r="L260">
        <v>1368</v>
      </c>
      <c r="N260">
        <v>1011</v>
      </c>
      <c r="O260" t="s">
        <v>444</v>
      </c>
      <c r="P260" t="s">
        <v>444</v>
      </c>
      <c r="Q260">
        <v>1</v>
      </c>
      <c r="X260">
        <v>0.04</v>
      </c>
      <c r="Y260">
        <v>0</v>
      </c>
      <c r="Z260">
        <v>83.1</v>
      </c>
      <c r="AA260">
        <v>12.62</v>
      </c>
      <c r="AB260">
        <v>0</v>
      </c>
      <c r="AC260">
        <v>0</v>
      </c>
      <c r="AD260">
        <v>1</v>
      </c>
      <c r="AE260">
        <v>0</v>
      </c>
      <c r="AF260" t="s">
        <v>22</v>
      </c>
      <c r="AG260">
        <v>4.4000000000000004E-2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ROW(Source!A129)</f>
        <v>129</v>
      </c>
      <c r="B261">
        <v>56612203</v>
      </c>
      <c r="C261">
        <v>56612200</v>
      </c>
      <c r="D261">
        <v>47766540</v>
      </c>
      <c r="E261">
        <v>1</v>
      </c>
      <c r="F261">
        <v>1</v>
      </c>
      <c r="G261">
        <v>27786564</v>
      </c>
      <c r="H261">
        <v>2</v>
      </c>
      <c r="I261" t="s">
        <v>573</v>
      </c>
      <c r="J261" t="s">
        <v>574</v>
      </c>
      <c r="K261" t="s">
        <v>575</v>
      </c>
      <c r="L261">
        <v>1368</v>
      </c>
      <c r="N261">
        <v>1011</v>
      </c>
      <c r="O261" t="s">
        <v>444</v>
      </c>
      <c r="P261" t="s">
        <v>444</v>
      </c>
      <c r="Q261">
        <v>1</v>
      </c>
      <c r="X261">
        <v>0.02</v>
      </c>
      <c r="Y261">
        <v>0</v>
      </c>
      <c r="Z261">
        <v>31.15</v>
      </c>
      <c r="AA261">
        <v>10.220000000000001</v>
      </c>
      <c r="AB261">
        <v>0</v>
      </c>
      <c r="AC261">
        <v>0</v>
      </c>
      <c r="AD261">
        <v>1</v>
      </c>
      <c r="AE261">
        <v>0</v>
      </c>
      <c r="AF261" t="s">
        <v>22</v>
      </c>
      <c r="AG261">
        <v>2.2000000000000002E-2</v>
      </c>
      <c r="AH261">
        <v>3</v>
      </c>
      <c r="AI261">
        <v>-1</v>
      </c>
      <c r="AJ261" t="s">
        <v>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ROW(Source!A129)</f>
        <v>129</v>
      </c>
      <c r="B262">
        <v>56612204</v>
      </c>
      <c r="C262">
        <v>56612200</v>
      </c>
      <c r="D262">
        <v>46736005</v>
      </c>
      <c r="E262">
        <v>1</v>
      </c>
      <c r="F262">
        <v>1</v>
      </c>
      <c r="G262">
        <v>27786564</v>
      </c>
      <c r="H262">
        <v>3</v>
      </c>
      <c r="I262" t="s">
        <v>576</v>
      </c>
      <c r="J262" t="s">
        <v>577</v>
      </c>
      <c r="K262" t="s">
        <v>578</v>
      </c>
      <c r="L262">
        <v>1354</v>
      </c>
      <c r="N262">
        <v>1010</v>
      </c>
      <c r="O262" t="s">
        <v>93</v>
      </c>
      <c r="P262" t="s">
        <v>93</v>
      </c>
      <c r="Q262">
        <v>1</v>
      </c>
      <c r="X262">
        <v>1</v>
      </c>
      <c r="Y262">
        <v>14.99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3</v>
      </c>
      <c r="AG262">
        <v>1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ROW(Source!A129)</f>
        <v>129</v>
      </c>
      <c r="B263">
        <v>56612205</v>
      </c>
      <c r="C263">
        <v>56612200</v>
      </c>
      <c r="D263">
        <v>49715153</v>
      </c>
      <c r="E263">
        <v>27786564</v>
      </c>
      <c r="F263">
        <v>1</v>
      </c>
      <c r="G263">
        <v>27786564</v>
      </c>
      <c r="H263">
        <v>3</v>
      </c>
      <c r="I263" t="s">
        <v>579</v>
      </c>
      <c r="J263" t="s">
        <v>3</v>
      </c>
      <c r="K263" t="s">
        <v>580</v>
      </c>
      <c r="L263">
        <v>1346</v>
      </c>
      <c r="N263">
        <v>1009</v>
      </c>
      <c r="O263" t="s">
        <v>104</v>
      </c>
      <c r="P263" t="s">
        <v>104</v>
      </c>
      <c r="Q263">
        <v>1</v>
      </c>
      <c r="X263">
        <v>0.39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3</v>
      </c>
      <c r="AG263">
        <v>0.39</v>
      </c>
      <c r="AH263">
        <v>3</v>
      </c>
      <c r="AI263">
        <v>-1</v>
      </c>
      <c r="AJ263" t="s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ROW(Source!A129)</f>
        <v>129</v>
      </c>
      <c r="B264">
        <v>56612206</v>
      </c>
      <c r="C264">
        <v>56612200</v>
      </c>
      <c r="D264">
        <v>46550641</v>
      </c>
      <c r="E264">
        <v>27786564</v>
      </c>
      <c r="F264">
        <v>1</v>
      </c>
      <c r="G264">
        <v>27786564</v>
      </c>
      <c r="H264">
        <v>3</v>
      </c>
      <c r="I264" t="s">
        <v>581</v>
      </c>
      <c r="J264" t="s">
        <v>3</v>
      </c>
      <c r="K264" t="s">
        <v>582</v>
      </c>
      <c r="L264">
        <v>1354</v>
      </c>
      <c r="N264">
        <v>1010</v>
      </c>
      <c r="O264" t="s">
        <v>93</v>
      </c>
      <c r="P264" t="s">
        <v>93</v>
      </c>
      <c r="Q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3</v>
      </c>
      <c r="AG264">
        <v>1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ROW(Source!A130)</f>
        <v>130</v>
      </c>
      <c r="B265">
        <v>56612201</v>
      </c>
      <c r="C265">
        <v>56612200</v>
      </c>
      <c r="D265">
        <v>47634407</v>
      </c>
      <c r="E265">
        <v>27786564</v>
      </c>
      <c r="F265">
        <v>1</v>
      </c>
      <c r="G265">
        <v>27786564</v>
      </c>
      <c r="H265">
        <v>1</v>
      </c>
      <c r="I265" t="s">
        <v>438</v>
      </c>
      <c r="J265" t="s">
        <v>3</v>
      </c>
      <c r="K265" t="s">
        <v>439</v>
      </c>
      <c r="L265">
        <v>1191</v>
      </c>
      <c r="N265">
        <v>1013</v>
      </c>
      <c r="O265" t="s">
        <v>440</v>
      </c>
      <c r="P265" t="s">
        <v>440</v>
      </c>
      <c r="Q265">
        <v>1</v>
      </c>
      <c r="X265">
        <v>2.15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 t="s">
        <v>22</v>
      </c>
      <c r="AG265">
        <v>2.3650000000000002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ROW(Source!A130)</f>
        <v>130</v>
      </c>
      <c r="B266">
        <v>56612202</v>
      </c>
      <c r="C266">
        <v>56612200</v>
      </c>
      <c r="D266">
        <v>47767106</v>
      </c>
      <c r="E266">
        <v>1</v>
      </c>
      <c r="F266">
        <v>1</v>
      </c>
      <c r="G266">
        <v>27786564</v>
      </c>
      <c r="H266">
        <v>2</v>
      </c>
      <c r="I266" t="s">
        <v>460</v>
      </c>
      <c r="J266" t="s">
        <v>461</v>
      </c>
      <c r="K266" t="s">
        <v>462</v>
      </c>
      <c r="L266">
        <v>1368</v>
      </c>
      <c r="N266">
        <v>1011</v>
      </c>
      <c r="O266" t="s">
        <v>444</v>
      </c>
      <c r="P266" t="s">
        <v>444</v>
      </c>
      <c r="Q266">
        <v>1</v>
      </c>
      <c r="X266">
        <v>0.04</v>
      </c>
      <c r="Y266">
        <v>0</v>
      </c>
      <c r="Z266">
        <v>83.1</v>
      </c>
      <c r="AA266">
        <v>12.62</v>
      </c>
      <c r="AB266">
        <v>0</v>
      </c>
      <c r="AC266">
        <v>0</v>
      </c>
      <c r="AD266">
        <v>1</v>
      </c>
      <c r="AE266">
        <v>0</v>
      </c>
      <c r="AF266" t="s">
        <v>22</v>
      </c>
      <c r="AG266">
        <v>4.4000000000000004E-2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ROW(Source!A130)</f>
        <v>130</v>
      </c>
      <c r="B267">
        <v>56612203</v>
      </c>
      <c r="C267">
        <v>56612200</v>
      </c>
      <c r="D267">
        <v>47766540</v>
      </c>
      <c r="E267">
        <v>1</v>
      </c>
      <c r="F267">
        <v>1</v>
      </c>
      <c r="G267">
        <v>27786564</v>
      </c>
      <c r="H267">
        <v>2</v>
      </c>
      <c r="I267" t="s">
        <v>573</v>
      </c>
      <c r="J267" t="s">
        <v>574</v>
      </c>
      <c r="K267" t="s">
        <v>575</v>
      </c>
      <c r="L267">
        <v>1368</v>
      </c>
      <c r="N267">
        <v>1011</v>
      </c>
      <c r="O267" t="s">
        <v>444</v>
      </c>
      <c r="P267" t="s">
        <v>444</v>
      </c>
      <c r="Q267">
        <v>1</v>
      </c>
      <c r="X267">
        <v>0.02</v>
      </c>
      <c r="Y267">
        <v>0</v>
      </c>
      <c r="Z267">
        <v>31.15</v>
      </c>
      <c r="AA267">
        <v>10.220000000000001</v>
      </c>
      <c r="AB267">
        <v>0</v>
      </c>
      <c r="AC267">
        <v>0</v>
      </c>
      <c r="AD267">
        <v>1</v>
      </c>
      <c r="AE267">
        <v>0</v>
      </c>
      <c r="AF267" t="s">
        <v>22</v>
      </c>
      <c r="AG267">
        <v>2.2000000000000002E-2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ROW(Source!A130)</f>
        <v>130</v>
      </c>
      <c r="B268">
        <v>56612204</v>
      </c>
      <c r="C268">
        <v>56612200</v>
      </c>
      <c r="D268">
        <v>46736005</v>
      </c>
      <c r="E268">
        <v>1</v>
      </c>
      <c r="F268">
        <v>1</v>
      </c>
      <c r="G268">
        <v>27786564</v>
      </c>
      <c r="H268">
        <v>3</v>
      </c>
      <c r="I268" t="s">
        <v>576</v>
      </c>
      <c r="J268" t="s">
        <v>577</v>
      </c>
      <c r="K268" t="s">
        <v>578</v>
      </c>
      <c r="L268">
        <v>1354</v>
      </c>
      <c r="N268">
        <v>1010</v>
      </c>
      <c r="O268" t="s">
        <v>93</v>
      </c>
      <c r="P268" t="s">
        <v>93</v>
      </c>
      <c r="Q268">
        <v>1</v>
      </c>
      <c r="X268">
        <v>1</v>
      </c>
      <c r="Y268">
        <v>14.99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3</v>
      </c>
      <c r="AG268">
        <v>1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ROW(Source!A130)</f>
        <v>130</v>
      </c>
      <c r="B269">
        <v>56612205</v>
      </c>
      <c r="C269">
        <v>56612200</v>
      </c>
      <c r="D269">
        <v>49715153</v>
      </c>
      <c r="E269">
        <v>27786564</v>
      </c>
      <c r="F269">
        <v>1</v>
      </c>
      <c r="G269">
        <v>27786564</v>
      </c>
      <c r="H269">
        <v>3</v>
      </c>
      <c r="I269" t="s">
        <v>579</v>
      </c>
      <c r="J269" t="s">
        <v>3</v>
      </c>
      <c r="K269" t="s">
        <v>580</v>
      </c>
      <c r="L269">
        <v>1346</v>
      </c>
      <c r="N269">
        <v>1009</v>
      </c>
      <c r="O269" t="s">
        <v>104</v>
      </c>
      <c r="P269" t="s">
        <v>104</v>
      </c>
      <c r="Q269">
        <v>1</v>
      </c>
      <c r="X269">
        <v>0.39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3</v>
      </c>
      <c r="AG269">
        <v>0.39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ROW(Source!A130)</f>
        <v>130</v>
      </c>
      <c r="B270">
        <v>56612206</v>
      </c>
      <c r="C270">
        <v>56612200</v>
      </c>
      <c r="D270">
        <v>46550641</v>
      </c>
      <c r="E270">
        <v>27786564</v>
      </c>
      <c r="F270">
        <v>1</v>
      </c>
      <c r="G270">
        <v>27786564</v>
      </c>
      <c r="H270">
        <v>3</v>
      </c>
      <c r="I270" t="s">
        <v>581</v>
      </c>
      <c r="J270" t="s">
        <v>3</v>
      </c>
      <c r="K270" t="s">
        <v>582</v>
      </c>
      <c r="L270">
        <v>1354</v>
      </c>
      <c r="N270">
        <v>1010</v>
      </c>
      <c r="O270" t="s">
        <v>93</v>
      </c>
      <c r="P270" t="s">
        <v>93</v>
      </c>
      <c r="Q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3</v>
      </c>
      <c r="AG270">
        <v>1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ROW(Source!A172)</f>
        <v>172</v>
      </c>
      <c r="B271">
        <v>56612213</v>
      </c>
      <c r="C271">
        <v>56612208</v>
      </c>
      <c r="D271">
        <v>47634407</v>
      </c>
      <c r="E271">
        <v>27786564</v>
      </c>
      <c r="F271">
        <v>1</v>
      </c>
      <c r="G271">
        <v>27786564</v>
      </c>
      <c r="H271">
        <v>1</v>
      </c>
      <c r="I271" t="s">
        <v>438</v>
      </c>
      <c r="J271" t="s">
        <v>3</v>
      </c>
      <c r="K271" t="s">
        <v>439</v>
      </c>
      <c r="L271">
        <v>1191</v>
      </c>
      <c r="N271">
        <v>1013</v>
      </c>
      <c r="O271" t="s">
        <v>440</v>
      </c>
      <c r="P271" t="s">
        <v>440</v>
      </c>
      <c r="Q271">
        <v>1</v>
      </c>
      <c r="X271">
        <v>26.78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 t="s">
        <v>22</v>
      </c>
      <c r="AG271">
        <v>29.458000000000002</v>
      </c>
      <c r="AH271">
        <v>2</v>
      </c>
      <c r="AI271">
        <v>56612209</v>
      </c>
      <c r="AJ271">
        <v>161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ROW(Source!A172)</f>
        <v>172</v>
      </c>
      <c r="B272">
        <v>56612214</v>
      </c>
      <c r="C272">
        <v>56612208</v>
      </c>
      <c r="D272">
        <v>47766425</v>
      </c>
      <c r="E272">
        <v>1</v>
      </c>
      <c r="F272">
        <v>1</v>
      </c>
      <c r="G272">
        <v>27786564</v>
      </c>
      <c r="H272">
        <v>2</v>
      </c>
      <c r="I272" t="s">
        <v>521</v>
      </c>
      <c r="J272" t="s">
        <v>522</v>
      </c>
      <c r="K272" t="s">
        <v>523</v>
      </c>
      <c r="L272">
        <v>1368</v>
      </c>
      <c r="N272">
        <v>1011</v>
      </c>
      <c r="O272" t="s">
        <v>444</v>
      </c>
      <c r="P272" t="s">
        <v>444</v>
      </c>
      <c r="Q272">
        <v>1</v>
      </c>
      <c r="X272">
        <v>0.05</v>
      </c>
      <c r="Y272">
        <v>0</v>
      </c>
      <c r="Z272">
        <v>97.62</v>
      </c>
      <c r="AA272">
        <v>12.62</v>
      </c>
      <c r="AB272">
        <v>0</v>
      </c>
      <c r="AC272">
        <v>0</v>
      </c>
      <c r="AD272">
        <v>1</v>
      </c>
      <c r="AE272">
        <v>0</v>
      </c>
      <c r="AF272" t="s">
        <v>22</v>
      </c>
      <c r="AG272">
        <v>5.5000000000000007E-2</v>
      </c>
      <c r="AH272">
        <v>2</v>
      </c>
      <c r="AI272">
        <v>56612210</v>
      </c>
      <c r="AJ272">
        <v>162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ROW(Source!A172)</f>
        <v>172</v>
      </c>
      <c r="B273">
        <v>56612215</v>
      </c>
      <c r="C273">
        <v>56612208</v>
      </c>
      <c r="D273">
        <v>47634960</v>
      </c>
      <c r="E273">
        <v>27786564</v>
      </c>
      <c r="F273">
        <v>1</v>
      </c>
      <c r="G273">
        <v>27786564</v>
      </c>
      <c r="H273">
        <v>2</v>
      </c>
      <c r="I273" t="s">
        <v>448</v>
      </c>
      <c r="J273" t="s">
        <v>3</v>
      </c>
      <c r="K273" t="s">
        <v>449</v>
      </c>
      <c r="L273">
        <v>1344</v>
      </c>
      <c r="N273">
        <v>1008</v>
      </c>
      <c r="O273" t="s">
        <v>450</v>
      </c>
      <c r="P273" t="s">
        <v>450</v>
      </c>
      <c r="Q273">
        <v>1</v>
      </c>
      <c r="X273">
        <v>0.12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22</v>
      </c>
      <c r="AG273">
        <v>0.13200000000000001</v>
      </c>
      <c r="AH273">
        <v>2</v>
      </c>
      <c r="AI273">
        <v>56612211</v>
      </c>
      <c r="AJ273">
        <v>163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ROW(Source!A172)</f>
        <v>172</v>
      </c>
      <c r="B274">
        <v>56612216</v>
      </c>
      <c r="C274">
        <v>56612208</v>
      </c>
      <c r="D274">
        <v>30390288</v>
      </c>
      <c r="E274">
        <v>27786564</v>
      </c>
      <c r="F274">
        <v>1</v>
      </c>
      <c r="G274">
        <v>27786564</v>
      </c>
      <c r="H274">
        <v>3</v>
      </c>
      <c r="I274" t="s">
        <v>583</v>
      </c>
      <c r="J274" t="s">
        <v>3</v>
      </c>
      <c r="K274" t="s">
        <v>256</v>
      </c>
      <c r="L274">
        <v>1339</v>
      </c>
      <c r="N274">
        <v>1007</v>
      </c>
      <c r="O274" t="s">
        <v>88</v>
      </c>
      <c r="P274" t="s">
        <v>88</v>
      </c>
      <c r="Q274">
        <v>1</v>
      </c>
      <c r="X274">
        <v>15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</v>
      </c>
      <c r="AG274">
        <v>15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ROW(Source!A173)</f>
        <v>173</v>
      </c>
      <c r="B275">
        <v>56612213</v>
      </c>
      <c r="C275">
        <v>56612208</v>
      </c>
      <c r="D275">
        <v>47634407</v>
      </c>
      <c r="E275">
        <v>27786564</v>
      </c>
      <c r="F275">
        <v>1</v>
      </c>
      <c r="G275">
        <v>27786564</v>
      </c>
      <c r="H275">
        <v>1</v>
      </c>
      <c r="I275" t="s">
        <v>438</v>
      </c>
      <c r="J275" t="s">
        <v>3</v>
      </c>
      <c r="K275" t="s">
        <v>439</v>
      </c>
      <c r="L275">
        <v>1191</v>
      </c>
      <c r="N275">
        <v>1013</v>
      </c>
      <c r="O275" t="s">
        <v>440</v>
      </c>
      <c r="P275" t="s">
        <v>440</v>
      </c>
      <c r="Q275">
        <v>1</v>
      </c>
      <c r="X275">
        <v>26.78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22</v>
      </c>
      <c r="AG275">
        <v>29.458000000000002</v>
      </c>
      <c r="AH275">
        <v>2</v>
      </c>
      <c r="AI275">
        <v>56612209</v>
      </c>
      <c r="AJ275">
        <v>165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ROW(Source!A173)</f>
        <v>173</v>
      </c>
      <c r="B276">
        <v>56612214</v>
      </c>
      <c r="C276">
        <v>56612208</v>
      </c>
      <c r="D276">
        <v>47766425</v>
      </c>
      <c r="E276">
        <v>1</v>
      </c>
      <c r="F276">
        <v>1</v>
      </c>
      <c r="G276">
        <v>27786564</v>
      </c>
      <c r="H276">
        <v>2</v>
      </c>
      <c r="I276" t="s">
        <v>521</v>
      </c>
      <c r="J276" t="s">
        <v>522</v>
      </c>
      <c r="K276" t="s">
        <v>523</v>
      </c>
      <c r="L276">
        <v>1368</v>
      </c>
      <c r="N276">
        <v>1011</v>
      </c>
      <c r="O276" t="s">
        <v>444</v>
      </c>
      <c r="P276" t="s">
        <v>444</v>
      </c>
      <c r="Q276">
        <v>1</v>
      </c>
      <c r="X276">
        <v>0.05</v>
      </c>
      <c r="Y276">
        <v>0</v>
      </c>
      <c r="Z276">
        <v>97.62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22</v>
      </c>
      <c r="AG276">
        <v>5.5000000000000007E-2</v>
      </c>
      <c r="AH276">
        <v>2</v>
      </c>
      <c r="AI276">
        <v>56612210</v>
      </c>
      <c r="AJ276">
        <v>166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ROW(Source!A173)</f>
        <v>173</v>
      </c>
      <c r="B277">
        <v>56612215</v>
      </c>
      <c r="C277">
        <v>56612208</v>
      </c>
      <c r="D277">
        <v>47634960</v>
      </c>
      <c r="E277">
        <v>27786564</v>
      </c>
      <c r="F277">
        <v>1</v>
      </c>
      <c r="G277">
        <v>27786564</v>
      </c>
      <c r="H277">
        <v>2</v>
      </c>
      <c r="I277" t="s">
        <v>448</v>
      </c>
      <c r="J277" t="s">
        <v>3</v>
      </c>
      <c r="K277" t="s">
        <v>449</v>
      </c>
      <c r="L277">
        <v>1344</v>
      </c>
      <c r="N277">
        <v>1008</v>
      </c>
      <c r="O277" t="s">
        <v>450</v>
      </c>
      <c r="P277" t="s">
        <v>450</v>
      </c>
      <c r="Q277">
        <v>1</v>
      </c>
      <c r="X277">
        <v>0.12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22</v>
      </c>
      <c r="AG277">
        <v>0.13200000000000001</v>
      </c>
      <c r="AH277">
        <v>2</v>
      </c>
      <c r="AI277">
        <v>56612211</v>
      </c>
      <c r="AJ277">
        <v>167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ROW(Source!A173)</f>
        <v>173</v>
      </c>
      <c r="B278">
        <v>56612216</v>
      </c>
      <c r="C278">
        <v>56612208</v>
      </c>
      <c r="D278">
        <v>30390288</v>
      </c>
      <c r="E278">
        <v>27786564</v>
      </c>
      <c r="F278">
        <v>1</v>
      </c>
      <c r="G278">
        <v>27786564</v>
      </c>
      <c r="H278">
        <v>3</v>
      </c>
      <c r="I278" t="s">
        <v>583</v>
      </c>
      <c r="J278" t="s">
        <v>3</v>
      </c>
      <c r="K278" t="s">
        <v>256</v>
      </c>
      <c r="L278">
        <v>1339</v>
      </c>
      <c r="N278">
        <v>1007</v>
      </c>
      <c r="O278" t="s">
        <v>88</v>
      </c>
      <c r="P278" t="s">
        <v>88</v>
      </c>
      <c r="Q278">
        <v>1</v>
      </c>
      <c r="X278">
        <v>15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3</v>
      </c>
      <c r="AG278">
        <v>15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ROW(Source!A176)</f>
        <v>176</v>
      </c>
      <c r="B279">
        <v>56612220</v>
      </c>
      <c r="C279">
        <v>56612218</v>
      </c>
      <c r="D279">
        <v>47634407</v>
      </c>
      <c r="E279">
        <v>27786564</v>
      </c>
      <c r="F279">
        <v>1</v>
      </c>
      <c r="G279">
        <v>27786564</v>
      </c>
      <c r="H279">
        <v>1</v>
      </c>
      <c r="I279" t="s">
        <v>438</v>
      </c>
      <c r="J279" t="s">
        <v>3</v>
      </c>
      <c r="K279" t="s">
        <v>439</v>
      </c>
      <c r="L279">
        <v>1191</v>
      </c>
      <c r="N279">
        <v>1013</v>
      </c>
      <c r="O279" t="s">
        <v>440</v>
      </c>
      <c r="P279" t="s">
        <v>440</v>
      </c>
      <c r="Q279">
        <v>1</v>
      </c>
      <c r="X279">
        <v>40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 t="s">
        <v>22</v>
      </c>
      <c r="AG279">
        <v>44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ROW(Source!A176)</f>
        <v>176</v>
      </c>
      <c r="B280">
        <v>56612221</v>
      </c>
      <c r="C280">
        <v>56612218</v>
      </c>
      <c r="D280">
        <v>30390288</v>
      </c>
      <c r="E280">
        <v>27786564</v>
      </c>
      <c r="F280">
        <v>1</v>
      </c>
      <c r="G280">
        <v>27786564</v>
      </c>
      <c r="H280">
        <v>3</v>
      </c>
      <c r="I280" t="s">
        <v>583</v>
      </c>
      <c r="J280" t="s">
        <v>3</v>
      </c>
      <c r="K280" t="s">
        <v>256</v>
      </c>
      <c r="L280">
        <v>1339</v>
      </c>
      <c r="N280">
        <v>1007</v>
      </c>
      <c r="O280" t="s">
        <v>88</v>
      </c>
      <c r="P280" t="s">
        <v>88</v>
      </c>
      <c r="Q280">
        <v>1</v>
      </c>
      <c r="X280">
        <v>15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3</v>
      </c>
      <c r="AG280">
        <v>15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ROW(Source!A177)</f>
        <v>177</v>
      </c>
      <c r="B281">
        <v>56612220</v>
      </c>
      <c r="C281">
        <v>56612218</v>
      </c>
      <c r="D281">
        <v>47634407</v>
      </c>
      <c r="E281">
        <v>27786564</v>
      </c>
      <c r="F281">
        <v>1</v>
      </c>
      <c r="G281">
        <v>27786564</v>
      </c>
      <c r="H281">
        <v>1</v>
      </c>
      <c r="I281" t="s">
        <v>438</v>
      </c>
      <c r="J281" t="s">
        <v>3</v>
      </c>
      <c r="K281" t="s">
        <v>439</v>
      </c>
      <c r="L281">
        <v>1191</v>
      </c>
      <c r="N281">
        <v>1013</v>
      </c>
      <c r="O281" t="s">
        <v>440</v>
      </c>
      <c r="P281" t="s">
        <v>440</v>
      </c>
      <c r="Q281">
        <v>1</v>
      </c>
      <c r="X281">
        <v>40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 t="s">
        <v>22</v>
      </c>
      <c r="AG281">
        <v>44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ROW(Source!A177)</f>
        <v>177</v>
      </c>
      <c r="B282">
        <v>56612221</v>
      </c>
      <c r="C282">
        <v>56612218</v>
      </c>
      <c r="D282">
        <v>30390288</v>
      </c>
      <c r="E282">
        <v>27786564</v>
      </c>
      <c r="F282">
        <v>1</v>
      </c>
      <c r="G282">
        <v>27786564</v>
      </c>
      <c r="H282">
        <v>3</v>
      </c>
      <c r="I282" t="s">
        <v>583</v>
      </c>
      <c r="J282" t="s">
        <v>3</v>
      </c>
      <c r="K282" t="s">
        <v>256</v>
      </c>
      <c r="L282">
        <v>1339</v>
      </c>
      <c r="N282">
        <v>1007</v>
      </c>
      <c r="O282" t="s">
        <v>88</v>
      </c>
      <c r="P282" t="s">
        <v>88</v>
      </c>
      <c r="Q282">
        <v>1</v>
      </c>
      <c r="X282">
        <v>15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</v>
      </c>
      <c r="AG282">
        <v>15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ROW(Source!A180)</f>
        <v>180</v>
      </c>
      <c r="B283">
        <v>56612225</v>
      </c>
      <c r="C283">
        <v>56612223</v>
      </c>
      <c r="D283">
        <v>47634407</v>
      </c>
      <c r="E283">
        <v>27786564</v>
      </c>
      <c r="F283">
        <v>1</v>
      </c>
      <c r="G283">
        <v>27786564</v>
      </c>
      <c r="H283">
        <v>1</v>
      </c>
      <c r="I283" t="s">
        <v>438</v>
      </c>
      <c r="J283" t="s">
        <v>3</v>
      </c>
      <c r="K283" t="s">
        <v>439</v>
      </c>
      <c r="L283">
        <v>1191</v>
      </c>
      <c r="N283">
        <v>1013</v>
      </c>
      <c r="O283" t="s">
        <v>440</v>
      </c>
      <c r="P283" t="s">
        <v>440</v>
      </c>
      <c r="Q283">
        <v>1</v>
      </c>
      <c r="X283">
        <v>5.47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22</v>
      </c>
      <c r="AG283">
        <v>6.0170000000000003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ROW(Source!A180)</f>
        <v>180</v>
      </c>
      <c r="B284">
        <v>56612226</v>
      </c>
      <c r="C284">
        <v>56612223</v>
      </c>
      <c r="D284">
        <v>30390288</v>
      </c>
      <c r="E284">
        <v>27786564</v>
      </c>
      <c r="F284">
        <v>1</v>
      </c>
      <c r="G284">
        <v>27786564</v>
      </c>
      <c r="H284">
        <v>3</v>
      </c>
      <c r="I284" t="s">
        <v>583</v>
      </c>
      <c r="J284" t="s">
        <v>3</v>
      </c>
      <c r="K284" t="s">
        <v>256</v>
      </c>
      <c r="L284">
        <v>1339</v>
      </c>
      <c r="N284">
        <v>1007</v>
      </c>
      <c r="O284" t="s">
        <v>88</v>
      </c>
      <c r="P284" t="s">
        <v>88</v>
      </c>
      <c r="Q284">
        <v>1</v>
      </c>
      <c r="X284">
        <v>5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3</v>
      </c>
      <c r="AG284">
        <v>5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ROW(Source!A181)</f>
        <v>181</v>
      </c>
      <c r="B285">
        <v>56612225</v>
      </c>
      <c r="C285">
        <v>56612223</v>
      </c>
      <c r="D285">
        <v>47634407</v>
      </c>
      <c r="E285">
        <v>27786564</v>
      </c>
      <c r="F285">
        <v>1</v>
      </c>
      <c r="G285">
        <v>27786564</v>
      </c>
      <c r="H285">
        <v>1</v>
      </c>
      <c r="I285" t="s">
        <v>438</v>
      </c>
      <c r="J285" t="s">
        <v>3</v>
      </c>
      <c r="K285" t="s">
        <v>439</v>
      </c>
      <c r="L285">
        <v>1191</v>
      </c>
      <c r="N285">
        <v>1013</v>
      </c>
      <c r="O285" t="s">
        <v>440</v>
      </c>
      <c r="P285" t="s">
        <v>440</v>
      </c>
      <c r="Q285">
        <v>1</v>
      </c>
      <c r="X285">
        <v>5.47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22</v>
      </c>
      <c r="AG285">
        <v>6.0170000000000003</v>
      </c>
      <c r="AH285">
        <v>3</v>
      </c>
      <c r="AI285">
        <v>-1</v>
      </c>
      <c r="AJ285" t="s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ROW(Source!A181)</f>
        <v>181</v>
      </c>
      <c r="B286">
        <v>56612226</v>
      </c>
      <c r="C286">
        <v>56612223</v>
      </c>
      <c r="D286">
        <v>30390288</v>
      </c>
      <c r="E286">
        <v>27786564</v>
      </c>
      <c r="F286">
        <v>1</v>
      </c>
      <c r="G286">
        <v>27786564</v>
      </c>
      <c r="H286">
        <v>3</v>
      </c>
      <c r="I286" t="s">
        <v>583</v>
      </c>
      <c r="J286" t="s">
        <v>3</v>
      </c>
      <c r="K286" t="s">
        <v>256</v>
      </c>
      <c r="L286">
        <v>1339</v>
      </c>
      <c r="N286">
        <v>1007</v>
      </c>
      <c r="O286" t="s">
        <v>88</v>
      </c>
      <c r="P286" t="s">
        <v>88</v>
      </c>
      <c r="Q286">
        <v>1</v>
      </c>
      <c r="X286">
        <v>5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3</v>
      </c>
      <c r="AG286">
        <v>5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ROW(Source!A184)</f>
        <v>184</v>
      </c>
      <c r="B287">
        <v>56612230</v>
      </c>
      <c r="C287">
        <v>56612228</v>
      </c>
      <c r="D287">
        <v>47634407</v>
      </c>
      <c r="E287">
        <v>27786564</v>
      </c>
      <c r="F287">
        <v>1</v>
      </c>
      <c r="G287">
        <v>27786564</v>
      </c>
      <c r="H287">
        <v>1</v>
      </c>
      <c r="I287" t="s">
        <v>438</v>
      </c>
      <c r="J287" t="s">
        <v>3</v>
      </c>
      <c r="K287" t="s">
        <v>439</v>
      </c>
      <c r="L287">
        <v>1191</v>
      </c>
      <c r="N287">
        <v>1013</v>
      </c>
      <c r="O287" t="s">
        <v>440</v>
      </c>
      <c r="P287" t="s">
        <v>440</v>
      </c>
      <c r="Q287">
        <v>1</v>
      </c>
      <c r="X287">
        <v>5.25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 t="s">
        <v>22</v>
      </c>
      <c r="AG287">
        <v>5.7750000000000004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ROW(Source!A184)</f>
        <v>184</v>
      </c>
      <c r="B288">
        <v>56612231</v>
      </c>
      <c r="C288">
        <v>56612228</v>
      </c>
      <c r="D288">
        <v>30390465</v>
      </c>
      <c r="E288">
        <v>1</v>
      </c>
      <c r="F288">
        <v>1</v>
      </c>
      <c r="G288">
        <v>27786564</v>
      </c>
      <c r="H288">
        <v>3</v>
      </c>
      <c r="I288" t="s">
        <v>584</v>
      </c>
      <c r="J288" t="s">
        <v>585</v>
      </c>
      <c r="K288" t="s">
        <v>586</v>
      </c>
      <c r="L288">
        <v>1339</v>
      </c>
      <c r="N288">
        <v>1007</v>
      </c>
      <c r="O288" t="s">
        <v>88</v>
      </c>
      <c r="P288" t="s">
        <v>88</v>
      </c>
      <c r="Q288">
        <v>1</v>
      </c>
      <c r="X288">
        <v>10</v>
      </c>
      <c r="Y288">
        <v>7.07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</v>
      </c>
      <c r="AG288">
        <v>10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ROW(Source!A184)</f>
        <v>184</v>
      </c>
      <c r="B289">
        <v>56612232</v>
      </c>
      <c r="C289">
        <v>56612228</v>
      </c>
      <c r="D289">
        <v>30390094</v>
      </c>
      <c r="E289">
        <v>27786564</v>
      </c>
      <c r="F289">
        <v>1</v>
      </c>
      <c r="G289">
        <v>27786564</v>
      </c>
      <c r="H289">
        <v>3</v>
      </c>
      <c r="I289" t="s">
        <v>587</v>
      </c>
      <c r="J289" t="s">
        <v>3</v>
      </c>
      <c r="K289" t="s">
        <v>588</v>
      </c>
      <c r="L289">
        <v>1346</v>
      </c>
      <c r="N289">
        <v>1009</v>
      </c>
      <c r="O289" t="s">
        <v>104</v>
      </c>
      <c r="P289" t="s">
        <v>104</v>
      </c>
      <c r="Q289">
        <v>1</v>
      </c>
      <c r="X289">
        <v>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3</v>
      </c>
      <c r="AG289">
        <v>4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ROW(Source!A185)</f>
        <v>185</v>
      </c>
      <c r="B290">
        <v>56612230</v>
      </c>
      <c r="C290">
        <v>56612228</v>
      </c>
      <c r="D290">
        <v>47634407</v>
      </c>
      <c r="E290">
        <v>27786564</v>
      </c>
      <c r="F290">
        <v>1</v>
      </c>
      <c r="G290">
        <v>27786564</v>
      </c>
      <c r="H290">
        <v>1</v>
      </c>
      <c r="I290" t="s">
        <v>438</v>
      </c>
      <c r="J290" t="s">
        <v>3</v>
      </c>
      <c r="K290" t="s">
        <v>439</v>
      </c>
      <c r="L290">
        <v>1191</v>
      </c>
      <c r="N290">
        <v>1013</v>
      </c>
      <c r="O290" t="s">
        <v>440</v>
      </c>
      <c r="P290" t="s">
        <v>440</v>
      </c>
      <c r="Q290">
        <v>1</v>
      </c>
      <c r="X290">
        <v>5.25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22</v>
      </c>
      <c r="AG290">
        <v>5.7750000000000004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ROW(Source!A185)</f>
        <v>185</v>
      </c>
      <c r="B291">
        <v>56612231</v>
      </c>
      <c r="C291">
        <v>56612228</v>
      </c>
      <c r="D291">
        <v>30390465</v>
      </c>
      <c r="E291">
        <v>1</v>
      </c>
      <c r="F291">
        <v>1</v>
      </c>
      <c r="G291">
        <v>27786564</v>
      </c>
      <c r="H291">
        <v>3</v>
      </c>
      <c r="I291" t="s">
        <v>584</v>
      </c>
      <c r="J291" t="s">
        <v>585</v>
      </c>
      <c r="K291" t="s">
        <v>586</v>
      </c>
      <c r="L291">
        <v>1339</v>
      </c>
      <c r="N291">
        <v>1007</v>
      </c>
      <c r="O291" t="s">
        <v>88</v>
      </c>
      <c r="P291" t="s">
        <v>88</v>
      </c>
      <c r="Q291">
        <v>1</v>
      </c>
      <c r="X291">
        <v>10</v>
      </c>
      <c r="Y291">
        <v>7.07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</v>
      </c>
      <c r="AG291">
        <v>10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ROW(Source!A185)</f>
        <v>185</v>
      </c>
      <c r="B292">
        <v>56612232</v>
      </c>
      <c r="C292">
        <v>56612228</v>
      </c>
      <c r="D292">
        <v>30390094</v>
      </c>
      <c r="E292">
        <v>27786564</v>
      </c>
      <c r="F292">
        <v>1</v>
      </c>
      <c r="G292">
        <v>27786564</v>
      </c>
      <c r="H292">
        <v>3</v>
      </c>
      <c r="I292" t="s">
        <v>587</v>
      </c>
      <c r="J292" t="s">
        <v>3</v>
      </c>
      <c r="K292" t="s">
        <v>588</v>
      </c>
      <c r="L292">
        <v>1346</v>
      </c>
      <c r="N292">
        <v>1009</v>
      </c>
      <c r="O292" t="s">
        <v>104</v>
      </c>
      <c r="P292" t="s">
        <v>104</v>
      </c>
      <c r="Q292">
        <v>1</v>
      </c>
      <c r="X292">
        <v>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3</v>
      </c>
      <c r="AG292">
        <v>4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ROW(Source!A223)</f>
        <v>223</v>
      </c>
      <c r="B293">
        <v>56612235</v>
      </c>
      <c r="C293">
        <v>56612234</v>
      </c>
      <c r="D293">
        <v>47634407</v>
      </c>
      <c r="E293">
        <v>27786564</v>
      </c>
      <c r="F293">
        <v>1</v>
      </c>
      <c r="G293">
        <v>27786564</v>
      </c>
      <c r="H293">
        <v>1</v>
      </c>
      <c r="I293" t="s">
        <v>438</v>
      </c>
      <c r="J293" t="s">
        <v>3</v>
      </c>
      <c r="K293" t="s">
        <v>439</v>
      </c>
      <c r="L293">
        <v>1191</v>
      </c>
      <c r="N293">
        <v>1013</v>
      </c>
      <c r="O293" t="s">
        <v>440</v>
      </c>
      <c r="P293" t="s">
        <v>440</v>
      </c>
      <c r="Q293">
        <v>1</v>
      </c>
      <c r="X293">
        <v>155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22</v>
      </c>
      <c r="AG293">
        <v>170.5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ROW(Source!A223)</f>
        <v>223</v>
      </c>
      <c r="B294">
        <v>56612236</v>
      </c>
      <c r="C294">
        <v>56612234</v>
      </c>
      <c r="D294">
        <v>47766768</v>
      </c>
      <c r="E294">
        <v>1</v>
      </c>
      <c r="F294">
        <v>1</v>
      </c>
      <c r="G294">
        <v>27786564</v>
      </c>
      <c r="H294">
        <v>2</v>
      </c>
      <c r="I294" t="s">
        <v>589</v>
      </c>
      <c r="J294" t="s">
        <v>590</v>
      </c>
      <c r="K294" t="s">
        <v>591</v>
      </c>
      <c r="L294">
        <v>1368</v>
      </c>
      <c r="N294">
        <v>1011</v>
      </c>
      <c r="O294" t="s">
        <v>444</v>
      </c>
      <c r="P294" t="s">
        <v>444</v>
      </c>
      <c r="Q294">
        <v>1</v>
      </c>
      <c r="X294">
        <v>37.5</v>
      </c>
      <c r="Y294">
        <v>0</v>
      </c>
      <c r="Z294">
        <v>41.45</v>
      </c>
      <c r="AA294">
        <v>12.62</v>
      </c>
      <c r="AB294">
        <v>0</v>
      </c>
      <c r="AC294">
        <v>0</v>
      </c>
      <c r="AD294">
        <v>1</v>
      </c>
      <c r="AE294">
        <v>0</v>
      </c>
      <c r="AF294" t="s">
        <v>22</v>
      </c>
      <c r="AG294">
        <v>41.25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ROW(Source!A223)</f>
        <v>223</v>
      </c>
      <c r="B295">
        <v>56612237</v>
      </c>
      <c r="C295">
        <v>56612234</v>
      </c>
      <c r="D295">
        <v>47767181</v>
      </c>
      <c r="E295">
        <v>1</v>
      </c>
      <c r="F295">
        <v>1</v>
      </c>
      <c r="G295">
        <v>27786564</v>
      </c>
      <c r="H295">
        <v>2</v>
      </c>
      <c r="I295" t="s">
        <v>592</v>
      </c>
      <c r="J295" t="s">
        <v>593</v>
      </c>
      <c r="K295" t="s">
        <v>594</v>
      </c>
      <c r="L295">
        <v>1368</v>
      </c>
      <c r="N295">
        <v>1011</v>
      </c>
      <c r="O295" t="s">
        <v>444</v>
      </c>
      <c r="P295" t="s">
        <v>444</v>
      </c>
      <c r="Q295">
        <v>1</v>
      </c>
      <c r="X295">
        <v>75</v>
      </c>
      <c r="Y295">
        <v>0</v>
      </c>
      <c r="Z295">
        <v>0.5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22</v>
      </c>
      <c r="AG295">
        <v>82.5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ROW(Source!A223)</f>
        <v>223</v>
      </c>
      <c r="B296">
        <v>56612238</v>
      </c>
      <c r="C296">
        <v>56612234</v>
      </c>
      <c r="D296">
        <v>47766620</v>
      </c>
      <c r="E296">
        <v>1</v>
      </c>
      <c r="F296">
        <v>1</v>
      </c>
      <c r="G296">
        <v>27786564</v>
      </c>
      <c r="H296">
        <v>2</v>
      </c>
      <c r="I296" t="s">
        <v>595</v>
      </c>
      <c r="J296" t="s">
        <v>596</v>
      </c>
      <c r="K296" t="s">
        <v>597</v>
      </c>
      <c r="L296">
        <v>1368</v>
      </c>
      <c r="N296">
        <v>1011</v>
      </c>
      <c r="O296" t="s">
        <v>444</v>
      </c>
      <c r="P296" t="s">
        <v>444</v>
      </c>
      <c r="Q296">
        <v>1</v>
      </c>
      <c r="X296">
        <v>1.55</v>
      </c>
      <c r="Y296">
        <v>0</v>
      </c>
      <c r="Z296">
        <v>219.56</v>
      </c>
      <c r="AA296">
        <v>18.62</v>
      </c>
      <c r="AB296">
        <v>0</v>
      </c>
      <c r="AC296">
        <v>0</v>
      </c>
      <c r="AD296">
        <v>1</v>
      </c>
      <c r="AE296">
        <v>0</v>
      </c>
      <c r="AF296" t="s">
        <v>22</v>
      </c>
      <c r="AG296">
        <v>1.7050000000000003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ROW(Source!A223)</f>
        <v>223</v>
      </c>
      <c r="B297">
        <v>56612239</v>
      </c>
      <c r="C297">
        <v>56612234</v>
      </c>
      <c r="D297">
        <v>47634960</v>
      </c>
      <c r="E297">
        <v>27786564</v>
      </c>
      <c r="F297">
        <v>1</v>
      </c>
      <c r="G297">
        <v>27786564</v>
      </c>
      <c r="H297">
        <v>2</v>
      </c>
      <c r="I297" t="s">
        <v>448</v>
      </c>
      <c r="J297" t="s">
        <v>3</v>
      </c>
      <c r="K297" t="s">
        <v>449</v>
      </c>
      <c r="L297">
        <v>1344</v>
      </c>
      <c r="N297">
        <v>1008</v>
      </c>
      <c r="O297" t="s">
        <v>450</v>
      </c>
      <c r="P297" t="s">
        <v>450</v>
      </c>
      <c r="Q297">
        <v>1</v>
      </c>
      <c r="X297">
        <v>3.74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22</v>
      </c>
      <c r="AG297">
        <v>4.1140000000000008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ROW(Source!A224)</f>
        <v>224</v>
      </c>
      <c r="B298">
        <v>56612235</v>
      </c>
      <c r="C298">
        <v>56612234</v>
      </c>
      <c r="D298">
        <v>47634407</v>
      </c>
      <c r="E298">
        <v>27786564</v>
      </c>
      <c r="F298">
        <v>1</v>
      </c>
      <c r="G298">
        <v>27786564</v>
      </c>
      <c r="H298">
        <v>1</v>
      </c>
      <c r="I298" t="s">
        <v>438</v>
      </c>
      <c r="J298" t="s">
        <v>3</v>
      </c>
      <c r="K298" t="s">
        <v>439</v>
      </c>
      <c r="L298">
        <v>1191</v>
      </c>
      <c r="N298">
        <v>1013</v>
      </c>
      <c r="O298" t="s">
        <v>440</v>
      </c>
      <c r="P298" t="s">
        <v>440</v>
      </c>
      <c r="Q298">
        <v>1</v>
      </c>
      <c r="X298">
        <v>155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 t="s">
        <v>22</v>
      </c>
      <c r="AG298">
        <v>170.5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ROW(Source!A224)</f>
        <v>224</v>
      </c>
      <c r="B299">
        <v>56612236</v>
      </c>
      <c r="C299">
        <v>56612234</v>
      </c>
      <c r="D299">
        <v>47766768</v>
      </c>
      <c r="E299">
        <v>1</v>
      </c>
      <c r="F299">
        <v>1</v>
      </c>
      <c r="G299">
        <v>27786564</v>
      </c>
      <c r="H299">
        <v>2</v>
      </c>
      <c r="I299" t="s">
        <v>589</v>
      </c>
      <c r="J299" t="s">
        <v>590</v>
      </c>
      <c r="K299" t="s">
        <v>591</v>
      </c>
      <c r="L299">
        <v>1368</v>
      </c>
      <c r="N299">
        <v>1011</v>
      </c>
      <c r="O299" t="s">
        <v>444</v>
      </c>
      <c r="P299" t="s">
        <v>444</v>
      </c>
      <c r="Q299">
        <v>1</v>
      </c>
      <c r="X299">
        <v>37.5</v>
      </c>
      <c r="Y299">
        <v>0</v>
      </c>
      <c r="Z299">
        <v>41.45</v>
      </c>
      <c r="AA299">
        <v>12.62</v>
      </c>
      <c r="AB299">
        <v>0</v>
      </c>
      <c r="AC299">
        <v>0</v>
      </c>
      <c r="AD299">
        <v>1</v>
      </c>
      <c r="AE299">
        <v>0</v>
      </c>
      <c r="AF299" t="s">
        <v>22</v>
      </c>
      <c r="AG299">
        <v>41.25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ROW(Source!A224)</f>
        <v>224</v>
      </c>
      <c r="B300">
        <v>56612237</v>
      </c>
      <c r="C300">
        <v>56612234</v>
      </c>
      <c r="D300">
        <v>47767181</v>
      </c>
      <c r="E300">
        <v>1</v>
      </c>
      <c r="F300">
        <v>1</v>
      </c>
      <c r="G300">
        <v>27786564</v>
      </c>
      <c r="H300">
        <v>2</v>
      </c>
      <c r="I300" t="s">
        <v>592</v>
      </c>
      <c r="J300" t="s">
        <v>593</v>
      </c>
      <c r="K300" t="s">
        <v>594</v>
      </c>
      <c r="L300">
        <v>1368</v>
      </c>
      <c r="N300">
        <v>1011</v>
      </c>
      <c r="O300" t="s">
        <v>444</v>
      </c>
      <c r="P300" t="s">
        <v>444</v>
      </c>
      <c r="Q300">
        <v>1</v>
      </c>
      <c r="X300">
        <v>75</v>
      </c>
      <c r="Y300">
        <v>0</v>
      </c>
      <c r="Z300">
        <v>0.5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22</v>
      </c>
      <c r="AG300">
        <v>82.5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ROW(Source!A224)</f>
        <v>224</v>
      </c>
      <c r="B301">
        <v>56612238</v>
      </c>
      <c r="C301">
        <v>56612234</v>
      </c>
      <c r="D301">
        <v>47766620</v>
      </c>
      <c r="E301">
        <v>1</v>
      </c>
      <c r="F301">
        <v>1</v>
      </c>
      <c r="G301">
        <v>27786564</v>
      </c>
      <c r="H301">
        <v>2</v>
      </c>
      <c r="I301" t="s">
        <v>595</v>
      </c>
      <c r="J301" t="s">
        <v>596</v>
      </c>
      <c r="K301" t="s">
        <v>597</v>
      </c>
      <c r="L301">
        <v>1368</v>
      </c>
      <c r="N301">
        <v>1011</v>
      </c>
      <c r="O301" t="s">
        <v>444</v>
      </c>
      <c r="P301" t="s">
        <v>444</v>
      </c>
      <c r="Q301">
        <v>1</v>
      </c>
      <c r="X301">
        <v>1.55</v>
      </c>
      <c r="Y301">
        <v>0</v>
      </c>
      <c r="Z301">
        <v>219.56</v>
      </c>
      <c r="AA301">
        <v>18.62</v>
      </c>
      <c r="AB301">
        <v>0</v>
      </c>
      <c r="AC301">
        <v>0</v>
      </c>
      <c r="AD301">
        <v>1</v>
      </c>
      <c r="AE301">
        <v>0</v>
      </c>
      <c r="AF301" t="s">
        <v>22</v>
      </c>
      <c r="AG301">
        <v>1.7050000000000003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ROW(Source!A224)</f>
        <v>224</v>
      </c>
      <c r="B302">
        <v>56612239</v>
      </c>
      <c r="C302">
        <v>56612234</v>
      </c>
      <c r="D302">
        <v>47634960</v>
      </c>
      <c r="E302">
        <v>27786564</v>
      </c>
      <c r="F302">
        <v>1</v>
      </c>
      <c r="G302">
        <v>27786564</v>
      </c>
      <c r="H302">
        <v>2</v>
      </c>
      <c r="I302" t="s">
        <v>448</v>
      </c>
      <c r="J302" t="s">
        <v>3</v>
      </c>
      <c r="K302" t="s">
        <v>449</v>
      </c>
      <c r="L302">
        <v>1344</v>
      </c>
      <c r="N302">
        <v>1008</v>
      </c>
      <c r="O302" t="s">
        <v>450</v>
      </c>
      <c r="P302" t="s">
        <v>450</v>
      </c>
      <c r="Q302">
        <v>1</v>
      </c>
      <c r="X302">
        <v>3.74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22</v>
      </c>
      <c r="AG302">
        <v>4.1140000000000008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ROW(Source!A225)</f>
        <v>225</v>
      </c>
      <c r="B303">
        <v>56612241</v>
      </c>
      <c r="C303">
        <v>56612240</v>
      </c>
      <c r="D303">
        <v>47634407</v>
      </c>
      <c r="E303">
        <v>27786564</v>
      </c>
      <c r="F303">
        <v>1</v>
      </c>
      <c r="G303">
        <v>27786564</v>
      </c>
      <c r="H303">
        <v>1</v>
      </c>
      <c r="I303" t="s">
        <v>438</v>
      </c>
      <c r="J303" t="s">
        <v>3</v>
      </c>
      <c r="K303" t="s">
        <v>439</v>
      </c>
      <c r="L303">
        <v>1191</v>
      </c>
      <c r="N303">
        <v>1013</v>
      </c>
      <c r="O303" t="s">
        <v>440</v>
      </c>
      <c r="P303" t="s">
        <v>440</v>
      </c>
      <c r="Q303">
        <v>1</v>
      </c>
      <c r="X303">
        <v>49.5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22</v>
      </c>
      <c r="AG303">
        <v>54.45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ROW(Source!A225)</f>
        <v>225</v>
      </c>
      <c r="B304">
        <v>56612242</v>
      </c>
      <c r="C304">
        <v>56612240</v>
      </c>
      <c r="D304">
        <v>47766400</v>
      </c>
      <c r="E304">
        <v>1</v>
      </c>
      <c r="F304">
        <v>1</v>
      </c>
      <c r="G304">
        <v>27786564</v>
      </c>
      <c r="H304">
        <v>2</v>
      </c>
      <c r="I304" t="s">
        <v>445</v>
      </c>
      <c r="J304" t="s">
        <v>446</v>
      </c>
      <c r="K304" t="s">
        <v>447</v>
      </c>
      <c r="L304">
        <v>1368</v>
      </c>
      <c r="N304">
        <v>1011</v>
      </c>
      <c r="O304" t="s">
        <v>444</v>
      </c>
      <c r="P304" t="s">
        <v>444</v>
      </c>
      <c r="Q304">
        <v>1</v>
      </c>
      <c r="X304">
        <v>2.87</v>
      </c>
      <c r="Y304">
        <v>0</v>
      </c>
      <c r="Z304">
        <v>145.59</v>
      </c>
      <c r="AA304">
        <v>14.54</v>
      </c>
      <c r="AB304">
        <v>0</v>
      </c>
      <c r="AC304">
        <v>0</v>
      </c>
      <c r="AD304">
        <v>1</v>
      </c>
      <c r="AE304">
        <v>0</v>
      </c>
      <c r="AF304" t="s">
        <v>22</v>
      </c>
      <c r="AG304">
        <v>3.1570000000000005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ROW(Source!A225)</f>
        <v>225</v>
      </c>
      <c r="B305">
        <v>56612243</v>
      </c>
      <c r="C305">
        <v>56612240</v>
      </c>
      <c r="D305">
        <v>47766383</v>
      </c>
      <c r="E305">
        <v>1</v>
      </c>
      <c r="F305">
        <v>1</v>
      </c>
      <c r="G305">
        <v>27786564</v>
      </c>
      <c r="H305">
        <v>2</v>
      </c>
      <c r="I305" t="s">
        <v>598</v>
      </c>
      <c r="J305" t="s">
        <v>599</v>
      </c>
      <c r="K305" t="s">
        <v>600</v>
      </c>
      <c r="L305">
        <v>1368</v>
      </c>
      <c r="N305">
        <v>1011</v>
      </c>
      <c r="O305" t="s">
        <v>444</v>
      </c>
      <c r="P305" t="s">
        <v>444</v>
      </c>
      <c r="Q305">
        <v>1</v>
      </c>
      <c r="X305">
        <v>7.86</v>
      </c>
      <c r="Y305">
        <v>0</v>
      </c>
      <c r="Z305">
        <v>245.8</v>
      </c>
      <c r="AA305">
        <v>16.93</v>
      </c>
      <c r="AB305">
        <v>0</v>
      </c>
      <c r="AC305">
        <v>0</v>
      </c>
      <c r="AD305">
        <v>1</v>
      </c>
      <c r="AE305">
        <v>0</v>
      </c>
      <c r="AF305" t="s">
        <v>22</v>
      </c>
      <c r="AG305">
        <v>8.6460000000000008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ROW(Source!A225)</f>
        <v>225</v>
      </c>
      <c r="B306">
        <v>56612244</v>
      </c>
      <c r="C306">
        <v>56612240</v>
      </c>
      <c r="D306">
        <v>47634960</v>
      </c>
      <c r="E306">
        <v>27786564</v>
      </c>
      <c r="F306">
        <v>1</v>
      </c>
      <c r="G306">
        <v>27786564</v>
      </c>
      <c r="H306">
        <v>2</v>
      </c>
      <c r="I306" t="s">
        <v>448</v>
      </c>
      <c r="J306" t="s">
        <v>3</v>
      </c>
      <c r="K306" t="s">
        <v>449</v>
      </c>
      <c r="L306">
        <v>1344</v>
      </c>
      <c r="N306">
        <v>1008</v>
      </c>
      <c r="O306" t="s">
        <v>450</v>
      </c>
      <c r="P306" t="s">
        <v>450</v>
      </c>
      <c r="Q306">
        <v>1</v>
      </c>
      <c r="X306">
        <v>5.21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22</v>
      </c>
      <c r="AG306">
        <v>5.7310000000000008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ROW(Source!A226)</f>
        <v>226</v>
      </c>
      <c r="B307">
        <v>56612241</v>
      </c>
      <c r="C307">
        <v>56612240</v>
      </c>
      <c r="D307">
        <v>47634407</v>
      </c>
      <c r="E307">
        <v>27786564</v>
      </c>
      <c r="F307">
        <v>1</v>
      </c>
      <c r="G307">
        <v>27786564</v>
      </c>
      <c r="H307">
        <v>1</v>
      </c>
      <c r="I307" t="s">
        <v>438</v>
      </c>
      <c r="J307" t="s">
        <v>3</v>
      </c>
      <c r="K307" t="s">
        <v>439</v>
      </c>
      <c r="L307">
        <v>1191</v>
      </c>
      <c r="N307">
        <v>1013</v>
      </c>
      <c r="O307" t="s">
        <v>440</v>
      </c>
      <c r="P307" t="s">
        <v>440</v>
      </c>
      <c r="Q307">
        <v>1</v>
      </c>
      <c r="X307">
        <v>49.5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22</v>
      </c>
      <c r="AG307">
        <v>54.45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ROW(Source!A226)</f>
        <v>226</v>
      </c>
      <c r="B308">
        <v>56612242</v>
      </c>
      <c r="C308">
        <v>56612240</v>
      </c>
      <c r="D308">
        <v>47766400</v>
      </c>
      <c r="E308">
        <v>1</v>
      </c>
      <c r="F308">
        <v>1</v>
      </c>
      <c r="G308">
        <v>27786564</v>
      </c>
      <c r="H308">
        <v>2</v>
      </c>
      <c r="I308" t="s">
        <v>445</v>
      </c>
      <c r="J308" t="s">
        <v>446</v>
      </c>
      <c r="K308" t="s">
        <v>447</v>
      </c>
      <c r="L308">
        <v>1368</v>
      </c>
      <c r="N308">
        <v>1011</v>
      </c>
      <c r="O308" t="s">
        <v>444</v>
      </c>
      <c r="P308" t="s">
        <v>444</v>
      </c>
      <c r="Q308">
        <v>1</v>
      </c>
      <c r="X308">
        <v>2.87</v>
      </c>
      <c r="Y308">
        <v>0</v>
      </c>
      <c r="Z308">
        <v>145.59</v>
      </c>
      <c r="AA308">
        <v>14.54</v>
      </c>
      <c r="AB308">
        <v>0</v>
      </c>
      <c r="AC308">
        <v>0</v>
      </c>
      <c r="AD308">
        <v>1</v>
      </c>
      <c r="AE308">
        <v>0</v>
      </c>
      <c r="AF308" t="s">
        <v>22</v>
      </c>
      <c r="AG308">
        <v>3.1570000000000005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ROW(Source!A226)</f>
        <v>226</v>
      </c>
      <c r="B309">
        <v>56612243</v>
      </c>
      <c r="C309">
        <v>56612240</v>
      </c>
      <c r="D309">
        <v>47766383</v>
      </c>
      <c r="E309">
        <v>1</v>
      </c>
      <c r="F309">
        <v>1</v>
      </c>
      <c r="G309">
        <v>27786564</v>
      </c>
      <c r="H309">
        <v>2</v>
      </c>
      <c r="I309" t="s">
        <v>598</v>
      </c>
      <c r="J309" t="s">
        <v>599</v>
      </c>
      <c r="K309" t="s">
        <v>600</v>
      </c>
      <c r="L309">
        <v>1368</v>
      </c>
      <c r="N309">
        <v>1011</v>
      </c>
      <c r="O309" t="s">
        <v>444</v>
      </c>
      <c r="P309" t="s">
        <v>444</v>
      </c>
      <c r="Q309">
        <v>1</v>
      </c>
      <c r="X309">
        <v>7.86</v>
      </c>
      <c r="Y309">
        <v>0</v>
      </c>
      <c r="Z309">
        <v>245.8</v>
      </c>
      <c r="AA309">
        <v>16.93</v>
      </c>
      <c r="AB309">
        <v>0</v>
      </c>
      <c r="AC309">
        <v>0</v>
      </c>
      <c r="AD309">
        <v>1</v>
      </c>
      <c r="AE309">
        <v>0</v>
      </c>
      <c r="AF309" t="s">
        <v>22</v>
      </c>
      <c r="AG309">
        <v>8.6460000000000008</v>
      </c>
      <c r="AH309">
        <v>3</v>
      </c>
      <c r="AI309">
        <v>-1</v>
      </c>
      <c r="AJ309" t="s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ROW(Source!A226)</f>
        <v>226</v>
      </c>
      <c r="B310">
        <v>56612244</v>
      </c>
      <c r="C310">
        <v>56612240</v>
      </c>
      <c r="D310">
        <v>47634960</v>
      </c>
      <c r="E310">
        <v>27786564</v>
      </c>
      <c r="F310">
        <v>1</v>
      </c>
      <c r="G310">
        <v>27786564</v>
      </c>
      <c r="H310">
        <v>2</v>
      </c>
      <c r="I310" t="s">
        <v>448</v>
      </c>
      <c r="J310" t="s">
        <v>3</v>
      </c>
      <c r="K310" t="s">
        <v>449</v>
      </c>
      <c r="L310">
        <v>1344</v>
      </c>
      <c r="N310">
        <v>1008</v>
      </c>
      <c r="O310" t="s">
        <v>450</v>
      </c>
      <c r="P310" t="s">
        <v>450</v>
      </c>
      <c r="Q310">
        <v>1</v>
      </c>
      <c r="X310">
        <v>5.21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22</v>
      </c>
      <c r="AG310">
        <v>5.7310000000000008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ROW(Source!A227)</f>
        <v>227</v>
      </c>
      <c r="B311">
        <v>56612246</v>
      </c>
      <c r="C311">
        <v>56612245</v>
      </c>
      <c r="D311">
        <v>47634960</v>
      </c>
      <c r="E311">
        <v>27786564</v>
      </c>
      <c r="F311">
        <v>1</v>
      </c>
      <c r="G311">
        <v>27786564</v>
      </c>
      <c r="H311">
        <v>2</v>
      </c>
      <c r="I311" t="s">
        <v>448</v>
      </c>
      <c r="J311" t="s">
        <v>3</v>
      </c>
      <c r="K311" t="s">
        <v>449</v>
      </c>
      <c r="L311">
        <v>1344</v>
      </c>
      <c r="N311">
        <v>1008</v>
      </c>
      <c r="O311" t="s">
        <v>450</v>
      </c>
      <c r="P311" t="s">
        <v>450</v>
      </c>
      <c r="Q311">
        <v>1</v>
      </c>
      <c r="X311">
        <v>8.86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22</v>
      </c>
      <c r="AG311">
        <v>9.7460000000000004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ROW(Source!A228)</f>
        <v>228</v>
      </c>
      <c r="B312">
        <v>56612246</v>
      </c>
      <c r="C312">
        <v>56612245</v>
      </c>
      <c r="D312">
        <v>47634960</v>
      </c>
      <c r="E312">
        <v>27786564</v>
      </c>
      <c r="F312">
        <v>1</v>
      </c>
      <c r="G312">
        <v>27786564</v>
      </c>
      <c r="H312">
        <v>2</v>
      </c>
      <c r="I312" t="s">
        <v>448</v>
      </c>
      <c r="J312" t="s">
        <v>3</v>
      </c>
      <c r="K312" t="s">
        <v>449</v>
      </c>
      <c r="L312">
        <v>1344</v>
      </c>
      <c r="N312">
        <v>1008</v>
      </c>
      <c r="O312" t="s">
        <v>450</v>
      </c>
      <c r="P312" t="s">
        <v>450</v>
      </c>
      <c r="Q312">
        <v>1</v>
      </c>
      <c r="X312">
        <v>8.86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22</v>
      </c>
      <c r="AG312">
        <v>9.7460000000000004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ROW(Source!A229)</f>
        <v>229</v>
      </c>
      <c r="B313">
        <v>56612249</v>
      </c>
      <c r="C313">
        <v>56612247</v>
      </c>
      <c r="D313">
        <v>47634407</v>
      </c>
      <c r="E313">
        <v>27786564</v>
      </c>
      <c r="F313">
        <v>1</v>
      </c>
      <c r="G313">
        <v>27786564</v>
      </c>
      <c r="H313">
        <v>1</v>
      </c>
      <c r="I313" t="s">
        <v>438</v>
      </c>
      <c r="J313" t="s">
        <v>3</v>
      </c>
      <c r="K313" t="s">
        <v>439</v>
      </c>
      <c r="L313">
        <v>1191</v>
      </c>
      <c r="N313">
        <v>1013</v>
      </c>
      <c r="O313" t="s">
        <v>440</v>
      </c>
      <c r="P313" t="s">
        <v>440</v>
      </c>
      <c r="Q313">
        <v>1</v>
      </c>
      <c r="X313">
        <v>14.4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22</v>
      </c>
      <c r="AG313">
        <v>15.840000000000002</v>
      </c>
      <c r="AH313">
        <v>3</v>
      </c>
      <c r="AI313">
        <v>-1</v>
      </c>
      <c r="AJ313" t="s">
        <v>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ROW(Source!A229)</f>
        <v>229</v>
      </c>
      <c r="B314">
        <v>56612250</v>
      </c>
      <c r="C314">
        <v>56612247</v>
      </c>
      <c r="D314">
        <v>47766419</v>
      </c>
      <c r="E314">
        <v>1</v>
      </c>
      <c r="F314">
        <v>1</v>
      </c>
      <c r="G314">
        <v>27786564</v>
      </c>
      <c r="H314">
        <v>2</v>
      </c>
      <c r="I314" t="s">
        <v>601</v>
      </c>
      <c r="J314" t="s">
        <v>602</v>
      </c>
      <c r="K314" t="s">
        <v>603</v>
      </c>
      <c r="L314">
        <v>1368</v>
      </c>
      <c r="N314">
        <v>1011</v>
      </c>
      <c r="O314" t="s">
        <v>444</v>
      </c>
      <c r="P314" t="s">
        <v>444</v>
      </c>
      <c r="Q314">
        <v>1</v>
      </c>
      <c r="X314">
        <v>1.66</v>
      </c>
      <c r="Y314">
        <v>0</v>
      </c>
      <c r="Z314">
        <v>120.32</v>
      </c>
      <c r="AA314">
        <v>12.62</v>
      </c>
      <c r="AB314">
        <v>0</v>
      </c>
      <c r="AC314">
        <v>0</v>
      </c>
      <c r="AD314">
        <v>1</v>
      </c>
      <c r="AE314">
        <v>0</v>
      </c>
      <c r="AF314" t="s">
        <v>22</v>
      </c>
      <c r="AG314">
        <v>1.8260000000000001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ROW(Source!A229)</f>
        <v>229</v>
      </c>
      <c r="B315">
        <v>56612251</v>
      </c>
      <c r="C315">
        <v>56612247</v>
      </c>
      <c r="D315">
        <v>47766660</v>
      </c>
      <c r="E315">
        <v>1</v>
      </c>
      <c r="F315">
        <v>1</v>
      </c>
      <c r="G315">
        <v>27786564</v>
      </c>
      <c r="H315">
        <v>2</v>
      </c>
      <c r="I315" t="s">
        <v>604</v>
      </c>
      <c r="J315" t="s">
        <v>605</v>
      </c>
      <c r="K315" t="s">
        <v>606</v>
      </c>
      <c r="L315">
        <v>1368</v>
      </c>
      <c r="N315">
        <v>1011</v>
      </c>
      <c r="O315" t="s">
        <v>444</v>
      </c>
      <c r="P315" t="s">
        <v>444</v>
      </c>
      <c r="Q315">
        <v>1</v>
      </c>
      <c r="X315">
        <v>1.66</v>
      </c>
      <c r="Y315">
        <v>0</v>
      </c>
      <c r="Z315">
        <v>281.32</v>
      </c>
      <c r="AA315">
        <v>16.93</v>
      </c>
      <c r="AB315">
        <v>0</v>
      </c>
      <c r="AC315">
        <v>0</v>
      </c>
      <c r="AD315">
        <v>1</v>
      </c>
      <c r="AE315">
        <v>0</v>
      </c>
      <c r="AF315" t="s">
        <v>22</v>
      </c>
      <c r="AG315">
        <v>1.8260000000000001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ROW(Source!A229)</f>
        <v>229</v>
      </c>
      <c r="B316">
        <v>56612252</v>
      </c>
      <c r="C316">
        <v>56612247</v>
      </c>
      <c r="D316">
        <v>47766605</v>
      </c>
      <c r="E316">
        <v>1</v>
      </c>
      <c r="F316">
        <v>1</v>
      </c>
      <c r="G316">
        <v>27786564</v>
      </c>
      <c r="H316">
        <v>2</v>
      </c>
      <c r="I316" t="s">
        <v>607</v>
      </c>
      <c r="J316" t="s">
        <v>608</v>
      </c>
      <c r="K316" t="s">
        <v>609</v>
      </c>
      <c r="L316">
        <v>1368</v>
      </c>
      <c r="N316">
        <v>1011</v>
      </c>
      <c r="O316" t="s">
        <v>444</v>
      </c>
      <c r="P316" t="s">
        <v>444</v>
      </c>
      <c r="Q316">
        <v>1</v>
      </c>
      <c r="X316">
        <v>0.65</v>
      </c>
      <c r="Y316">
        <v>0</v>
      </c>
      <c r="Z316">
        <v>140.38</v>
      </c>
      <c r="AA316">
        <v>12.62</v>
      </c>
      <c r="AB316">
        <v>0</v>
      </c>
      <c r="AC316">
        <v>0</v>
      </c>
      <c r="AD316">
        <v>1</v>
      </c>
      <c r="AE316">
        <v>0</v>
      </c>
      <c r="AF316" t="s">
        <v>22</v>
      </c>
      <c r="AG316">
        <v>0.71500000000000008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ROW(Source!A229)</f>
        <v>229</v>
      </c>
      <c r="B317">
        <v>56612253</v>
      </c>
      <c r="C317">
        <v>56612247</v>
      </c>
      <c r="D317">
        <v>47766620</v>
      </c>
      <c r="E317">
        <v>1</v>
      </c>
      <c r="F317">
        <v>1</v>
      </c>
      <c r="G317">
        <v>27786564</v>
      </c>
      <c r="H317">
        <v>2</v>
      </c>
      <c r="I317" t="s">
        <v>595</v>
      </c>
      <c r="J317" t="s">
        <v>596</v>
      </c>
      <c r="K317" t="s">
        <v>597</v>
      </c>
      <c r="L317">
        <v>1368</v>
      </c>
      <c r="N317">
        <v>1011</v>
      </c>
      <c r="O317" t="s">
        <v>444</v>
      </c>
      <c r="P317" t="s">
        <v>444</v>
      </c>
      <c r="Q317">
        <v>1</v>
      </c>
      <c r="X317">
        <v>1.55</v>
      </c>
      <c r="Y317">
        <v>0</v>
      </c>
      <c r="Z317">
        <v>219.56</v>
      </c>
      <c r="AA317">
        <v>18.62</v>
      </c>
      <c r="AB317">
        <v>0</v>
      </c>
      <c r="AC317">
        <v>0</v>
      </c>
      <c r="AD317">
        <v>1</v>
      </c>
      <c r="AE317">
        <v>0</v>
      </c>
      <c r="AF317" t="s">
        <v>22</v>
      </c>
      <c r="AG317">
        <v>1.7050000000000003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ROW(Source!A229)</f>
        <v>229</v>
      </c>
      <c r="B318">
        <v>56612254</v>
      </c>
      <c r="C318">
        <v>56612247</v>
      </c>
      <c r="D318">
        <v>47766599</v>
      </c>
      <c r="E318">
        <v>1</v>
      </c>
      <c r="F318">
        <v>1</v>
      </c>
      <c r="G318">
        <v>27786564</v>
      </c>
      <c r="H318">
        <v>2</v>
      </c>
      <c r="I318" t="s">
        <v>610</v>
      </c>
      <c r="J318" t="s">
        <v>611</v>
      </c>
      <c r="K318" t="s">
        <v>612</v>
      </c>
      <c r="L318">
        <v>1368</v>
      </c>
      <c r="N318">
        <v>1011</v>
      </c>
      <c r="O318" t="s">
        <v>444</v>
      </c>
      <c r="P318" t="s">
        <v>444</v>
      </c>
      <c r="Q318">
        <v>1</v>
      </c>
      <c r="X318">
        <v>0.52</v>
      </c>
      <c r="Y318">
        <v>0</v>
      </c>
      <c r="Z318">
        <v>180.35</v>
      </c>
      <c r="AA318">
        <v>16.93</v>
      </c>
      <c r="AB318">
        <v>0</v>
      </c>
      <c r="AC318">
        <v>0</v>
      </c>
      <c r="AD318">
        <v>1</v>
      </c>
      <c r="AE318">
        <v>0</v>
      </c>
      <c r="AF318" t="s">
        <v>22</v>
      </c>
      <c r="AG318">
        <v>0.57200000000000006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ROW(Source!A229)</f>
        <v>229</v>
      </c>
      <c r="B319">
        <v>56612255</v>
      </c>
      <c r="C319">
        <v>56612247</v>
      </c>
      <c r="D319">
        <v>30390465</v>
      </c>
      <c r="E319">
        <v>1</v>
      </c>
      <c r="F319">
        <v>1</v>
      </c>
      <c r="G319">
        <v>27786564</v>
      </c>
      <c r="H319">
        <v>3</v>
      </c>
      <c r="I319" t="s">
        <v>584</v>
      </c>
      <c r="J319" t="s">
        <v>585</v>
      </c>
      <c r="K319" t="s">
        <v>586</v>
      </c>
      <c r="L319">
        <v>1339</v>
      </c>
      <c r="N319">
        <v>1007</v>
      </c>
      <c r="O319" t="s">
        <v>88</v>
      </c>
      <c r="P319" t="s">
        <v>88</v>
      </c>
      <c r="Q319">
        <v>1</v>
      </c>
      <c r="X319">
        <v>5</v>
      </c>
      <c r="Y319">
        <v>7.07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3</v>
      </c>
      <c r="AG319">
        <v>5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ROW(Source!A229)</f>
        <v>229</v>
      </c>
      <c r="B320">
        <v>56612256</v>
      </c>
      <c r="C320">
        <v>56612247</v>
      </c>
      <c r="D320">
        <v>30384156</v>
      </c>
      <c r="E320">
        <v>27786564</v>
      </c>
      <c r="F320">
        <v>1</v>
      </c>
      <c r="G320">
        <v>27786564</v>
      </c>
      <c r="H320">
        <v>3</v>
      </c>
      <c r="I320" t="s">
        <v>613</v>
      </c>
      <c r="J320" t="s">
        <v>3</v>
      </c>
      <c r="K320" t="s">
        <v>614</v>
      </c>
      <c r="L320">
        <v>1339</v>
      </c>
      <c r="N320">
        <v>1007</v>
      </c>
      <c r="O320" t="s">
        <v>88</v>
      </c>
      <c r="P320" t="s">
        <v>88</v>
      </c>
      <c r="Q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3</v>
      </c>
      <c r="AG320">
        <v>0</v>
      </c>
      <c r="AH320">
        <v>3</v>
      </c>
      <c r="AI320">
        <v>-1</v>
      </c>
      <c r="AJ320" t="s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ROW(Source!A230)</f>
        <v>230</v>
      </c>
      <c r="B321">
        <v>56612249</v>
      </c>
      <c r="C321">
        <v>56612247</v>
      </c>
      <c r="D321">
        <v>47634407</v>
      </c>
      <c r="E321">
        <v>27786564</v>
      </c>
      <c r="F321">
        <v>1</v>
      </c>
      <c r="G321">
        <v>27786564</v>
      </c>
      <c r="H321">
        <v>1</v>
      </c>
      <c r="I321" t="s">
        <v>438</v>
      </c>
      <c r="J321" t="s">
        <v>3</v>
      </c>
      <c r="K321" t="s">
        <v>439</v>
      </c>
      <c r="L321">
        <v>1191</v>
      </c>
      <c r="N321">
        <v>1013</v>
      </c>
      <c r="O321" t="s">
        <v>440</v>
      </c>
      <c r="P321" t="s">
        <v>440</v>
      </c>
      <c r="Q321">
        <v>1</v>
      </c>
      <c r="X321">
        <v>14.4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 t="s">
        <v>22</v>
      </c>
      <c r="AG321">
        <v>15.840000000000002</v>
      </c>
      <c r="AH321">
        <v>3</v>
      </c>
      <c r="AI321">
        <v>-1</v>
      </c>
      <c r="AJ321" t="s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ROW(Source!A230)</f>
        <v>230</v>
      </c>
      <c r="B322">
        <v>56612250</v>
      </c>
      <c r="C322">
        <v>56612247</v>
      </c>
      <c r="D322">
        <v>47766419</v>
      </c>
      <c r="E322">
        <v>1</v>
      </c>
      <c r="F322">
        <v>1</v>
      </c>
      <c r="G322">
        <v>27786564</v>
      </c>
      <c r="H322">
        <v>2</v>
      </c>
      <c r="I322" t="s">
        <v>601</v>
      </c>
      <c r="J322" t="s">
        <v>602</v>
      </c>
      <c r="K322" t="s">
        <v>603</v>
      </c>
      <c r="L322">
        <v>1368</v>
      </c>
      <c r="N322">
        <v>1011</v>
      </c>
      <c r="O322" t="s">
        <v>444</v>
      </c>
      <c r="P322" t="s">
        <v>444</v>
      </c>
      <c r="Q322">
        <v>1</v>
      </c>
      <c r="X322">
        <v>1.66</v>
      </c>
      <c r="Y322">
        <v>0</v>
      </c>
      <c r="Z322">
        <v>120.32</v>
      </c>
      <c r="AA322">
        <v>12.62</v>
      </c>
      <c r="AB322">
        <v>0</v>
      </c>
      <c r="AC322">
        <v>0</v>
      </c>
      <c r="AD322">
        <v>1</v>
      </c>
      <c r="AE322">
        <v>0</v>
      </c>
      <c r="AF322" t="s">
        <v>22</v>
      </c>
      <c r="AG322">
        <v>1.8260000000000001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ROW(Source!A230)</f>
        <v>230</v>
      </c>
      <c r="B323">
        <v>56612251</v>
      </c>
      <c r="C323">
        <v>56612247</v>
      </c>
      <c r="D323">
        <v>47766660</v>
      </c>
      <c r="E323">
        <v>1</v>
      </c>
      <c r="F323">
        <v>1</v>
      </c>
      <c r="G323">
        <v>27786564</v>
      </c>
      <c r="H323">
        <v>2</v>
      </c>
      <c r="I323" t="s">
        <v>604</v>
      </c>
      <c r="J323" t="s">
        <v>605</v>
      </c>
      <c r="K323" t="s">
        <v>606</v>
      </c>
      <c r="L323">
        <v>1368</v>
      </c>
      <c r="N323">
        <v>1011</v>
      </c>
      <c r="O323" t="s">
        <v>444</v>
      </c>
      <c r="P323" t="s">
        <v>444</v>
      </c>
      <c r="Q323">
        <v>1</v>
      </c>
      <c r="X323">
        <v>1.66</v>
      </c>
      <c r="Y323">
        <v>0</v>
      </c>
      <c r="Z323">
        <v>281.32</v>
      </c>
      <c r="AA323">
        <v>16.93</v>
      </c>
      <c r="AB323">
        <v>0</v>
      </c>
      <c r="AC323">
        <v>0</v>
      </c>
      <c r="AD323">
        <v>1</v>
      </c>
      <c r="AE323">
        <v>0</v>
      </c>
      <c r="AF323" t="s">
        <v>22</v>
      </c>
      <c r="AG323">
        <v>1.8260000000000001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ROW(Source!A230)</f>
        <v>230</v>
      </c>
      <c r="B324">
        <v>56612252</v>
      </c>
      <c r="C324">
        <v>56612247</v>
      </c>
      <c r="D324">
        <v>47766605</v>
      </c>
      <c r="E324">
        <v>1</v>
      </c>
      <c r="F324">
        <v>1</v>
      </c>
      <c r="G324">
        <v>27786564</v>
      </c>
      <c r="H324">
        <v>2</v>
      </c>
      <c r="I324" t="s">
        <v>607</v>
      </c>
      <c r="J324" t="s">
        <v>608</v>
      </c>
      <c r="K324" t="s">
        <v>609</v>
      </c>
      <c r="L324">
        <v>1368</v>
      </c>
      <c r="N324">
        <v>1011</v>
      </c>
      <c r="O324" t="s">
        <v>444</v>
      </c>
      <c r="P324" t="s">
        <v>444</v>
      </c>
      <c r="Q324">
        <v>1</v>
      </c>
      <c r="X324">
        <v>0.65</v>
      </c>
      <c r="Y324">
        <v>0</v>
      </c>
      <c r="Z324">
        <v>140.38</v>
      </c>
      <c r="AA324">
        <v>12.62</v>
      </c>
      <c r="AB324">
        <v>0</v>
      </c>
      <c r="AC324">
        <v>0</v>
      </c>
      <c r="AD324">
        <v>1</v>
      </c>
      <c r="AE324">
        <v>0</v>
      </c>
      <c r="AF324" t="s">
        <v>22</v>
      </c>
      <c r="AG324">
        <v>0.71500000000000008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ROW(Source!A230)</f>
        <v>230</v>
      </c>
      <c r="B325">
        <v>56612253</v>
      </c>
      <c r="C325">
        <v>56612247</v>
      </c>
      <c r="D325">
        <v>47766620</v>
      </c>
      <c r="E325">
        <v>1</v>
      </c>
      <c r="F325">
        <v>1</v>
      </c>
      <c r="G325">
        <v>27786564</v>
      </c>
      <c r="H325">
        <v>2</v>
      </c>
      <c r="I325" t="s">
        <v>595</v>
      </c>
      <c r="J325" t="s">
        <v>596</v>
      </c>
      <c r="K325" t="s">
        <v>597</v>
      </c>
      <c r="L325">
        <v>1368</v>
      </c>
      <c r="N325">
        <v>1011</v>
      </c>
      <c r="O325" t="s">
        <v>444</v>
      </c>
      <c r="P325" t="s">
        <v>444</v>
      </c>
      <c r="Q325">
        <v>1</v>
      </c>
      <c r="X325">
        <v>1.55</v>
      </c>
      <c r="Y325">
        <v>0</v>
      </c>
      <c r="Z325">
        <v>219.56</v>
      </c>
      <c r="AA325">
        <v>18.62</v>
      </c>
      <c r="AB325">
        <v>0</v>
      </c>
      <c r="AC325">
        <v>0</v>
      </c>
      <c r="AD325">
        <v>1</v>
      </c>
      <c r="AE325">
        <v>0</v>
      </c>
      <c r="AF325" t="s">
        <v>22</v>
      </c>
      <c r="AG325">
        <v>1.7050000000000003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ROW(Source!A230)</f>
        <v>230</v>
      </c>
      <c r="B326">
        <v>56612254</v>
      </c>
      <c r="C326">
        <v>56612247</v>
      </c>
      <c r="D326">
        <v>47766599</v>
      </c>
      <c r="E326">
        <v>1</v>
      </c>
      <c r="F326">
        <v>1</v>
      </c>
      <c r="G326">
        <v>27786564</v>
      </c>
      <c r="H326">
        <v>2</v>
      </c>
      <c r="I326" t="s">
        <v>610</v>
      </c>
      <c r="J326" t="s">
        <v>611</v>
      </c>
      <c r="K326" t="s">
        <v>612</v>
      </c>
      <c r="L326">
        <v>1368</v>
      </c>
      <c r="N326">
        <v>1011</v>
      </c>
      <c r="O326" t="s">
        <v>444</v>
      </c>
      <c r="P326" t="s">
        <v>444</v>
      </c>
      <c r="Q326">
        <v>1</v>
      </c>
      <c r="X326">
        <v>0.52</v>
      </c>
      <c r="Y326">
        <v>0</v>
      </c>
      <c r="Z326">
        <v>180.35</v>
      </c>
      <c r="AA326">
        <v>16.93</v>
      </c>
      <c r="AB326">
        <v>0</v>
      </c>
      <c r="AC326">
        <v>0</v>
      </c>
      <c r="AD326">
        <v>1</v>
      </c>
      <c r="AE326">
        <v>0</v>
      </c>
      <c r="AF326" t="s">
        <v>22</v>
      </c>
      <c r="AG326">
        <v>0.57200000000000006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ROW(Source!A230)</f>
        <v>230</v>
      </c>
      <c r="B327">
        <v>56612255</v>
      </c>
      <c r="C327">
        <v>56612247</v>
      </c>
      <c r="D327">
        <v>30390465</v>
      </c>
      <c r="E327">
        <v>1</v>
      </c>
      <c r="F327">
        <v>1</v>
      </c>
      <c r="G327">
        <v>27786564</v>
      </c>
      <c r="H327">
        <v>3</v>
      </c>
      <c r="I327" t="s">
        <v>584</v>
      </c>
      <c r="J327" t="s">
        <v>585</v>
      </c>
      <c r="K327" t="s">
        <v>586</v>
      </c>
      <c r="L327">
        <v>1339</v>
      </c>
      <c r="N327">
        <v>1007</v>
      </c>
      <c r="O327" t="s">
        <v>88</v>
      </c>
      <c r="P327" t="s">
        <v>88</v>
      </c>
      <c r="Q327">
        <v>1</v>
      </c>
      <c r="X327">
        <v>5</v>
      </c>
      <c r="Y327">
        <v>7.07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3</v>
      </c>
      <c r="AG327">
        <v>5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ROW(Source!A230)</f>
        <v>230</v>
      </c>
      <c r="B328">
        <v>56612256</v>
      </c>
      <c r="C328">
        <v>56612247</v>
      </c>
      <c r="D328">
        <v>30384156</v>
      </c>
      <c r="E328">
        <v>27786564</v>
      </c>
      <c r="F328">
        <v>1</v>
      </c>
      <c r="G328">
        <v>27786564</v>
      </c>
      <c r="H328">
        <v>3</v>
      </c>
      <c r="I328" t="s">
        <v>613</v>
      </c>
      <c r="J328" t="s">
        <v>3</v>
      </c>
      <c r="K328" t="s">
        <v>614</v>
      </c>
      <c r="L328">
        <v>1339</v>
      </c>
      <c r="N328">
        <v>1007</v>
      </c>
      <c r="O328" t="s">
        <v>88</v>
      </c>
      <c r="P328" t="s">
        <v>88</v>
      </c>
      <c r="Q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3</v>
      </c>
      <c r="AG328">
        <v>0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ROW(Source!A233)</f>
        <v>233</v>
      </c>
      <c r="B329">
        <v>56612260</v>
      </c>
      <c r="C329">
        <v>56612258</v>
      </c>
      <c r="D329">
        <v>47634407</v>
      </c>
      <c r="E329">
        <v>27786564</v>
      </c>
      <c r="F329">
        <v>1</v>
      </c>
      <c r="G329">
        <v>27786564</v>
      </c>
      <c r="H329">
        <v>1</v>
      </c>
      <c r="I329" t="s">
        <v>438</v>
      </c>
      <c r="J329" t="s">
        <v>3</v>
      </c>
      <c r="K329" t="s">
        <v>439</v>
      </c>
      <c r="L329">
        <v>1191</v>
      </c>
      <c r="N329">
        <v>1013</v>
      </c>
      <c r="O329" t="s">
        <v>440</v>
      </c>
      <c r="P329" t="s">
        <v>440</v>
      </c>
      <c r="Q329">
        <v>1</v>
      </c>
      <c r="X329">
        <v>267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22</v>
      </c>
      <c r="AG329">
        <v>293.70000000000005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ROW(Source!A233)</f>
        <v>233</v>
      </c>
      <c r="B330">
        <v>56612261</v>
      </c>
      <c r="C330">
        <v>56612258</v>
      </c>
      <c r="D330">
        <v>47767106</v>
      </c>
      <c r="E330">
        <v>1</v>
      </c>
      <c r="F330">
        <v>1</v>
      </c>
      <c r="G330">
        <v>27786564</v>
      </c>
      <c r="H330">
        <v>2</v>
      </c>
      <c r="I330" t="s">
        <v>460</v>
      </c>
      <c r="J330" t="s">
        <v>461</v>
      </c>
      <c r="K330" t="s">
        <v>462</v>
      </c>
      <c r="L330">
        <v>1368</v>
      </c>
      <c r="N330">
        <v>1011</v>
      </c>
      <c r="O330" t="s">
        <v>444</v>
      </c>
      <c r="P330" t="s">
        <v>444</v>
      </c>
      <c r="Q330">
        <v>1</v>
      </c>
      <c r="X330">
        <v>0.59</v>
      </c>
      <c r="Y330">
        <v>0</v>
      </c>
      <c r="Z330">
        <v>83.1</v>
      </c>
      <c r="AA330">
        <v>12.62</v>
      </c>
      <c r="AB330">
        <v>0</v>
      </c>
      <c r="AC330">
        <v>0</v>
      </c>
      <c r="AD330">
        <v>1</v>
      </c>
      <c r="AE330">
        <v>0</v>
      </c>
      <c r="AF330" t="s">
        <v>22</v>
      </c>
      <c r="AG330">
        <v>0.64900000000000002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ROW(Source!A233)</f>
        <v>233</v>
      </c>
      <c r="B331">
        <v>56612262</v>
      </c>
      <c r="C331">
        <v>56612258</v>
      </c>
      <c r="D331">
        <v>47766454</v>
      </c>
      <c r="E331">
        <v>1</v>
      </c>
      <c r="F331">
        <v>1</v>
      </c>
      <c r="G331">
        <v>27786564</v>
      </c>
      <c r="H331">
        <v>2</v>
      </c>
      <c r="I331" t="s">
        <v>457</v>
      </c>
      <c r="J331" t="s">
        <v>458</v>
      </c>
      <c r="K331" t="s">
        <v>459</v>
      </c>
      <c r="L331">
        <v>1368</v>
      </c>
      <c r="N331">
        <v>1011</v>
      </c>
      <c r="O331" t="s">
        <v>444</v>
      </c>
      <c r="P331" t="s">
        <v>444</v>
      </c>
      <c r="Q331">
        <v>1</v>
      </c>
      <c r="X331">
        <v>0.45</v>
      </c>
      <c r="Y331">
        <v>0</v>
      </c>
      <c r="Z331">
        <v>179.17</v>
      </c>
      <c r="AA331">
        <v>16.93</v>
      </c>
      <c r="AB331">
        <v>0</v>
      </c>
      <c r="AC331">
        <v>0</v>
      </c>
      <c r="AD331">
        <v>1</v>
      </c>
      <c r="AE331">
        <v>0</v>
      </c>
      <c r="AF331" t="s">
        <v>22</v>
      </c>
      <c r="AG331">
        <v>0.49500000000000005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ROW(Source!A233)</f>
        <v>233</v>
      </c>
      <c r="B332">
        <v>56612263</v>
      </c>
      <c r="C332">
        <v>56612258</v>
      </c>
      <c r="D332">
        <v>50545252</v>
      </c>
      <c r="E332">
        <v>1</v>
      </c>
      <c r="F332">
        <v>1</v>
      </c>
      <c r="G332">
        <v>27786564</v>
      </c>
      <c r="H332">
        <v>2</v>
      </c>
      <c r="I332" t="s">
        <v>607</v>
      </c>
      <c r="J332" t="s">
        <v>615</v>
      </c>
      <c r="K332" t="s">
        <v>609</v>
      </c>
      <c r="L332">
        <v>1368</v>
      </c>
      <c r="N332">
        <v>1011</v>
      </c>
      <c r="O332" t="s">
        <v>444</v>
      </c>
      <c r="P332" t="s">
        <v>444</v>
      </c>
      <c r="Q332">
        <v>1</v>
      </c>
      <c r="X332">
        <v>11.76</v>
      </c>
      <c r="Y332">
        <v>0</v>
      </c>
      <c r="Z332">
        <v>140.38</v>
      </c>
      <c r="AA332">
        <v>12.62</v>
      </c>
      <c r="AB332">
        <v>0</v>
      </c>
      <c r="AC332">
        <v>0</v>
      </c>
      <c r="AD332">
        <v>1</v>
      </c>
      <c r="AE332">
        <v>0</v>
      </c>
      <c r="AF332" t="s">
        <v>22</v>
      </c>
      <c r="AG332">
        <v>12.936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ROW(Source!A233)</f>
        <v>233</v>
      </c>
      <c r="B333">
        <v>56612264</v>
      </c>
      <c r="C333">
        <v>56612258</v>
      </c>
      <c r="D333">
        <v>47766627</v>
      </c>
      <c r="E333">
        <v>1</v>
      </c>
      <c r="F333">
        <v>1</v>
      </c>
      <c r="G333">
        <v>27786564</v>
      </c>
      <c r="H333">
        <v>2</v>
      </c>
      <c r="I333" t="s">
        <v>616</v>
      </c>
      <c r="J333" t="s">
        <v>617</v>
      </c>
      <c r="K333" t="s">
        <v>618</v>
      </c>
      <c r="L333">
        <v>1368</v>
      </c>
      <c r="N333">
        <v>1011</v>
      </c>
      <c r="O333" t="s">
        <v>444</v>
      </c>
      <c r="P333" t="s">
        <v>444</v>
      </c>
      <c r="Q333">
        <v>1</v>
      </c>
      <c r="X333">
        <v>10.8</v>
      </c>
      <c r="Y333">
        <v>0</v>
      </c>
      <c r="Z333">
        <v>20.51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22</v>
      </c>
      <c r="AG333">
        <v>11.880000000000003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ROW(Source!A233)</f>
        <v>233</v>
      </c>
      <c r="B334">
        <v>56612265</v>
      </c>
      <c r="C334">
        <v>56612258</v>
      </c>
      <c r="D334">
        <v>47766687</v>
      </c>
      <c r="E334">
        <v>1</v>
      </c>
      <c r="F334">
        <v>1</v>
      </c>
      <c r="G334">
        <v>27786564</v>
      </c>
      <c r="H334">
        <v>2</v>
      </c>
      <c r="I334" t="s">
        <v>619</v>
      </c>
      <c r="J334" t="s">
        <v>620</v>
      </c>
      <c r="K334" t="s">
        <v>621</v>
      </c>
      <c r="L334">
        <v>1368</v>
      </c>
      <c r="N334">
        <v>1011</v>
      </c>
      <c r="O334" t="s">
        <v>444</v>
      </c>
      <c r="P334" t="s">
        <v>444</v>
      </c>
      <c r="Q334">
        <v>1</v>
      </c>
      <c r="X334">
        <v>17.399999999999999</v>
      </c>
      <c r="Y334">
        <v>0</v>
      </c>
      <c r="Z334">
        <v>0.23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22</v>
      </c>
      <c r="AG334">
        <v>19.14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ROW(Source!A233)</f>
        <v>233</v>
      </c>
      <c r="B335">
        <v>56612266</v>
      </c>
      <c r="C335">
        <v>56612258</v>
      </c>
      <c r="D335">
        <v>49868265</v>
      </c>
      <c r="E335">
        <v>1</v>
      </c>
      <c r="F335">
        <v>1</v>
      </c>
      <c r="G335">
        <v>27786564</v>
      </c>
      <c r="H335">
        <v>3</v>
      </c>
      <c r="I335" t="s">
        <v>622</v>
      </c>
      <c r="J335" t="s">
        <v>623</v>
      </c>
      <c r="K335" t="s">
        <v>624</v>
      </c>
      <c r="L335">
        <v>1327</v>
      </c>
      <c r="N335">
        <v>1005</v>
      </c>
      <c r="O335" t="s">
        <v>510</v>
      </c>
      <c r="P335" t="s">
        <v>510</v>
      </c>
      <c r="Q335">
        <v>1</v>
      </c>
      <c r="X335">
        <v>12</v>
      </c>
      <c r="Y335">
        <v>5.04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</v>
      </c>
      <c r="AG335">
        <v>12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ROW(Source!A233)</f>
        <v>233</v>
      </c>
      <c r="B336">
        <v>56612267</v>
      </c>
      <c r="C336">
        <v>56612258</v>
      </c>
      <c r="D336">
        <v>30390465</v>
      </c>
      <c r="E336">
        <v>1</v>
      </c>
      <c r="F336">
        <v>1</v>
      </c>
      <c r="G336">
        <v>27786564</v>
      </c>
      <c r="H336">
        <v>3</v>
      </c>
      <c r="I336" t="s">
        <v>584</v>
      </c>
      <c r="J336" t="s">
        <v>585</v>
      </c>
      <c r="K336" t="s">
        <v>586</v>
      </c>
      <c r="L336">
        <v>1339</v>
      </c>
      <c r="N336">
        <v>1007</v>
      </c>
      <c r="O336" t="s">
        <v>88</v>
      </c>
      <c r="P336" t="s">
        <v>88</v>
      </c>
      <c r="Q336">
        <v>1</v>
      </c>
      <c r="X336">
        <v>178</v>
      </c>
      <c r="Y336">
        <v>7.07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</v>
      </c>
      <c r="AG336">
        <v>178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ROW(Source!A233)</f>
        <v>233</v>
      </c>
      <c r="B337">
        <v>56612268</v>
      </c>
      <c r="C337">
        <v>56612258</v>
      </c>
      <c r="D337">
        <v>49868167</v>
      </c>
      <c r="E337">
        <v>1</v>
      </c>
      <c r="F337">
        <v>1</v>
      </c>
      <c r="G337">
        <v>27786564</v>
      </c>
      <c r="H337">
        <v>3</v>
      </c>
      <c r="I337" t="s">
        <v>625</v>
      </c>
      <c r="J337" t="s">
        <v>626</v>
      </c>
      <c r="K337" t="s">
        <v>627</v>
      </c>
      <c r="L337">
        <v>1348</v>
      </c>
      <c r="N337">
        <v>1009</v>
      </c>
      <c r="O337" t="s">
        <v>330</v>
      </c>
      <c r="P337" t="s">
        <v>330</v>
      </c>
      <c r="Q337">
        <v>1000</v>
      </c>
      <c r="X337">
        <v>0.09</v>
      </c>
      <c r="Y337">
        <v>3386.07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</v>
      </c>
      <c r="AG337">
        <v>0.09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ROW(Source!A233)</f>
        <v>233</v>
      </c>
      <c r="B338">
        <v>56612269</v>
      </c>
      <c r="C338">
        <v>56612258</v>
      </c>
      <c r="D338">
        <v>49108184</v>
      </c>
      <c r="E338">
        <v>1</v>
      </c>
      <c r="F338">
        <v>1</v>
      </c>
      <c r="G338">
        <v>27786564</v>
      </c>
      <c r="H338">
        <v>3</v>
      </c>
      <c r="I338" t="s">
        <v>86</v>
      </c>
      <c r="J338" t="s">
        <v>89</v>
      </c>
      <c r="K338" t="s">
        <v>87</v>
      </c>
      <c r="L338">
        <v>1339</v>
      </c>
      <c r="N338">
        <v>1007</v>
      </c>
      <c r="O338" t="s">
        <v>88</v>
      </c>
      <c r="P338" t="s">
        <v>88</v>
      </c>
      <c r="Q338">
        <v>1</v>
      </c>
      <c r="X338">
        <v>40</v>
      </c>
      <c r="Y338">
        <v>104.99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3</v>
      </c>
      <c r="AG338">
        <v>40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ROW(Source!A233)</f>
        <v>233</v>
      </c>
      <c r="B339">
        <v>56612270</v>
      </c>
      <c r="C339">
        <v>56612258</v>
      </c>
      <c r="D339">
        <v>46727938</v>
      </c>
      <c r="E339">
        <v>1</v>
      </c>
      <c r="F339">
        <v>1</v>
      </c>
      <c r="G339">
        <v>27786564</v>
      </c>
      <c r="H339">
        <v>3</v>
      </c>
      <c r="I339" t="s">
        <v>628</v>
      </c>
      <c r="J339" t="s">
        <v>629</v>
      </c>
      <c r="K339" t="s">
        <v>630</v>
      </c>
      <c r="L339">
        <v>1327</v>
      </c>
      <c r="N339">
        <v>1005</v>
      </c>
      <c r="O339" t="s">
        <v>510</v>
      </c>
      <c r="P339" t="s">
        <v>510</v>
      </c>
      <c r="Q339">
        <v>1</v>
      </c>
      <c r="X339">
        <v>10.199999999999999</v>
      </c>
      <c r="Y339">
        <v>90.15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</v>
      </c>
      <c r="AG339">
        <v>10.199999999999999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ROW(Source!A233)</f>
        <v>233</v>
      </c>
      <c r="B340">
        <v>56612271</v>
      </c>
      <c r="C340">
        <v>56612258</v>
      </c>
      <c r="D340">
        <v>30385148</v>
      </c>
      <c r="E340">
        <v>27786564</v>
      </c>
      <c r="F340">
        <v>1</v>
      </c>
      <c r="G340">
        <v>27786564</v>
      </c>
      <c r="H340">
        <v>3</v>
      </c>
      <c r="I340" t="s">
        <v>631</v>
      </c>
      <c r="J340" t="s">
        <v>3</v>
      </c>
      <c r="K340" t="s">
        <v>632</v>
      </c>
      <c r="L340">
        <v>1339</v>
      </c>
      <c r="N340">
        <v>1007</v>
      </c>
      <c r="O340" t="s">
        <v>88</v>
      </c>
      <c r="P340" t="s">
        <v>88</v>
      </c>
      <c r="Q340">
        <v>1</v>
      </c>
      <c r="X340">
        <v>162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3</v>
      </c>
      <c r="AG340">
        <v>162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ROW(Source!A234)</f>
        <v>234</v>
      </c>
      <c r="B341">
        <v>56612260</v>
      </c>
      <c r="C341">
        <v>56612258</v>
      </c>
      <c r="D341">
        <v>47634407</v>
      </c>
      <c r="E341">
        <v>27786564</v>
      </c>
      <c r="F341">
        <v>1</v>
      </c>
      <c r="G341">
        <v>27786564</v>
      </c>
      <c r="H341">
        <v>1</v>
      </c>
      <c r="I341" t="s">
        <v>438</v>
      </c>
      <c r="J341" t="s">
        <v>3</v>
      </c>
      <c r="K341" t="s">
        <v>439</v>
      </c>
      <c r="L341">
        <v>1191</v>
      </c>
      <c r="N341">
        <v>1013</v>
      </c>
      <c r="O341" t="s">
        <v>440</v>
      </c>
      <c r="P341" t="s">
        <v>440</v>
      </c>
      <c r="Q341">
        <v>1</v>
      </c>
      <c r="X341">
        <v>267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 t="s">
        <v>22</v>
      </c>
      <c r="AG341">
        <v>293.70000000000005</v>
      </c>
      <c r="AH341">
        <v>3</v>
      </c>
      <c r="AI341">
        <v>-1</v>
      </c>
      <c r="AJ341" t="s">
        <v>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ROW(Source!A234)</f>
        <v>234</v>
      </c>
      <c r="B342">
        <v>56612261</v>
      </c>
      <c r="C342">
        <v>56612258</v>
      </c>
      <c r="D342">
        <v>47767106</v>
      </c>
      <c r="E342">
        <v>1</v>
      </c>
      <c r="F342">
        <v>1</v>
      </c>
      <c r="G342">
        <v>27786564</v>
      </c>
      <c r="H342">
        <v>2</v>
      </c>
      <c r="I342" t="s">
        <v>460</v>
      </c>
      <c r="J342" t="s">
        <v>461</v>
      </c>
      <c r="K342" t="s">
        <v>462</v>
      </c>
      <c r="L342">
        <v>1368</v>
      </c>
      <c r="N342">
        <v>1011</v>
      </c>
      <c r="O342" t="s">
        <v>444</v>
      </c>
      <c r="P342" t="s">
        <v>444</v>
      </c>
      <c r="Q342">
        <v>1</v>
      </c>
      <c r="X342">
        <v>0.59</v>
      </c>
      <c r="Y342">
        <v>0</v>
      </c>
      <c r="Z342">
        <v>83.1</v>
      </c>
      <c r="AA342">
        <v>12.62</v>
      </c>
      <c r="AB342">
        <v>0</v>
      </c>
      <c r="AC342">
        <v>0</v>
      </c>
      <c r="AD342">
        <v>1</v>
      </c>
      <c r="AE342">
        <v>0</v>
      </c>
      <c r="AF342" t="s">
        <v>22</v>
      </c>
      <c r="AG342">
        <v>0.64900000000000002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ROW(Source!A234)</f>
        <v>234</v>
      </c>
      <c r="B343">
        <v>56612262</v>
      </c>
      <c r="C343">
        <v>56612258</v>
      </c>
      <c r="D343">
        <v>47766454</v>
      </c>
      <c r="E343">
        <v>1</v>
      </c>
      <c r="F343">
        <v>1</v>
      </c>
      <c r="G343">
        <v>27786564</v>
      </c>
      <c r="H343">
        <v>2</v>
      </c>
      <c r="I343" t="s">
        <v>457</v>
      </c>
      <c r="J343" t="s">
        <v>458</v>
      </c>
      <c r="K343" t="s">
        <v>459</v>
      </c>
      <c r="L343">
        <v>1368</v>
      </c>
      <c r="N343">
        <v>1011</v>
      </c>
      <c r="O343" t="s">
        <v>444</v>
      </c>
      <c r="P343" t="s">
        <v>444</v>
      </c>
      <c r="Q343">
        <v>1</v>
      </c>
      <c r="X343">
        <v>0.45</v>
      </c>
      <c r="Y343">
        <v>0</v>
      </c>
      <c r="Z343">
        <v>179.17</v>
      </c>
      <c r="AA343">
        <v>16.93</v>
      </c>
      <c r="AB343">
        <v>0</v>
      </c>
      <c r="AC343">
        <v>0</v>
      </c>
      <c r="AD343">
        <v>1</v>
      </c>
      <c r="AE343">
        <v>0</v>
      </c>
      <c r="AF343" t="s">
        <v>22</v>
      </c>
      <c r="AG343">
        <v>0.49500000000000005</v>
      </c>
      <c r="AH343">
        <v>3</v>
      </c>
      <c r="AI343">
        <v>-1</v>
      </c>
      <c r="AJ343" t="s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ROW(Source!A234)</f>
        <v>234</v>
      </c>
      <c r="B344">
        <v>56612263</v>
      </c>
      <c r="C344">
        <v>56612258</v>
      </c>
      <c r="D344">
        <v>50545252</v>
      </c>
      <c r="E344">
        <v>1</v>
      </c>
      <c r="F344">
        <v>1</v>
      </c>
      <c r="G344">
        <v>27786564</v>
      </c>
      <c r="H344">
        <v>2</v>
      </c>
      <c r="I344" t="s">
        <v>607</v>
      </c>
      <c r="J344" t="s">
        <v>615</v>
      </c>
      <c r="K344" t="s">
        <v>609</v>
      </c>
      <c r="L344">
        <v>1368</v>
      </c>
      <c r="N344">
        <v>1011</v>
      </c>
      <c r="O344" t="s">
        <v>444</v>
      </c>
      <c r="P344" t="s">
        <v>444</v>
      </c>
      <c r="Q344">
        <v>1</v>
      </c>
      <c r="X344">
        <v>11.76</v>
      </c>
      <c r="Y344">
        <v>0</v>
      </c>
      <c r="Z344">
        <v>140.38</v>
      </c>
      <c r="AA344">
        <v>12.62</v>
      </c>
      <c r="AB344">
        <v>0</v>
      </c>
      <c r="AC344">
        <v>0</v>
      </c>
      <c r="AD344">
        <v>1</v>
      </c>
      <c r="AE344">
        <v>0</v>
      </c>
      <c r="AF344" t="s">
        <v>22</v>
      </c>
      <c r="AG344">
        <v>12.936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ROW(Source!A234)</f>
        <v>234</v>
      </c>
      <c r="B345">
        <v>56612264</v>
      </c>
      <c r="C345">
        <v>56612258</v>
      </c>
      <c r="D345">
        <v>47766627</v>
      </c>
      <c r="E345">
        <v>1</v>
      </c>
      <c r="F345">
        <v>1</v>
      </c>
      <c r="G345">
        <v>27786564</v>
      </c>
      <c r="H345">
        <v>2</v>
      </c>
      <c r="I345" t="s">
        <v>616</v>
      </c>
      <c r="J345" t="s">
        <v>617</v>
      </c>
      <c r="K345" t="s">
        <v>618</v>
      </c>
      <c r="L345">
        <v>1368</v>
      </c>
      <c r="N345">
        <v>1011</v>
      </c>
      <c r="O345" t="s">
        <v>444</v>
      </c>
      <c r="P345" t="s">
        <v>444</v>
      </c>
      <c r="Q345">
        <v>1</v>
      </c>
      <c r="X345">
        <v>10.8</v>
      </c>
      <c r="Y345">
        <v>0</v>
      </c>
      <c r="Z345">
        <v>20.51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22</v>
      </c>
      <c r="AG345">
        <v>11.880000000000003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ROW(Source!A234)</f>
        <v>234</v>
      </c>
      <c r="B346">
        <v>56612265</v>
      </c>
      <c r="C346">
        <v>56612258</v>
      </c>
      <c r="D346">
        <v>47766687</v>
      </c>
      <c r="E346">
        <v>1</v>
      </c>
      <c r="F346">
        <v>1</v>
      </c>
      <c r="G346">
        <v>27786564</v>
      </c>
      <c r="H346">
        <v>2</v>
      </c>
      <c r="I346" t="s">
        <v>619</v>
      </c>
      <c r="J346" t="s">
        <v>620</v>
      </c>
      <c r="K346" t="s">
        <v>621</v>
      </c>
      <c r="L346">
        <v>1368</v>
      </c>
      <c r="N346">
        <v>1011</v>
      </c>
      <c r="O346" t="s">
        <v>444</v>
      </c>
      <c r="P346" t="s">
        <v>444</v>
      </c>
      <c r="Q346">
        <v>1</v>
      </c>
      <c r="X346">
        <v>17.399999999999999</v>
      </c>
      <c r="Y346">
        <v>0</v>
      </c>
      <c r="Z346">
        <v>0.23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22</v>
      </c>
      <c r="AG346">
        <v>19.14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ROW(Source!A234)</f>
        <v>234</v>
      </c>
      <c r="B347">
        <v>56612266</v>
      </c>
      <c r="C347">
        <v>56612258</v>
      </c>
      <c r="D347">
        <v>49868265</v>
      </c>
      <c r="E347">
        <v>1</v>
      </c>
      <c r="F347">
        <v>1</v>
      </c>
      <c r="G347">
        <v>27786564</v>
      </c>
      <c r="H347">
        <v>3</v>
      </c>
      <c r="I347" t="s">
        <v>622</v>
      </c>
      <c r="J347" t="s">
        <v>623</v>
      </c>
      <c r="K347" t="s">
        <v>624</v>
      </c>
      <c r="L347">
        <v>1327</v>
      </c>
      <c r="N347">
        <v>1005</v>
      </c>
      <c r="O347" t="s">
        <v>510</v>
      </c>
      <c r="P347" t="s">
        <v>510</v>
      </c>
      <c r="Q347">
        <v>1</v>
      </c>
      <c r="X347">
        <v>12</v>
      </c>
      <c r="Y347">
        <v>5.04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</v>
      </c>
      <c r="AG347">
        <v>12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ROW(Source!A234)</f>
        <v>234</v>
      </c>
      <c r="B348">
        <v>56612267</v>
      </c>
      <c r="C348">
        <v>56612258</v>
      </c>
      <c r="D348">
        <v>30390465</v>
      </c>
      <c r="E348">
        <v>1</v>
      </c>
      <c r="F348">
        <v>1</v>
      </c>
      <c r="G348">
        <v>27786564</v>
      </c>
      <c r="H348">
        <v>3</v>
      </c>
      <c r="I348" t="s">
        <v>584</v>
      </c>
      <c r="J348" t="s">
        <v>585</v>
      </c>
      <c r="K348" t="s">
        <v>586</v>
      </c>
      <c r="L348">
        <v>1339</v>
      </c>
      <c r="N348">
        <v>1007</v>
      </c>
      <c r="O348" t="s">
        <v>88</v>
      </c>
      <c r="P348" t="s">
        <v>88</v>
      </c>
      <c r="Q348">
        <v>1</v>
      </c>
      <c r="X348">
        <v>178</v>
      </c>
      <c r="Y348">
        <v>7.07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</v>
      </c>
      <c r="AG348">
        <v>178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ROW(Source!A234)</f>
        <v>234</v>
      </c>
      <c r="B349">
        <v>56612268</v>
      </c>
      <c r="C349">
        <v>56612258</v>
      </c>
      <c r="D349">
        <v>49868167</v>
      </c>
      <c r="E349">
        <v>1</v>
      </c>
      <c r="F349">
        <v>1</v>
      </c>
      <c r="G349">
        <v>27786564</v>
      </c>
      <c r="H349">
        <v>3</v>
      </c>
      <c r="I349" t="s">
        <v>625</v>
      </c>
      <c r="J349" t="s">
        <v>626</v>
      </c>
      <c r="K349" t="s">
        <v>627</v>
      </c>
      <c r="L349">
        <v>1348</v>
      </c>
      <c r="N349">
        <v>1009</v>
      </c>
      <c r="O349" t="s">
        <v>330</v>
      </c>
      <c r="P349" t="s">
        <v>330</v>
      </c>
      <c r="Q349">
        <v>1000</v>
      </c>
      <c r="X349">
        <v>0.09</v>
      </c>
      <c r="Y349">
        <v>3386.07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</v>
      </c>
      <c r="AG349">
        <v>0.09</v>
      </c>
      <c r="AH349">
        <v>3</v>
      </c>
      <c r="AI349">
        <v>-1</v>
      </c>
      <c r="AJ349" t="s">
        <v>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ROW(Source!A234)</f>
        <v>234</v>
      </c>
      <c r="B350">
        <v>56612269</v>
      </c>
      <c r="C350">
        <v>56612258</v>
      </c>
      <c r="D350">
        <v>49108184</v>
      </c>
      <c r="E350">
        <v>1</v>
      </c>
      <c r="F350">
        <v>1</v>
      </c>
      <c r="G350">
        <v>27786564</v>
      </c>
      <c r="H350">
        <v>3</v>
      </c>
      <c r="I350" t="s">
        <v>86</v>
      </c>
      <c r="J350" t="s">
        <v>89</v>
      </c>
      <c r="K350" t="s">
        <v>87</v>
      </c>
      <c r="L350">
        <v>1339</v>
      </c>
      <c r="N350">
        <v>1007</v>
      </c>
      <c r="O350" t="s">
        <v>88</v>
      </c>
      <c r="P350" t="s">
        <v>88</v>
      </c>
      <c r="Q350">
        <v>1</v>
      </c>
      <c r="X350">
        <v>40</v>
      </c>
      <c r="Y350">
        <v>104.99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</v>
      </c>
      <c r="AG350">
        <v>40</v>
      </c>
      <c r="AH350">
        <v>3</v>
      </c>
      <c r="AI350">
        <v>-1</v>
      </c>
      <c r="AJ350" t="s">
        <v>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ROW(Source!A234)</f>
        <v>234</v>
      </c>
      <c r="B351">
        <v>56612270</v>
      </c>
      <c r="C351">
        <v>56612258</v>
      </c>
      <c r="D351">
        <v>46727938</v>
      </c>
      <c r="E351">
        <v>1</v>
      </c>
      <c r="F351">
        <v>1</v>
      </c>
      <c r="G351">
        <v>27786564</v>
      </c>
      <c r="H351">
        <v>3</v>
      </c>
      <c r="I351" t="s">
        <v>628</v>
      </c>
      <c r="J351" t="s">
        <v>629</v>
      </c>
      <c r="K351" t="s">
        <v>630</v>
      </c>
      <c r="L351">
        <v>1327</v>
      </c>
      <c r="N351">
        <v>1005</v>
      </c>
      <c r="O351" t="s">
        <v>510</v>
      </c>
      <c r="P351" t="s">
        <v>510</v>
      </c>
      <c r="Q351">
        <v>1</v>
      </c>
      <c r="X351">
        <v>10.199999999999999</v>
      </c>
      <c r="Y351">
        <v>90.15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10.199999999999999</v>
      </c>
      <c r="AH351">
        <v>3</v>
      </c>
      <c r="AI351">
        <v>-1</v>
      </c>
      <c r="AJ351" t="s">
        <v>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ROW(Source!A234)</f>
        <v>234</v>
      </c>
      <c r="B352">
        <v>56612271</v>
      </c>
      <c r="C352">
        <v>56612258</v>
      </c>
      <c r="D352">
        <v>30385148</v>
      </c>
      <c r="E352">
        <v>27786564</v>
      </c>
      <c r="F352">
        <v>1</v>
      </c>
      <c r="G352">
        <v>27786564</v>
      </c>
      <c r="H352">
        <v>3</v>
      </c>
      <c r="I352" t="s">
        <v>631</v>
      </c>
      <c r="J352" t="s">
        <v>3</v>
      </c>
      <c r="K352" t="s">
        <v>632</v>
      </c>
      <c r="L352">
        <v>1339</v>
      </c>
      <c r="N352">
        <v>1007</v>
      </c>
      <c r="O352" t="s">
        <v>88</v>
      </c>
      <c r="P352" t="s">
        <v>88</v>
      </c>
      <c r="Q352">
        <v>1</v>
      </c>
      <c r="X352">
        <v>162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3</v>
      </c>
      <c r="AG352">
        <v>162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ROW(Source!A237)</f>
        <v>237</v>
      </c>
      <c r="B353">
        <v>56612275</v>
      </c>
      <c r="C353">
        <v>56612273</v>
      </c>
      <c r="D353">
        <v>47634407</v>
      </c>
      <c r="E353">
        <v>27786564</v>
      </c>
      <c r="F353">
        <v>1</v>
      </c>
      <c r="G353">
        <v>27786564</v>
      </c>
      <c r="H353">
        <v>1</v>
      </c>
      <c r="I353" t="s">
        <v>438</v>
      </c>
      <c r="J353" t="s">
        <v>3</v>
      </c>
      <c r="K353" t="s">
        <v>439</v>
      </c>
      <c r="L353">
        <v>1191</v>
      </c>
      <c r="N353">
        <v>1013</v>
      </c>
      <c r="O353" t="s">
        <v>440</v>
      </c>
      <c r="P353" t="s">
        <v>440</v>
      </c>
      <c r="Q353">
        <v>1</v>
      </c>
      <c r="X353">
        <v>5.17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 t="s">
        <v>22</v>
      </c>
      <c r="AG353">
        <v>5.6870000000000003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ROW(Source!A237)</f>
        <v>237</v>
      </c>
      <c r="B354">
        <v>56612276</v>
      </c>
      <c r="C354">
        <v>56612273</v>
      </c>
      <c r="D354">
        <v>30414261</v>
      </c>
      <c r="E354">
        <v>1</v>
      </c>
      <c r="F354">
        <v>1</v>
      </c>
      <c r="G354">
        <v>27786564</v>
      </c>
      <c r="H354">
        <v>3</v>
      </c>
      <c r="I354" t="s">
        <v>628</v>
      </c>
      <c r="J354" t="s">
        <v>633</v>
      </c>
      <c r="K354" t="s">
        <v>634</v>
      </c>
      <c r="L354">
        <v>1327</v>
      </c>
      <c r="N354">
        <v>1005</v>
      </c>
      <c r="O354" t="s">
        <v>510</v>
      </c>
      <c r="P354" t="s">
        <v>510</v>
      </c>
      <c r="Q354">
        <v>1</v>
      </c>
      <c r="X354">
        <v>0.65</v>
      </c>
      <c r="Y354">
        <v>90.15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</v>
      </c>
      <c r="AG354">
        <v>0.65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ROW(Source!A237)</f>
        <v>237</v>
      </c>
      <c r="B355">
        <v>56612277</v>
      </c>
      <c r="C355">
        <v>56612273</v>
      </c>
      <c r="D355">
        <v>30385148</v>
      </c>
      <c r="E355">
        <v>27786564</v>
      </c>
      <c r="F355">
        <v>1</v>
      </c>
      <c r="G355">
        <v>27786564</v>
      </c>
      <c r="H355">
        <v>3</v>
      </c>
      <c r="I355" t="s">
        <v>631</v>
      </c>
      <c r="J355" t="s">
        <v>3</v>
      </c>
      <c r="K355" t="s">
        <v>632</v>
      </c>
      <c r="L355">
        <v>1339</v>
      </c>
      <c r="N355">
        <v>1007</v>
      </c>
      <c r="O355" t="s">
        <v>88</v>
      </c>
      <c r="P355" t="s">
        <v>88</v>
      </c>
      <c r="Q355">
        <v>1</v>
      </c>
      <c r="X355">
        <v>10.199999999999999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3</v>
      </c>
      <c r="AG355">
        <v>10.199999999999999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ROW(Source!A238)</f>
        <v>238</v>
      </c>
      <c r="B356">
        <v>56612275</v>
      </c>
      <c r="C356">
        <v>56612273</v>
      </c>
      <c r="D356">
        <v>47634407</v>
      </c>
      <c r="E356">
        <v>27786564</v>
      </c>
      <c r="F356">
        <v>1</v>
      </c>
      <c r="G356">
        <v>27786564</v>
      </c>
      <c r="H356">
        <v>1</v>
      </c>
      <c r="I356" t="s">
        <v>438</v>
      </c>
      <c r="J356" t="s">
        <v>3</v>
      </c>
      <c r="K356" t="s">
        <v>439</v>
      </c>
      <c r="L356">
        <v>1191</v>
      </c>
      <c r="N356">
        <v>1013</v>
      </c>
      <c r="O356" t="s">
        <v>440</v>
      </c>
      <c r="P356" t="s">
        <v>440</v>
      </c>
      <c r="Q356">
        <v>1</v>
      </c>
      <c r="X356">
        <v>5.17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F356" t="s">
        <v>22</v>
      </c>
      <c r="AG356">
        <v>5.6870000000000003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ROW(Source!A238)</f>
        <v>238</v>
      </c>
      <c r="B357">
        <v>56612276</v>
      </c>
      <c r="C357">
        <v>56612273</v>
      </c>
      <c r="D357">
        <v>30414261</v>
      </c>
      <c r="E357">
        <v>1</v>
      </c>
      <c r="F357">
        <v>1</v>
      </c>
      <c r="G357">
        <v>27786564</v>
      </c>
      <c r="H357">
        <v>3</v>
      </c>
      <c r="I357" t="s">
        <v>628</v>
      </c>
      <c r="J357" t="s">
        <v>633</v>
      </c>
      <c r="K357" t="s">
        <v>634</v>
      </c>
      <c r="L357">
        <v>1327</v>
      </c>
      <c r="N357">
        <v>1005</v>
      </c>
      <c r="O357" t="s">
        <v>510</v>
      </c>
      <c r="P357" t="s">
        <v>510</v>
      </c>
      <c r="Q357">
        <v>1</v>
      </c>
      <c r="X357">
        <v>0.65</v>
      </c>
      <c r="Y357">
        <v>90.15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3</v>
      </c>
      <c r="AG357">
        <v>0.65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ROW(Source!A238)</f>
        <v>238</v>
      </c>
      <c r="B358">
        <v>56612277</v>
      </c>
      <c r="C358">
        <v>56612273</v>
      </c>
      <c r="D358">
        <v>30385148</v>
      </c>
      <c r="E358">
        <v>27786564</v>
      </c>
      <c r="F358">
        <v>1</v>
      </c>
      <c r="G358">
        <v>27786564</v>
      </c>
      <c r="H358">
        <v>3</v>
      </c>
      <c r="I358" t="s">
        <v>631</v>
      </c>
      <c r="J358" t="s">
        <v>3</v>
      </c>
      <c r="K358" t="s">
        <v>632</v>
      </c>
      <c r="L358">
        <v>1339</v>
      </c>
      <c r="N358">
        <v>1007</v>
      </c>
      <c r="O358" t="s">
        <v>88</v>
      </c>
      <c r="P358" t="s">
        <v>88</v>
      </c>
      <c r="Q358">
        <v>1</v>
      </c>
      <c r="X358">
        <v>10.199999999999999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3</v>
      </c>
      <c r="AG358">
        <v>10.199999999999999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ROW(Source!A241)</f>
        <v>241</v>
      </c>
      <c r="B359">
        <v>56612281</v>
      </c>
      <c r="C359">
        <v>56612279</v>
      </c>
      <c r="D359">
        <v>47634407</v>
      </c>
      <c r="E359">
        <v>27786564</v>
      </c>
      <c r="F359">
        <v>1</v>
      </c>
      <c r="G359">
        <v>27786564</v>
      </c>
      <c r="H359">
        <v>1</v>
      </c>
      <c r="I359" t="s">
        <v>438</v>
      </c>
      <c r="J359" t="s">
        <v>3</v>
      </c>
      <c r="K359" t="s">
        <v>439</v>
      </c>
      <c r="L359">
        <v>1191</v>
      </c>
      <c r="N359">
        <v>1013</v>
      </c>
      <c r="O359" t="s">
        <v>440</v>
      </c>
      <c r="P359" t="s">
        <v>440</v>
      </c>
      <c r="Q359">
        <v>1</v>
      </c>
      <c r="X359">
        <v>4.29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 t="s">
        <v>22</v>
      </c>
      <c r="AG359">
        <v>4.7190000000000003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ROW(Source!A241)</f>
        <v>241</v>
      </c>
      <c r="B360">
        <v>56612282</v>
      </c>
      <c r="C360">
        <v>56612279</v>
      </c>
      <c r="D360">
        <v>47766768</v>
      </c>
      <c r="E360">
        <v>1</v>
      </c>
      <c r="F360">
        <v>1</v>
      </c>
      <c r="G360">
        <v>27786564</v>
      </c>
      <c r="H360">
        <v>2</v>
      </c>
      <c r="I360" t="s">
        <v>589</v>
      </c>
      <c r="J360" t="s">
        <v>590</v>
      </c>
      <c r="K360" t="s">
        <v>591</v>
      </c>
      <c r="L360">
        <v>1368</v>
      </c>
      <c r="N360">
        <v>1011</v>
      </c>
      <c r="O360" t="s">
        <v>444</v>
      </c>
      <c r="P360" t="s">
        <v>444</v>
      </c>
      <c r="Q360">
        <v>1</v>
      </c>
      <c r="X360">
        <v>0.3</v>
      </c>
      <c r="Y360">
        <v>0</v>
      </c>
      <c r="Z360">
        <v>41.45</v>
      </c>
      <c r="AA360">
        <v>12.62</v>
      </c>
      <c r="AB360">
        <v>0</v>
      </c>
      <c r="AC360">
        <v>0</v>
      </c>
      <c r="AD360">
        <v>1</v>
      </c>
      <c r="AE360">
        <v>0</v>
      </c>
      <c r="AF360" t="s">
        <v>22</v>
      </c>
      <c r="AG360">
        <v>0.33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ROW(Source!A241)</f>
        <v>241</v>
      </c>
      <c r="B361">
        <v>56612283</v>
      </c>
      <c r="C361">
        <v>56612279</v>
      </c>
      <c r="D361">
        <v>47766518</v>
      </c>
      <c r="E361">
        <v>1</v>
      </c>
      <c r="F361">
        <v>1</v>
      </c>
      <c r="G361">
        <v>27786564</v>
      </c>
      <c r="H361">
        <v>2</v>
      </c>
      <c r="I361" t="s">
        <v>635</v>
      </c>
      <c r="J361" t="s">
        <v>636</v>
      </c>
      <c r="K361" t="s">
        <v>637</v>
      </c>
      <c r="L361">
        <v>1368</v>
      </c>
      <c r="N361">
        <v>1011</v>
      </c>
      <c r="O361" t="s">
        <v>444</v>
      </c>
      <c r="P361" t="s">
        <v>444</v>
      </c>
      <c r="Q361">
        <v>1</v>
      </c>
      <c r="X361">
        <v>0.3</v>
      </c>
      <c r="Y361">
        <v>0</v>
      </c>
      <c r="Z361">
        <v>153.94999999999999</v>
      </c>
      <c r="AA361">
        <v>14.54</v>
      </c>
      <c r="AB361">
        <v>0</v>
      </c>
      <c r="AC361">
        <v>0</v>
      </c>
      <c r="AD361">
        <v>1</v>
      </c>
      <c r="AE361">
        <v>0</v>
      </c>
      <c r="AF361" t="s">
        <v>22</v>
      </c>
      <c r="AG361">
        <v>0.33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ROW(Source!A241)</f>
        <v>241</v>
      </c>
      <c r="B362">
        <v>56612284</v>
      </c>
      <c r="C362">
        <v>56612279</v>
      </c>
      <c r="D362">
        <v>47766605</v>
      </c>
      <c r="E362">
        <v>1</v>
      </c>
      <c r="F362">
        <v>1</v>
      </c>
      <c r="G362">
        <v>27786564</v>
      </c>
      <c r="H362">
        <v>2</v>
      </c>
      <c r="I362" t="s">
        <v>607</v>
      </c>
      <c r="J362" t="s">
        <v>608</v>
      </c>
      <c r="K362" t="s">
        <v>609</v>
      </c>
      <c r="L362">
        <v>1368</v>
      </c>
      <c r="N362">
        <v>1011</v>
      </c>
      <c r="O362" t="s">
        <v>444</v>
      </c>
      <c r="P362" t="s">
        <v>444</v>
      </c>
      <c r="Q362">
        <v>1</v>
      </c>
      <c r="X362">
        <v>0.3</v>
      </c>
      <c r="Y362">
        <v>0</v>
      </c>
      <c r="Z362">
        <v>140.38</v>
      </c>
      <c r="AA362">
        <v>12.62</v>
      </c>
      <c r="AB362">
        <v>0</v>
      </c>
      <c r="AC362">
        <v>0</v>
      </c>
      <c r="AD362">
        <v>1</v>
      </c>
      <c r="AE362">
        <v>0</v>
      </c>
      <c r="AF362" t="s">
        <v>22</v>
      </c>
      <c r="AG362">
        <v>0.33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ROW(Source!A241)</f>
        <v>241</v>
      </c>
      <c r="B363">
        <v>56612285</v>
      </c>
      <c r="C363">
        <v>56612279</v>
      </c>
      <c r="D363">
        <v>47766606</v>
      </c>
      <c r="E363">
        <v>1</v>
      </c>
      <c r="F363">
        <v>1</v>
      </c>
      <c r="G363">
        <v>27786564</v>
      </c>
      <c r="H363">
        <v>2</v>
      </c>
      <c r="I363" t="s">
        <v>638</v>
      </c>
      <c r="J363" t="s">
        <v>639</v>
      </c>
      <c r="K363" t="s">
        <v>640</v>
      </c>
      <c r="L363">
        <v>1368</v>
      </c>
      <c r="N363">
        <v>1011</v>
      </c>
      <c r="O363" t="s">
        <v>444</v>
      </c>
      <c r="P363" t="s">
        <v>444</v>
      </c>
      <c r="Q363">
        <v>1</v>
      </c>
      <c r="X363">
        <v>0.3</v>
      </c>
      <c r="Y363">
        <v>0</v>
      </c>
      <c r="Z363">
        <v>260.5</v>
      </c>
      <c r="AA363">
        <v>18.62</v>
      </c>
      <c r="AB363">
        <v>0</v>
      </c>
      <c r="AC363">
        <v>0</v>
      </c>
      <c r="AD363">
        <v>1</v>
      </c>
      <c r="AE363">
        <v>0</v>
      </c>
      <c r="AF363" t="s">
        <v>22</v>
      </c>
      <c r="AG363">
        <v>0.33</v>
      </c>
      <c r="AH363">
        <v>3</v>
      </c>
      <c r="AI363">
        <v>-1</v>
      </c>
      <c r="AJ363" t="s">
        <v>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ROW(Source!A241)</f>
        <v>241</v>
      </c>
      <c r="B364">
        <v>56612286</v>
      </c>
      <c r="C364">
        <v>56612279</v>
      </c>
      <c r="D364">
        <v>47766595</v>
      </c>
      <c r="E364">
        <v>1</v>
      </c>
      <c r="F364">
        <v>1</v>
      </c>
      <c r="G364">
        <v>27786564</v>
      </c>
      <c r="H364">
        <v>2</v>
      </c>
      <c r="I364" t="s">
        <v>641</v>
      </c>
      <c r="J364" t="s">
        <v>642</v>
      </c>
      <c r="K364" t="s">
        <v>643</v>
      </c>
      <c r="L364">
        <v>1368</v>
      </c>
      <c r="N364">
        <v>1011</v>
      </c>
      <c r="O364" t="s">
        <v>444</v>
      </c>
      <c r="P364" t="s">
        <v>444</v>
      </c>
      <c r="Q364">
        <v>1</v>
      </c>
      <c r="X364">
        <v>0.3</v>
      </c>
      <c r="Y364">
        <v>0</v>
      </c>
      <c r="Z364">
        <v>163.81</v>
      </c>
      <c r="AA364">
        <v>14.54</v>
      </c>
      <c r="AB364">
        <v>0</v>
      </c>
      <c r="AC364">
        <v>0</v>
      </c>
      <c r="AD364">
        <v>1</v>
      </c>
      <c r="AE364">
        <v>0</v>
      </c>
      <c r="AF364" t="s">
        <v>22</v>
      </c>
      <c r="AG364">
        <v>0.33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ROW(Source!A241)</f>
        <v>241</v>
      </c>
      <c r="B365">
        <v>56612287</v>
      </c>
      <c r="C365">
        <v>56612279</v>
      </c>
      <c r="D365">
        <v>47766611</v>
      </c>
      <c r="E365">
        <v>1</v>
      </c>
      <c r="F365">
        <v>1</v>
      </c>
      <c r="G365">
        <v>27786564</v>
      </c>
      <c r="H365">
        <v>2</v>
      </c>
      <c r="I365" t="s">
        <v>644</v>
      </c>
      <c r="J365" t="s">
        <v>645</v>
      </c>
      <c r="K365" t="s">
        <v>646</v>
      </c>
      <c r="L365">
        <v>1368</v>
      </c>
      <c r="N365">
        <v>1011</v>
      </c>
      <c r="O365" t="s">
        <v>444</v>
      </c>
      <c r="P365" t="s">
        <v>444</v>
      </c>
      <c r="Q365">
        <v>1</v>
      </c>
      <c r="X365">
        <v>0.3</v>
      </c>
      <c r="Y365">
        <v>0</v>
      </c>
      <c r="Z365">
        <v>283.89999999999998</v>
      </c>
      <c r="AA365">
        <v>14.54</v>
      </c>
      <c r="AB365">
        <v>0</v>
      </c>
      <c r="AC365">
        <v>0</v>
      </c>
      <c r="AD365">
        <v>1</v>
      </c>
      <c r="AE365">
        <v>0</v>
      </c>
      <c r="AF365" t="s">
        <v>22</v>
      </c>
      <c r="AG365">
        <v>0.33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ROW(Source!A241)</f>
        <v>241</v>
      </c>
      <c r="B366">
        <v>56612288</v>
      </c>
      <c r="C366">
        <v>56612279</v>
      </c>
      <c r="D366">
        <v>47766598</v>
      </c>
      <c r="E366">
        <v>1</v>
      </c>
      <c r="F366">
        <v>1</v>
      </c>
      <c r="G366">
        <v>27786564</v>
      </c>
      <c r="H366">
        <v>2</v>
      </c>
      <c r="I366" t="s">
        <v>647</v>
      </c>
      <c r="J366" t="s">
        <v>648</v>
      </c>
      <c r="K366" t="s">
        <v>649</v>
      </c>
      <c r="L366">
        <v>1368</v>
      </c>
      <c r="N366">
        <v>1011</v>
      </c>
      <c r="O366" t="s">
        <v>444</v>
      </c>
      <c r="P366" t="s">
        <v>444</v>
      </c>
      <c r="Q366">
        <v>1</v>
      </c>
      <c r="X366">
        <v>0.3</v>
      </c>
      <c r="Y366">
        <v>0</v>
      </c>
      <c r="Z366">
        <v>189.45</v>
      </c>
      <c r="AA366">
        <v>16.93</v>
      </c>
      <c r="AB366">
        <v>0</v>
      </c>
      <c r="AC366">
        <v>0</v>
      </c>
      <c r="AD366">
        <v>1</v>
      </c>
      <c r="AE366">
        <v>0</v>
      </c>
      <c r="AF366" t="s">
        <v>22</v>
      </c>
      <c r="AG366">
        <v>0.33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ROW(Source!A241)</f>
        <v>241</v>
      </c>
      <c r="B367">
        <v>56612289</v>
      </c>
      <c r="C367">
        <v>56612279</v>
      </c>
      <c r="D367">
        <v>47766599</v>
      </c>
      <c r="E367">
        <v>1</v>
      </c>
      <c r="F367">
        <v>1</v>
      </c>
      <c r="G367">
        <v>27786564</v>
      </c>
      <c r="H367">
        <v>2</v>
      </c>
      <c r="I367" t="s">
        <v>610</v>
      </c>
      <c r="J367" t="s">
        <v>611</v>
      </c>
      <c r="K367" t="s">
        <v>612</v>
      </c>
      <c r="L367">
        <v>1368</v>
      </c>
      <c r="N367">
        <v>1011</v>
      </c>
      <c r="O367" t="s">
        <v>444</v>
      </c>
      <c r="P367" t="s">
        <v>444</v>
      </c>
      <c r="Q367">
        <v>1</v>
      </c>
      <c r="X367">
        <v>0.9</v>
      </c>
      <c r="Y367">
        <v>0</v>
      </c>
      <c r="Z367">
        <v>180.35</v>
      </c>
      <c r="AA367">
        <v>16.93</v>
      </c>
      <c r="AB367">
        <v>0</v>
      </c>
      <c r="AC367">
        <v>0</v>
      </c>
      <c r="AD367">
        <v>1</v>
      </c>
      <c r="AE367">
        <v>0</v>
      </c>
      <c r="AF367" t="s">
        <v>22</v>
      </c>
      <c r="AG367">
        <v>0.9900000000000001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ROW(Source!A241)</f>
        <v>241</v>
      </c>
      <c r="B368">
        <v>56612290</v>
      </c>
      <c r="C368">
        <v>56612279</v>
      </c>
      <c r="D368">
        <v>46725969</v>
      </c>
      <c r="E368">
        <v>1</v>
      </c>
      <c r="F368">
        <v>1</v>
      </c>
      <c r="G368">
        <v>27786564</v>
      </c>
      <c r="H368">
        <v>3</v>
      </c>
      <c r="I368" t="s">
        <v>650</v>
      </c>
      <c r="J368" t="s">
        <v>651</v>
      </c>
      <c r="K368" t="s">
        <v>652</v>
      </c>
      <c r="L368">
        <v>1348</v>
      </c>
      <c r="N368">
        <v>1009</v>
      </c>
      <c r="O368" t="s">
        <v>330</v>
      </c>
      <c r="P368" t="s">
        <v>330</v>
      </c>
      <c r="Q368">
        <v>1000</v>
      </c>
      <c r="X368">
        <v>0.04</v>
      </c>
      <c r="Y368">
        <v>1445.87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</v>
      </c>
      <c r="AG368">
        <v>0.04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ROW(Source!A241)</f>
        <v>241</v>
      </c>
      <c r="B369">
        <v>56612291</v>
      </c>
      <c r="C369">
        <v>56612279</v>
      </c>
      <c r="D369">
        <v>30384722</v>
      </c>
      <c r="E369">
        <v>27786564</v>
      </c>
      <c r="F369">
        <v>1</v>
      </c>
      <c r="G369">
        <v>27786564</v>
      </c>
      <c r="H369">
        <v>3</v>
      </c>
      <c r="I369" t="s">
        <v>653</v>
      </c>
      <c r="J369" t="s">
        <v>3</v>
      </c>
      <c r="K369" t="s">
        <v>654</v>
      </c>
      <c r="L369">
        <v>1348</v>
      </c>
      <c r="N369">
        <v>1009</v>
      </c>
      <c r="O369" t="s">
        <v>330</v>
      </c>
      <c r="P369" t="s">
        <v>330</v>
      </c>
      <c r="Q369">
        <v>1000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3</v>
      </c>
      <c r="AG369">
        <v>0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ROW(Source!A242)</f>
        <v>242</v>
      </c>
      <c r="B370">
        <v>56612281</v>
      </c>
      <c r="C370">
        <v>56612279</v>
      </c>
      <c r="D370">
        <v>47634407</v>
      </c>
      <c r="E370">
        <v>27786564</v>
      </c>
      <c r="F370">
        <v>1</v>
      </c>
      <c r="G370">
        <v>27786564</v>
      </c>
      <c r="H370">
        <v>1</v>
      </c>
      <c r="I370" t="s">
        <v>438</v>
      </c>
      <c r="J370" t="s">
        <v>3</v>
      </c>
      <c r="K370" t="s">
        <v>439</v>
      </c>
      <c r="L370">
        <v>1191</v>
      </c>
      <c r="N370">
        <v>1013</v>
      </c>
      <c r="O370" t="s">
        <v>440</v>
      </c>
      <c r="P370" t="s">
        <v>440</v>
      </c>
      <c r="Q370">
        <v>1</v>
      </c>
      <c r="X370">
        <v>4.29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 t="s">
        <v>22</v>
      </c>
      <c r="AG370">
        <v>4.7190000000000003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ROW(Source!A242)</f>
        <v>242</v>
      </c>
      <c r="B371">
        <v>56612282</v>
      </c>
      <c r="C371">
        <v>56612279</v>
      </c>
      <c r="D371">
        <v>47766768</v>
      </c>
      <c r="E371">
        <v>1</v>
      </c>
      <c r="F371">
        <v>1</v>
      </c>
      <c r="G371">
        <v>27786564</v>
      </c>
      <c r="H371">
        <v>2</v>
      </c>
      <c r="I371" t="s">
        <v>589</v>
      </c>
      <c r="J371" t="s">
        <v>590</v>
      </c>
      <c r="K371" t="s">
        <v>591</v>
      </c>
      <c r="L371">
        <v>1368</v>
      </c>
      <c r="N371">
        <v>1011</v>
      </c>
      <c r="O371" t="s">
        <v>444</v>
      </c>
      <c r="P371" t="s">
        <v>444</v>
      </c>
      <c r="Q371">
        <v>1</v>
      </c>
      <c r="X371">
        <v>0.3</v>
      </c>
      <c r="Y371">
        <v>0</v>
      </c>
      <c r="Z371">
        <v>41.45</v>
      </c>
      <c r="AA371">
        <v>12.62</v>
      </c>
      <c r="AB371">
        <v>0</v>
      </c>
      <c r="AC371">
        <v>0</v>
      </c>
      <c r="AD371">
        <v>1</v>
      </c>
      <c r="AE371">
        <v>0</v>
      </c>
      <c r="AF371" t="s">
        <v>22</v>
      </c>
      <c r="AG371">
        <v>0.33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ROW(Source!A242)</f>
        <v>242</v>
      </c>
      <c r="B372">
        <v>56612283</v>
      </c>
      <c r="C372">
        <v>56612279</v>
      </c>
      <c r="D372">
        <v>47766518</v>
      </c>
      <c r="E372">
        <v>1</v>
      </c>
      <c r="F372">
        <v>1</v>
      </c>
      <c r="G372">
        <v>27786564</v>
      </c>
      <c r="H372">
        <v>2</v>
      </c>
      <c r="I372" t="s">
        <v>635</v>
      </c>
      <c r="J372" t="s">
        <v>636</v>
      </c>
      <c r="K372" t="s">
        <v>637</v>
      </c>
      <c r="L372">
        <v>1368</v>
      </c>
      <c r="N372">
        <v>1011</v>
      </c>
      <c r="O372" t="s">
        <v>444</v>
      </c>
      <c r="P372" t="s">
        <v>444</v>
      </c>
      <c r="Q372">
        <v>1</v>
      </c>
      <c r="X372">
        <v>0.3</v>
      </c>
      <c r="Y372">
        <v>0</v>
      </c>
      <c r="Z372">
        <v>153.94999999999999</v>
      </c>
      <c r="AA372">
        <v>14.54</v>
      </c>
      <c r="AB372">
        <v>0</v>
      </c>
      <c r="AC372">
        <v>0</v>
      </c>
      <c r="AD372">
        <v>1</v>
      </c>
      <c r="AE372">
        <v>0</v>
      </c>
      <c r="AF372" t="s">
        <v>22</v>
      </c>
      <c r="AG372">
        <v>0.33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ROW(Source!A242)</f>
        <v>242</v>
      </c>
      <c r="B373">
        <v>56612284</v>
      </c>
      <c r="C373">
        <v>56612279</v>
      </c>
      <c r="D373">
        <v>47766605</v>
      </c>
      <c r="E373">
        <v>1</v>
      </c>
      <c r="F373">
        <v>1</v>
      </c>
      <c r="G373">
        <v>27786564</v>
      </c>
      <c r="H373">
        <v>2</v>
      </c>
      <c r="I373" t="s">
        <v>607</v>
      </c>
      <c r="J373" t="s">
        <v>608</v>
      </c>
      <c r="K373" t="s">
        <v>609</v>
      </c>
      <c r="L373">
        <v>1368</v>
      </c>
      <c r="N373">
        <v>1011</v>
      </c>
      <c r="O373" t="s">
        <v>444</v>
      </c>
      <c r="P373" t="s">
        <v>444</v>
      </c>
      <c r="Q373">
        <v>1</v>
      </c>
      <c r="X373">
        <v>0.3</v>
      </c>
      <c r="Y373">
        <v>0</v>
      </c>
      <c r="Z373">
        <v>140.38</v>
      </c>
      <c r="AA373">
        <v>12.62</v>
      </c>
      <c r="AB373">
        <v>0</v>
      </c>
      <c r="AC373">
        <v>0</v>
      </c>
      <c r="AD373">
        <v>1</v>
      </c>
      <c r="AE373">
        <v>0</v>
      </c>
      <c r="AF373" t="s">
        <v>22</v>
      </c>
      <c r="AG373">
        <v>0.33</v>
      </c>
      <c r="AH373">
        <v>3</v>
      </c>
      <c r="AI373">
        <v>-1</v>
      </c>
      <c r="AJ373" t="s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ROW(Source!A242)</f>
        <v>242</v>
      </c>
      <c r="B374">
        <v>56612285</v>
      </c>
      <c r="C374">
        <v>56612279</v>
      </c>
      <c r="D374">
        <v>47766606</v>
      </c>
      <c r="E374">
        <v>1</v>
      </c>
      <c r="F374">
        <v>1</v>
      </c>
      <c r="G374">
        <v>27786564</v>
      </c>
      <c r="H374">
        <v>2</v>
      </c>
      <c r="I374" t="s">
        <v>638</v>
      </c>
      <c r="J374" t="s">
        <v>639</v>
      </c>
      <c r="K374" t="s">
        <v>640</v>
      </c>
      <c r="L374">
        <v>1368</v>
      </c>
      <c r="N374">
        <v>1011</v>
      </c>
      <c r="O374" t="s">
        <v>444</v>
      </c>
      <c r="P374" t="s">
        <v>444</v>
      </c>
      <c r="Q374">
        <v>1</v>
      </c>
      <c r="X374">
        <v>0.3</v>
      </c>
      <c r="Y374">
        <v>0</v>
      </c>
      <c r="Z374">
        <v>260.5</v>
      </c>
      <c r="AA374">
        <v>18.62</v>
      </c>
      <c r="AB374">
        <v>0</v>
      </c>
      <c r="AC374">
        <v>0</v>
      </c>
      <c r="AD374">
        <v>1</v>
      </c>
      <c r="AE374">
        <v>0</v>
      </c>
      <c r="AF374" t="s">
        <v>22</v>
      </c>
      <c r="AG374">
        <v>0.33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ROW(Source!A242)</f>
        <v>242</v>
      </c>
      <c r="B375">
        <v>56612286</v>
      </c>
      <c r="C375">
        <v>56612279</v>
      </c>
      <c r="D375">
        <v>47766595</v>
      </c>
      <c r="E375">
        <v>1</v>
      </c>
      <c r="F375">
        <v>1</v>
      </c>
      <c r="G375">
        <v>27786564</v>
      </c>
      <c r="H375">
        <v>2</v>
      </c>
      <c r="I375" t="s">
        <v>641</v>
      </c>
      <c r="J375" t="s">
        <v>642</v>
      </c>
      <c r="K375" t="s">
        <v>643</v>
      </c>
      <c r="L375">
        <v>1368</v>
      </c>
      <c r="N375">
        <v>1011</v>
      </c>
      <c r="O375" t="s">
        <v>444</v>
      </c>
      <c r="P375" t="s">
        <v>444</v>
      </c>
      <c r="Q375">
        <v>1</v>
      </c>
      <c r="X375">
        <v>0.3</v>
      </c>
      <c r="Y375">
        <v>0</v>
      </c>
      <c r="Z375">
        <v>163.81</v>
      </c>
      <c r="AA375">
        <v>14.54</v>
      </c>
      <c r="AB375">
        <v>0</v>
      </c>
      <c r="AC375">
        <v>0</v>
      </c>
      <c r="AD375">
        <v>1</v>
      </c>
      <c r="AE375">
        <v>0</v>
      </c>
      <c r="AF375" t="s">
        <v>22</v>
      </c>
      <c r="AG375">
        <v>0.33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ROW(Source!A242)</f>
        <v>242</v>
      </c>
      <c r="B376">
        <v>56612287</v>
      </c>
      <c r="C376">
        <v>56612279</v>
      </c>
      <c r="D376">
        <v>47766611</v>
      </c>
      <c r="E376">
        <v>1</v>
      </c>
      <c r="F376">
        <v>1</v>
      </c>
      <c r="G376">
        <v>27786564</v>
      </c>
      <c r="H376">
        <v>2</v>
      </c>
      <c r="I376" t="s">
        <v>644</v>
      </c>
      <c r="J376" t="s">
        <v>645</v>
      </c>
      <c r="K376" t="s">
        <v>646</v>
      </c>
      <c r="L376">
        <v>1368</v>
      </c>
      <c r="N376">
        <v>1011</v>
      </c>
      <c r="O376" t="s">
        <v>444</v>
      </c>
      <c r="P376" t="s">
        <v>444</v>
      </c>
      <c r="Q376">
        <v>1</v>
      </c>
      <c r="X376">
        <v>0.3</v>
      </c>
      <c r="Y376">
        <v>0</v>
      </c>
      <c r="Z376">
        <v>283.89999999999998</v>
      </c>
      <c r="AA376">
        <v>14.54</v>
      </c>
      <c r="AB376">
        <v>0</v>
      </c>
      <c r="AC376">
        <v>0</v>
      </c>
      <c r="AD376">
        <v>1</v>
      </c>
      <c r="AE376">
        <v>0</v>
      </c>
      <c r="AF376" t="s">
        <v>22</v>
      </c>
      <c r="AG376">
        <v>0.33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ROW(Source!A242)</f>
        <v>242</v>
      </c>
      <c r="B377">
        <v>56612288</v>
      </c>
      <c r="C377">
        <v>56612279</v>
      </c>
      <c r="D377">
        <v>47766598</v>
      </c>
      <c r="E377">
        <v>1</v>
      </c>
      <c r="F377">
        <v>1</v>
      </c>
      <c r="G377">
        <v>27786564</v>
      </c>
      <c r="H377">
        <v>2</v>
      </c>
      <c r="I377" t="s">
        <v>647</v>
      </c>
      <c r="J377" t="s">
        <v>648</v>
      </c>
      <c r="K377" t="s">
        <v>649</v>
      </c>
      <c r="L377">
        <v>1368</v>
      </c>
      <c r="N377">
        <v>1011</v>
      </c>
      <c r="O377" t="s">
        <v>444</v>
      </c>
      <c r="P377" t="s">
        <v>444</v>
      </c>
      <c r="Q377">
        <v>1</v>
      </c>
      <c r="X377">
        <v>0.3</v>
      </c>
      <c r="Y377">
        <v>0</v>
      </c>
      <c r="Z377">
        <v>189.45</v>
      </c>
      <c r="AA377">
        <v>16.93</v>
      </c>
      <c r="AB377">
        <v>0</v>
      </c>
      <c r="AC377">
        <v>0</v>
      </c>
      <c r="AD377">
        <v>1</v>
      </c>
      <c r="AE377">
        <v>0</v>
      </c>
      <c r="AF377" t="s">
        <v>22</v>
      </c>
      <c r="AG377">
        <v>0.33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ROW(Source!A242)</f>
        <v>242</v>
      </c>
      <c r="B378">
        <v>56612289</v>
      </c>
      <c r="C378">
        <v>56612279</v>
      </c>
      <c r="D378">
        <v>47766599</v>
      </c>
      <c r="E378">
        <v>1</v>
      </c>
      <c r="F378">
        <v>1</v>
      </c>
      <c r="G378">
        <v>27786564</v>
      </c>
      <c r="H378">
        <v>2</v>
      </c>
      <c r="I378" t="s">
        <v>610</v>
      </c>
      <c r="J378" t="s">
        <v>611</v>
      </c>
      <c r="K378" t="s">
        <v>612</v>
      </c>
      <c r="L378">
        <v>1368</v>
      </c>
      <c r="N378">
        <v>1011</v>
      </c>
      <c r="O378" t="s">
        <v>444</v>
      </c>
      <c r="P378" t="s">
        <v>444</v>
      </c>
      <c r="Q378">
        <v>1</v>
      </c>
      <c r="X378">
        <v>0.9</v>
      </c>
      <c r="Y378">
        <v>0</v>
      </c>
      <c r="Z378">
        <v>180.35</v>
      </c>
      <c r="AA378">
        <v>16.93</v>
      </c>
      <c r="AB378">
        <v>0</v>
      </c>
      <c r="AC378">
        <v>0</v>
      </c>
      <c r="AD378">
        <v>1</v>
      </c>
      <c r="AE378">
        <v>0</v>
      </c>
      <c r="AF378" t="s">
        <v>22</v>
      </c>
      <c r="AG378">
        <v>0.9900000000000001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ROW(Source!A242)</f>
        <v>242</v>
      </c>
      <c r="B379">
        <v>56612290</v>
      </c>
      <c r="C379">
        <v>56612279</v>
      </c>
      <c r="D379">
        <v>46725969</v>
      </c>
      <c r="E379">
        <v>1</v>
      </c>
      <c r="F379">
        <v>1</v>
      </c>
      <c r="G379">
        <v>27786564</v>
      </c>
      <c r="H379">
        <v>3</v>
      </c>
      <c r="I379" t="s">
        <v>650</v>
      </c>
      <c r="J379" t="s">
        <v>651</v>
      </c>
      <c r="K379" t="s">
        <v>652</v>
      </c>
      <c r="L379">
        <v>1348</v>
      </c>
      <c r="N379">
        <v>1009</v>
      </c>
      <c r="O379" t="s">
        <v>330</v>
      </c>
      <c r="P379" t="s">
        <v>330</v>
      </c>
      <c r="Q379">
        <v>1000</v>
      </c>
      <c r="X379">
        <v>0.04</v>
      </c>
      <c r="Y379">
        <v>1445.87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</v>
      </c>
      <c r="AG379">
        <v>0.04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ROW(Source!A242)</f>
        <v>242</v>
      </c>
      <c r="B380">
        <v>56612291</v>
      </c>
      <c r="C380">
        <v>56612279</v>
      </c>
      <c r="D380">
        <v>30384722</v>
      </c>
      <c r="E380">
        <v>27786564</v>
      </c>
      <c r="F380">
        <v>1</v>
      </c>
      <c r="G380">
        <v>27786564</v>
      </c>
      <c r="H380">
        <v>3</v>
      </c>
      <c r="I380" t="s">
        <v>653</v>
      </c>
      <c r="J380" t="s">
        <v>3</v>
      </c>
      <c r="K380" t="s">
        <v>654</v>
      </c>
      <c r="L380">
        <v>1348</v>
      </c>
      <c r="N380">
        <v>1009</v>
      </c>
      <c r="O380" t="s">
        <v>330</v>
      </c>
      <c r="P380" t="s">
        <v>330</v>
      </c>
      <c r="Q380">
        <v>1000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3</v>
      </c>
      <c r="AG380">
        <v>0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ROW(Source!A245)</f>
        <v>245</v>
      </c>
      <c r="B381">
        <v>56612295</v>
      </c>
      <c r="C381">
        <v>56612293</v>
      </c>
      <c r="D381">
        <v>47634407</v>
      </c>
      <c r="E381">
        <v>27786564</v>
      </c>
      <c r="F381">
        <v>1</v>
      </c>
      <c r="G381">
        <v>27786564</v>
      </c>
      <c r="H381">
        <v>1</v>
      </c>
      <c r="I381" t="s">
        <v>438</v>
      </c>
      <c r="J381" t="s">
        <v>3</v>
      </c>
      <c r="K381" t="s">
        <v>439</v>
      </c>
      <c r="L381">
        <v>1191</v>
      </c>
      <c r="N381">
        <v>1013</v>
      </c>
      <c r="O381" t="s">
        <v>440</v>
      </c>
      <c r="P381" t="s">
        <v>440</v>
      </c>
      <c r="Q381">
        <v>1</v>
      </c>
      <c r="X381">
        <v>4.29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22</v>
      </c>
      <c r="AG381">
        <v>4.7190000000000003</v>
      </c>
      <c r="AH381">
        <v>3</v>
      </c>
      <c r="AI381">
        <v>-1</v>
      </c>
      <c r="AJ381" t="s">
        <v>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ROW(Source!A245)</f>
        <v>245</v>
      </c>
      <c r="B382">
        <v>56612296</v>
      </c>
      <c r="C382">
        <v>56612293</v>
      </c>
      <c r="D382">
        <v>47766768</v>
      </c>
      <c r="E382">
        <v>1</v>
      </c>
      <c r="F382">
        <v>1</v>
      </c>
      <c r="G382">
        <v>27786564</v>
      </c>
      <c r="H382">
        <v>2</v>
      </c>
      <c r="I382" t="s">
        <v>589</v>
      </c>
      <c r="J382" t="s">
        <v>590</v>
      </c>
      <c r="K382" t="s">
        <v>591</v>
      </c>
      <c r="L382">
        <v>1368</v>
      </c>
      <c r="N382">
        <v>1011</v>
      </c>
      <c r="O382" t="s">
        <v>444</v>
      </c>
      <c r="P382" t="s">
        <v>444</v>
      </c>
      <c r="Q382">
        <v>1</v>
      </c>
      <c r="X382">
        <v>0.3</v>
      </c>
      <c r="Y382">
        <v>0</v>
      </c>
      <c r="Z382">
        <v>41.45</v>
      </c>
      <c r="AA382">
        <v>12.62</v>
      </c>
      <c r="AB382">
        <v>0</v>
      </c>
      <c r="AC382">
        <v>0</v>
      </c>
      <c r="AD382">
        <v>1</v>
      </c>
      <c r="AE382">
        <v>0</v>
      </c>
      <c r="AF382" t="s">
        <v>22</v>
      </c>
      <c r="AG382">
        <v>0.33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ROW(Source!A245)</f>
        <v>245</v>
      </c>
      <c r="B383">
        <v>56612297</v>
      </c>
      <c r="C383">
        <v>56612293</v>
      </c>
      <c r="D383">
        <v>47766518</v>
      </c>
      <c r="E383">
        <v>1</v>
      </c>
      <c r="F383">
        <v>1</v>
      </c>
      <c r="G383">
        <v>27786564</v>
      </c>
      <c r="H383">
        <v>2</v>
      </c>
      <c r="I383" t="s">
        <v>635</v>
      </c>
      <c r="J383" t="s">
        <v>636</v>
      </c>
      <c r="K383" t="s">
        <v>637</v>
      </c>
      <c r="L383">
        <v>1368</v>
      </c>
      <c r="N383">
        <v>1011</v>
      </c>
      <c r="O383" t="s">
        <v>444</v>
      </c>
      <c r="P383" t="s">
        <v>444</v>
      </c>
      <c r="Q383">
        <v>1</v>
      </c>
      <c r="X383">
        <v>0.3</v>
      </c>
      <c r="Y383">
        <v>0</v>
      </c>
      <c r="Z383">
        <v>153.94999999999999</v>
      </c>
      <c r="AA383">
        <v>14.54</v>
      </c>
      <c r="AB383">
        <v>0</v>
      </c>
      <c r="AC383">
        <v>0</v>
      </c>
      <c r="AD383">
        <v>1</v>
      </c>
      <c r="AE383">
        <v>0</v>
      </c>
      <c r="AF383" t="s">
        <v>22</v>
      </c>
      <c r="AG383">
        <v>0.33</v>
      </c>
      <c r="AH383">
        <v>3</v>
      </c>
      <c r="AI383">
        <v>-1</v>
      </c>
      <c r="AJ383" t="s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ROW(Source!A245)</f>
        <v>245</v>
      </c>
      <c r="B384">
        <v>56612298</v>
      </c>
      <c r="C384">
        <v>56612293</v>
      </c>
      <c r="D384">
        <v>47766605</v>
      </c>
      <c r="E384">
        <v>1</v>
      </c>
      <c r="F384">
        <v>1</v>
      </c>
      <c r="G384">
        <v>27786564</v>
      </c>
      <c r="H384">
        <v>2</v>
      </c>
      <c r="I384" t="s">
        <v>607</v>
      </c>
      <c r="J384" t="s">
        <v>608</v>
      </c>
      <c r="K384" t="s">
        <v>609</v>
      </c>
      <c r="L384">
        <v>1368</v>
      </c>
      <c r="N384">
        <v>1011</v>
      </c>
      <c r="O384" t="s">
        <v>444</v>
      </c>
      <c r="P384" t="s">
        <v>444</v>
      </c>
      <c r="Q384">
        <v>1</v>
      </c>
      <c r="X384">
        <v>0.3</v>
      </c>
      <c r="Y384">
        <v>0</v>
      </c>
      <c r="Z384">
        <v>140.38</v>
      </c>
      <c r="AA384">
        <v>12.62</v>
      </c>
      <c r="AB384">
        <v>0</v>
      </c>
      <c r="AC384">
        <v>0</v>
      </c>
      <c r="AD384">
        <v>1</v>
      </c>
      <c r="AE384">
        <v>0</v>
      </c>
      <c r="AF384" t="s">
        <v>22</v>
      </c>
      <c r="AG384">
        <v>0.33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ROW(Source!A245)</f>
        <v>245</v>
      </c>
      <c r="B385">
        <v>56612299</v>
      </c>
      <c r="C385">
        <v>56612293</v>
      </c>
      <c r="D385">
        <v>47766606</v>
      </c>
      <c r="E385">
        <v>1</v>
      </c>
      <c r="F385">
        <v>1</v>
      </c>
      <c r="G385">
        <v>27786564</v>
      </c>
      <c r="H385">
        <v>2</v>
      </c>
      <c r="I385" t="s">
        <v>638</v>
      </c>
      <c r="J385" t="s">
        <v>639</v>
      </c>
      <c r="K385" t="s">
        <v>640</v>
      </c>
      <c r="L385">
        <v>1368</v>
      </c>
      <c r="N385">
        <v>1011</v>
      </c>
      <c r="O385" t="s">
        <v>444</v>
      </c>
      <c r="P385" t="s">
        <v>444</v>
      </c>
      <c r="Q385">
        <v>1</v>
      </c>
      <c r="X385">
        <v>0.3</v>
      </c>
      <c r="Y385">
        <v>0</v>
      </c>
      <c r="Z385">
        <v>260.5</v>
      </c>
      <c r="AA385">
        <v>18.62</v>
      </c>
      <c r="AB385">
        <v>0</v>
      </c>
      <c r="AC385">
        <v>0</v>
      </c>
      <c r="AD385">
        <v>1</v>
      </c>
      <c r="AE385">
        <v>0</v>
      </c>
      <c r="AF385" t="s">
        <v>22</v>
      </c>
      <c r="AG385">
        <v>0.33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ROW(Source!A245)</f>
        <v>245</v>
      </c>
      <c r="B386">
        <v>56612300</v>
      </c>
      <c r="C386">
        <v>56612293</v>
      </c>
      <c r="D386">
        <v>47766595</v>
      </c>
      <c r="E386">
        <v>1</v>
      </c>
      <c r="F386">
        <v>1</v>
      </c>
      <c r="G386">
        <v>27786564</v>
      </c>
      <c r="H386">
        <v>2</v>
      </c>
      <c r="I386" t="s">
        <v>641</v>
      </c>
      <c r="J386" t="s">
        <v>642</v>
      </c>
      <c r="K386" t="s">
        <v>643</v>
      </c>
      <c r="L386">
        <v>1368</v>
      </c>
      <c r="N386">
        <v>1011</v>
      </c>
      <c r="O386" t="s">
        <v>444</v>
      </c>
      <c r="P386" t="s">
        <v>444</v>
      </c>
      <c r="Q386">
        <v>1</v>
      </c>
      <c r="X386">
        <v>0.3</v>
      </c>
      <c r="Y386">
        <v>0</v>
      </c>
      <c r="Z386">
        <v>163.81</v>
      </c>
      <c r="AA386">
        <v>14.54</v>
      </c>
      <c r="AB386">
        <v>0</v>
      </c>
      <c r="AC386">
        <v>0</v>
      </c>
      <c r="AD386">
        <v>1</v>
      </c>
      <c r="AE386">
        <v>0</v>
      </c>
      <c r="AF386" t="s">
        <v>22</v>
      </c>
      <c r="AG386">
        <v>0.33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ROW(Source!A245)</f>
        <v>245</v>
      </c>
      <c r="B387">
        <v>56612301</v>
      </c>
      <c r="C387">
        <v>56612293</v>
      </c>
      <c r="D387">
        <v>47766611</v>
      </c>
      <c r="E387">
        <v>1</v>
      </c>
      <c r="F387">
        <v>1</v>
      </c>
      <c r="G387">
        <v>27786564</v>
      </c>
      <c r="H387">
        <v>2</v>
      </c>
      <c r="I387" t="s">
        <v>644</v>
      </c>
      <c r="J387" t="s">
        <v>645</v>
      </c>
      <c r="K387" t="s">
        <v>646</v>
      </c>
      <c r="L387">
        <v>1368</v>
      </c>
      <c r="N387">
        <v>1011</v>
      </c>
      <c r="O387" t="s">
        <v>444</v>
      </c>
      <c r="P387" t="s">
        <v>444</v>
      </c>
      <c r="Q387">
        <v>1</v>
      </c>
      <c r="X387">
        <v>0.3</v>
      </c>
      <c r="Y387">
        <v>0</v>
      </c>
      <c r="Z387">
        <v>283.89999999999998</v>
      </c>
      <c r="AA387">
        <v>14.54</v>
      </c>
      <c r="AB387">
        <v>0</v>
      </c>
      <c r="AC387">
        <v>0</v>
      </c>
      <c r="AD387">
        <v>1</v>
      </c>
      <c r="AE387">
        <v>0</v>
      </c>
      <c r="AF387" t="s">
        <v>22</v>
      </c>
      <c r="AG387">
        <v>0.33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ROW(Source!A245)</f>
        <v>245</v>
      </c>
      <c r="B388">
        <v>56612302</v>
      </c>
      <c r="C388">
        <v>56612293</v>
      </c>
      <c r="D388">
        <v>47766598</v>
      </c>
      <c r="E388">
        <v>1</v>
      </c>
      <c r="F388">
        <v>1</v>
      </c>
      <c r="G388">
        <v>27786564</v>
      </c>
      <c r="H388">
        <v>2</v>
      </c>
      <c r="I388" t="s">
        <v>647</v>
      </c>
      <c r="J388" t="s">
        <v>648</v>
      </c>
      <c r="K388" t="s">
        <v>649</v>
      </c>
      <c r="L388">
        <v>1368</v>
      </c>
      <c r="N388">
        <v>1011</v>
      </c>
      <c r="O388" t="s">
        <v>444</v>
      </c>
      <c r="P388" t="s">
        <v>444</v>
      </c>
      <c r="Q388">
        <v>1</v>
      </c>
      <c r="X388">
        <v>0.3</v>
      </c>
      <c r="Y388">
        <v>0</v>
      </c>
      <c r="Z388">
        <v>189.45</v>
      </c>
      <c r="AA388">
        <v>16.93</v>
      </c>
      <c r="AB388">
        <v>0</v>
      </c>
      <c r="AC388">
        <v>0</v>
      </c>
      <c r="AD388">
        <v>1</v>
      </c>
      <c r="AE388">
        <v>0</v>
      </c>
      <c r="AF388" t="s">
        <v>22</v>
      </c>
      <c r="AG388">
        <v>0.33</v>
      </c>
      <c r="AH388">
        <v>3</v>
      </c>
      <c r="AI388">
        <v>-1</v>
      </c>
      <c r="AJ388" t="s">
        <v>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ROW(Source!A245)</f>
        <v>245</v>
      </c>
      <c r="B389">
        <v>56612303</v>
      </c>
      <c r="C389">
        <v>56612293</v>
      </c>
      <c r="D389">
        <v>47766599</v>
      </c>
      <c r="E389">
        <v>1</v>
      </c>
      <c r="F389">
        <v>1</v>
      </c>
      <c r="G389">
        <v>27786564</v>
      </c>
      <c r="H389">
        <v>2</v>
      </c>
      <c r="I389" t="s">
        <v>610</v>
      </c>
      <c r="J389" t="s">
        <v>611</v>
      </c>
      <c r="K389" t="s">
        <v>612</v>
      </c>
      <c r="L389">
        <v>1368</v>
      </c>
      <c r="N389">
        <v>1011</v>
      </c>
      <c r="O389" t="s">
        <v>444</v>
      </c>
      <c r="P389" t="s">
        <v>444</v>
      </c>
      <c r="Q389">
        <v>1</v>
      </c>
      <c r="X389">
        <v>0.9</v>
      </c>
      <c r="Y389">
        <v>0</v>
      </c>
      <c r="Z389">
        <v>180.35</v>
      </c>
      <c r="AA389">
        <v>16.93</v>
      </c>
      <c r="AB389">
        <v>0</v>
      </c>
      <c r="AC389">
        <v>0</v>
      </c>
      <c r="AD389">
        <v>1</v>
      </c>
      <c r="AE389">
        <v>0</v>
      </c>
      <c r="AF389" t="s">
        <v>22</v>
      </c>
      <c r="AG389">
        <v>0.9900000000000001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ROW(Source!A245)</f>
        <v>245</v>
      </c>
      <c r="B390">
        <v>56612304</v>
      </c>
      <c r="C390">
        <v>56612293</v>
      </c>
      <c r="D390">
        <v>46725969</v>
      </c>
      <c r="E390">
        <v>1</v>
      </c>
      <c r="F390">
        <v>1</v>
      </c>
      <c r="G390">
        <v>27786564</v>
      </c>
      <c r="H390">
        <v>3</v>
      </c>
      <c r="I390" t="s">
        <v>650</v>
      </c>
      <c r="J390" t="s">
        <v>651</v>
      </c>
      <c r="K390" t="s">
        <v>652</v>
      </c>
      <c r="L390">
        <v>1348</v>
      </c>
      <c r="N390">
        <v>1009</v>
      </c>
      <c r="O390" t="s">
        <v>330</v>
      </c>
      <c r="P390" t="s">
        <v>330</v>
      </c>
      <c r="Q390">
        <v>1000</v>
      </c>
      <c r="X390">
        <v>0.04</v>
      </c>
      <c r="Y390">
        <v>1445.87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</v>
      </c>
      <c r="AG390">
        <v>0.04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ROW(Source!A245)</f>
        <v>245</v>
      </c>
      <c r="B391">
        <v>56612305</v>
      </c>
      <c r="C391">
        <v>56612293</v>
      </c>
      <c r="D391">
        <v>30384722</v>
      </c>
      <c r="E391">
        <v>27786564</v>
      </c>
      <c r="F391">
        <v>1</v>
      </c>
      <c r="G391">
        <v>27786564</v>
      </c>
      <c r="H391">
        <v>3</v>
      </c>
      <c r="I391" t="s">
        <v>653</v>
      </c>
      <c r="J391" t="s">
        <v>3</v>
      </c>
      <c r="K391" t="s">
        <v>654</v>
      </c>
      <c r="L391">
        <v>1348</v>
      </c>
      <c r="N391">
        <v>1009</v>
      </c>
      <c r="O391" t="s">
        <v>330</v>
      </c>
      <c r="P391" t="s">
        <v>330</v>
      </c>
      <c r="Q391">
        <v>1000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3</v>
      </c>
      <c r="AG391">
        <v>0</v>
      </c>
      <c r="AH391">
        <v>3</v>
      </c>
      <c r="AI391">
        <v>-1</v>
      </c>
      <c r="AJ391" t="s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ROW(Source!A246)</f>
        <v>246</v>
      </c>
      <c r="B392">
        <v>56612295</v>
      </c>
      <c r="C392">
        <v>56612293</v>
      </c>
      <c r="D392">
        <v>47634407</v>
      </c>
      <c r="E392">
        <v>27786564</v>
      </c>
      <c r="F392">
        <v>1</v>
      </c>
      <c r="G392">
        <v>27786564</v>
      </c>
      <c r="H392">
        <v>1</v>
      </c>
      <c r="I392" t="s">
        <v>438</v>
      </c>
      <c r="J392" t="s">
        <v>3</v>
      </c>
      <c r="K392" t="s">
        <v>439</v>
      </c>
      <c r="L392">
        <v>1191</v>
      </c>
      <c r="N392">
        <v>1013</v>
      </c>
      <c r="O392" t="s">
        <v>440</v>
      </c>
      <c r="P392" t="s">
        <v>440</v>
      </c>
      <c r="Q392">
        <v>1</v>
      </c>
      <c r="X392">
        <v>4.29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 t="s">
        <v>22</v>
      </c>
      <c r="AG392">
        <v>4.7190000000000003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ROW(Source!A246)</f>
        <v>246</v>
      </c>
      <c r="B393">
        <v>56612296</v>
      </c>
      <c r="C393">
        <v>56612293</v>
      </c>
      <c r="D393">
        <v>47766768</v>
      </c>
      <c r="E393">
        <v>1</v>
      </c>
      <c r="F393">
        <v>1</v>
      </c>
      <c r="G393">
        <v>27786564</v>
      </c>
      <c r="H393">
        <v>2</v>
      </c>
      <c r="I393" t="s">
        <v>589</v>
      </c>
      <c r="J393" t="s">
        <v>590</v>
      </c>
      <c r="K393" t="s">
        <v>591</v>
      </c>
      <c r="L393">
        <v>1368</v>
      </c>
      <c r="N393">
        <v>1011</v>
      </c>
      <c r="O393" t="s">
        <v>444</v>
      </c>
      <c r="P393" t="s">
        <v>444</v>
      </c>
      <c r="Q393">
        <v>1</v>
      </c>
      <c r="X393">
        <v>0.3</v>
      </c>
      <c r="Y393">
        <v>0</v>
      </c>
      <c r="Z393">
        <v>41.45</v>
      </c>
      <c r="AA393">
        <v>12.62</v>
      </c>
      <c r="AB393">
        <v>0</v>
      </c>
      <c r="AC393">
        <v>0</v>
      </c>
      <c r="AD393">
        <v>1</v>
      </c>
      <c r="AE393">
        <v>0</v>
      </c>
      <c r="AF393" t="s">
        <v>22</v>
      </c>
      <c r="AG393">
        <v>0.33</v>
      </c>
      <c r="AH393">
        <v>3</v>
      </c>
      <c r="AI393">
        <v>-1</v>
      </c>
      <c r="AJ393" t="s">
        <v>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ROW(Source!A246)</f>
        <v>246</v>
      </c>
      <c r="B394">
        <v>56612297</v>
      </c>
      <c r="C394">
        <v>56612293</v>
      </c>
      <c r="D394">
        <v>47766518</v>
      </c>
      <c r="E394">
        <v>1</v>
      </c>
      <c r="F394">
        <v>1</v>
      </c>
      <c r="G394">
        <v>27786564</v>
      </c>
      <c r="H394">
        <v>2</v>
      </c>
      <c r="I394" t="s">
        <v>635</v>
      </c>
      <c r="J394" t="s">
        <v>636</v>
      </c>
      <c r="K394" t="s">
        <v>637</v>
      </c>
      <c r="L394">
        <v>1368</v>
      </c>
      <c r="N394">
        <v>1011</v>
      </c>
      <c r="O394" t="s">
        <v>444</v>
      </c>
      <c r="P394" t="s">
        <v>444</v>
      </c>
      <c r="Q394">
        <v>1</v>
      </c>
      <c r="X394">
        <v>0.3</v>
      </c>
      <c r="Y394">
        <v>0</v>
      </c>
      <c r="Z394">
        <v>153.94999999999999</v>
      </c>
      <c r="AA394">
        <v>14.54</v>
      </c>
      <c r="AB394">
        <v>0</v>
      </c>
      <c r="AC394">
        <v>0</v>
      </c>
      <c r="AD394">
        <v>1</v>
      </c>
      <c r="AE394">
        <v>0</v>
      </c>
      <c r="AF394" t="s">
        <v>22</v>
      </c>
      <c r="AG394">
        <v>0.33</v>
      </c>
      <c r="AH394">
        <v>3</v>
      </c>
      <c r="AI394">
        <v>-1</v>
      </c>
      <c r="AJ394" t="s">
        <v>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ROW(Source!A246)</f>
        <v>246</v>
      </c>
      <c r="B395">
        <v>56612298</v>
      </c>
      <c r="C395">
        <v>56612293</v>
      </c>
      <c r="D395">
        <v>47766605</v>
      </c>
      <c r="E395">
        <v>1</v>
      </c>
      <c r="F395">
        <v>1</v>
      </c>
      <c r="G395">
        <v>27786564</v>
      </c>
      <c r="H395">
        <v>2</v>
      </c>
      <c r="I395" t="s">
        <v>607</v>
      </c>
      <c r="J395" t="s">
        <v>608</v>
      </c>
      <c r="K395" t="s">
        <v>609</v>
      </c>
      <c r="L395">
        <v>1368</v>
      </c>
      <c r="N395">
        <v>1011</v>
      </c>
      <c r="O395" t="s">
        <v>444</v>
      </c>
      <c r="P395" t="s">
        <v>444</v>
      </c>
      <c r="Q395">
        <v>1</v>
      </c>
      <c r="X395">
        <v>0.3</v>
      </c>
      <c r="Y395">
        <v>0</v>
      </c>
      <c r="Z395">
        <v>140.38</v>
      </c>
      <c r="AA395">
        <v>12.62</v>
      </c>
      <c r="AB395">
        <v>0</v>
      </c>
      <c r="AC395">
        <v>0</v>
      </c>
      <c r="AD395">
        <v>1</v>
      </c>
      <c r="AE395">
        <v>0</v>
      </c>
      <c r="AF395" t="s">
        <v>22</v>
      </c>
      <c r="AG395">
        <v>0.33</v>
      </c>
      <c r="AH395">
        <v>3</v>
      </c>
      <c r="AI395">
        <v>-1</v>
      </c>
      <c r="AJ395" t="s">
        <v>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ROW(Source!A246)</f>
        <v>246</v>
      </c>
      <c r="B396">
        <v>56612299</v>
      </c>
      <c r="C396">
        <v>56612293</v>
      </c>
      <c r="D396">
        <v>47766606</v>
      </c>
      <c r="E396">
        <v>1</v>
      </c>
      <c r="F396">
        <v>1</v>
      </c>
      <c r="G396">
        <v>27786564</v>
      </c>
      <c r="H396">
        <v>2</v>
      </c>
      <c r="I396" t="s">
        <v>638</v>
      </c>
      <c r="J396" t="s">
        <v>639</v>
      </c>
      <c r="K396" t="s">
        <v>640</v>
      </c>
      <c r="L396">
        <v>1368</v>
      </c>
      <c r="N396">
        <v>1011</v>
      </c>
      <c r="O396" t="s">
        <v>444</v>
      </c>
      <c r="P396" t="s">
        <v>444</v>
      </c>
      <c r="Q396">
        <v>1</v>
      </c>
      <c r="X396">
        <v>0.3</v>
      </c>
      <c r="Y396">
        <v>0</v>
      </c>
      <c r="Z396">
        <v>260.5</v>
      </c>
      <c r="AA396">
        <v>18.62</v>
      </c>
      <c r="AB396">
        <v>0</v>
      </c>
      <c r="AC396">
        <v>0</v>
      </c>
      <c r="AD396">
        <v>1</v>
      </c>
      <c r="AE396">
        <v>0</v>
      </c>
      <c r="AF396" t="s">
        <v>22</v>
      </c>
      <c r="AG396">
        <v>0.33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ROW(Source!A246)</f>
        <v>246</v>
      </c>
      <c r="B397">
        <v>56612300</v>
      </c>
      <c r="C397">
        <v>56612293</v>
      </c>
      <c r="D397">
        <v>47766595</v>
      </c>
      <c r="E397">
        <v>1</v>
      </c>
      <c r="F397">
        <v>1</v>
      </c>
      <c r="G397">
        <v>27786564</v>
      </c>
      <c r="H397">
        <v>2</v>
      </c>
      <c r="I397" t="s">
        <v>641</v>
      </c>
      <c r="J397" t="s">
        <v>642</v>
      </c>
      <c r="K397" t="s">
        <v>643</v>
      </c>
      <c r="L397">
        <v>1368</v>
      </c>
      <c r="N397">
        <v>1011</v>
      </c>
      <c r="O397" t="s">
        <v>444</v>
      </c>
      <c r="P397" t="s">
        <v>444</v>
      </c>
      <c r="Q397">
        <v>1</v>
      </c>
      <c r="X397">
        <v>0.3</v>
      </c>
      <c r="Y397">
        <v>0</v>
      </c>
      <c r="Z397">
        <v>163.81</v>
      </c>
      <c r="AA397">
        <v>14.54</v>
      </c>
      <c r="AB397">
        <v>0</v>
      </c>
      <c r="AC397">
        <v>0</v>
      </c>
      <c r="AD397">
        <v>1</v>
      </c>
      <c r="AE397">
        <v>0</v>
      </c>
      <c r="AF397" t="s">
        <v>22</v>
      </c>
      <c r="AG397">
        <v>0.33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ROW(Source!A246)</f>
        <v>246</v>
      </c>
      <c r="B398">
        <v>56612301</v>
      </c>
      <c r="C398">
        <v>56612293</v>
      </c>
      <c r="D398">
        <v>47766611</v>
      </c>
      <c r="E398">
        <v>1</v>
      </c>
      <c r="F398">
        <v>1</v>
      </c>
      <c r="G398">
        <v>27786564</v>
      </c>
      <c r="H398">
        <v>2</v>
      </c>
      <c r="I398" t="s">
        <v>644</v>
      </c>
      <c r="J398" t="s">
        <v>645</v>
      </c>
      <c r="K398" t="s">
        <v>646</v>
      </c>
      <c r="L398">
        <v>1368</v>
      </c>
      <c r="N398">
        <v>1011</v>
      </c>
      <c r="O398" t="s">
        <v>444</v>
      </c>
      <c r="P398" t="s">
        <v>444</v>
      </c>
      <c r="Q398">
        <v>1</v>
      </c>
      <c r="X398">
        <v>0.3</v>
      </c>
      <c r="Y398">
        <v>0</v>
      </c>
      <c r="Z398">
        <v>283.89999999999998</v>
      </c>
      <c r="AA398">
        <v>14.54</v>
      </c>
      <c r="AB398">
        <v>0</v>
      </c>
      <c r="AC398">
        <v>0</v>
      </c>
      <c r="AD398">
        <v>1</v>
      </c>
      <c r="AE398">
        <v>0</v>
      </c>
      <c r="AF398" t="s">
        <v>22</v>
      </c>
      <c r="AG398">
        <v>0.33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ROW(Source!A246)</f>
        <v>246</v>
      </c>
      <c r="B399">
        <v>56612302</v>
      </c>
      <c r="C399">
        <v>56612293</v>
      </c>
      <c r="D399">
        <v>47766598</v>
      </c>
      <c r="E399">
        <v>1</v>
      </c>
      <c r="F399">
        <v>1</v>
      </c>
      <c r="G399">
        <v>27786564</v>
      </c>
      <c r="H399">
        <v>2</v>
      </c>
      <c r="I399" t="s">
        <v>647</v>
      </c>
      <c r="J399" t="s">
        <v>648</v>
      </c>
      <c r="K399" t="s">
        <v>649</v>
      </c>
      <c r="L399">
        <v>1368</v>
      </c>
      <c r="N399">
        <v>1011</v>
      </c>
      <c r="O399" t="s">
        <v>444</v>
      </c>
      <c r="P399" t="s">
        <v>444</v>
      </c>
      <c r="Q399">
        <v>1</v>
      </c>
      <c r="X399">
        <v>0.3</v>
      </c>
      <c r="Y399">
        <v>0</v>
      </c>
      <c r="Z399">
        <v>189.45</v>
      </c>
      <c r="AA399">
        <v>16.93</v>
      </c>
      <c r="AB399">
        <v>0</v>
      </c>
      <c r="AC399">
        <v>0</v>
      </c>
      <c r="AD399">
        <v>1</v>
      </c>
      <c r="AE399">
        <v>0</v>
      </c>
      <c r="AF399" t="s">
        <v>22</v>
      </c>
      <c r="AG399">
        <v>0.33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ROW(Source!A246)</f>
        <v>246</v>
      </c>
      <c r="B400">
        <v>56612303</v>
      </c>
      <c r="C400">
        <v>56612293</v>
      </c>
      <c r="D400">
        <v>47766599</v>
      </c>
      <c r="E400">
        <v>1</v>
      </c>
      <c r="F400">
        <v>1</v>
      </c>
      <c r="G400">
        <v>27786564</v>
      </c>
      <c r="H400">
        <v>2</v>
      </c>
      <c r="I400" t="s">
        <v>610</v>
      </c>
      <c r="J400" t="s">
        <v>611</v>
      </c>
      <c r="K400" t="s">
        <v>612</v>
      </c>
      <c r="L400">
        <v>1368</v>
      </c>
      <c r="N400">
        <v>1011</v>
      </c>
      <c r="O400" t="s">
        <v>444</v>
      </c>
      <c r="P400" t="s">
        <v>444</v>
      </c>
      <c r="Q400">
        <v>1</v>
      </c>
      <c r="X400">
        <v>0.9</v>
      </c>
      <c r="Y400">
        <v>0</v>
      </c>
      <c r="Z400">
        <v>180.35</v>
      </c>
      <c r="AA400">
        <v>16.93</v>
      </c>
      <c r="AB400">
        <v>0</v>
      </c>
      <c r="AC400">
        <v>0</v>
      </c>
      <c r="AD400">
        <v>1</v>
      </c>
      <c r="AE400">
        <v>0</v>
      </c>
      <c r="AF400" t="s">
        <v>22</v>
      </c>
      <c r="AG400">
        <v>0.9900000000000001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ROW(Source!A246)</f>
        <v>246</v>
      </c>
      <c r="B401">
        <v>56612304</v>
      </c>
      <c r="C401">
        <v>56612293</v>
      </c>
      <c r="D401">
        <v>46725969</v>
      </c>
      <c r="E401">
        <v>1</v>
      </c>
      <c r="F401">
        <v>1</v>
      </c>
      <c r="G401">
        <v>27786564</v>
      </c>
      <c r="H401">
        <v>3</v>
      </c>
      <c r="I401" t="s">
        <v>650</v>
      </c>
      <c r="J401" t="s">
        <v>651</v>
      </c>
      <c r="K401" t="s">
        <v>652</v>
      </c>
      <c r="L401">
        <v>1348</v>
      </c>
      <c r="N401">
        <v>1009</v>
      </c>
      <c r="O401" t="s">
        <v>330</v>
      </c>
      <c r="P401" t="s">
        <v>330</v>
      </c>
      <c r="Q401">
        <v>1000</v>
      </c>
      <c r="X401">
        <v>0.04</v>
      </c>
      <c r="Y401">
        <v>1445.87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</v>
      </c>
      <c r="AG401">
        <v>0.04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ROW(Source!A246)</f>
        <v>246</v>
      </c>
      <c r="B402">
        <v>56612305</v>
      </c>
      <c r="C402">
        <v>56612293</v>
      </c>
      <c r="D402">
        <v>30384722</v>
      </c>
      <c r="E402">
        <v>27786564</v>
      </c>
      <c r="F402">
        <v>1</v>
      </c>
      <c r="G402">
        <v>27786564</v>
      </c>
      <c r="H402">
        <v>3</v>
      </c>
      <c r="I402" t="s">
        <v>653</v>
      </c>
      <c r="J402" t="s">
        <v>3</v>
      </c>
      <c r="K402" t="s">
        <v>654</v>
      </c>
      <c r="L402">
        <v>1348</v>
      </c>
      <c r="N402">
        <v>1009</v>
      </c>
      <c r="O402" t="s">
        <v>330</v>
      </c>
      <c r="P402" t="s">
        <v>330</v>
      </c>
      <c r="Q402">
        <v>1000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</v>
      </c>
      <c r="AG402">
        <v>0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ROW(Source!A249)</f>
        <v>249</v>
      </c>
      <c r="B403">
        <v>56612309</v>
      </c>
      <c r="C403">
        <v>56612307</v>
      </c>
      <c r="D403">
        <v>47634407</v>
      </c>
      <c r="E403">
        <v>27786564</v>
      </c>
      <c r="F403">
        <v>1</v>
      </c>
      <c r="G403">
        <v>27786564</v>
      </c>
      <c r="H403">
        <v>1</v>
      </c>
      <c r="I403" t="s">
        <v>438</v>
      </c>
      <c r="J403" t="s">
        <v>3</v>
      </c>
      <c r="K403" t="s">
        <v>439</v>
      </c>
      <c r="L403">
        <v>1191</v>
      </c>
      <c r="N403">
        <v>1013</v>
      </c>
      <c r="O403" t="s">
        <v>440</v>
      </c>
      <c r="P403" t="s">
        <v>440</v>
      </c>
      <c r="Q403">
        <v>1</v>
      </c>
      <c r="X403">
        <v>0.53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338</v>
      </c>
      <c r="AG403">
        <v>2.9150000000000005</v>
      </c>
      <c r="AH403">
        <v>3</v>
      </c>
      <c r="AI403">
        <v>-1</v>
      </c>
      <c r="AJ403" t="s">
        <v>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ROW(Source!A249)</f>
        <v>249</v>
      </c>
      <c r="B404">
        <v>56612310</v>
      </c>
      <c r="C404">
        <v>56612307</v>
      </c>
      <c r="D404">
        <v>47766518</v>
      </c>
      <c r="E404">
        <v>1</v>
      </c>
      <c r="F404">
        <v>1</v>
      </c>
      <c r="G404">
        <v>27786564</v>
      </c>
      <c r="H404">
        <v>2</v>
      </c>
      <c r="I404" t="s">
        <v>635</v>
      </c>
      <c r="J404" t="s">
        <v>636</v>
      </c>
      <c r="K404" t="s">
        <v>637</v>
      </c>
      <c r="L404">
        <v>1368</v>
      </c>
      <c r="N404">
        <v>1011</v>
      </c>
      <c r="O404" t="s">
        <v>444</v>
      </c>
      <c r="P404" t="s">
        <v>444</v>
      </c>
      <c r="Q404">
        <v>1</v>
      </c>
      <c r="X404">
        <v>7.4999999999999997E-2</v>
      </c>
      <c r="Y404">
        <v>0</v>
      </c>
      <c r="Z404">
        <v>153.94999999999999</v>
      </c>
      <c r="AA404">
        <v>14.54</v>
      </c>
      <c r="AB404">
        <v>0</v>
      </c>
      <c r="AC404">
        <v>0</v>
      </c>
      <c r="AD404">
        <v>1</v>
      </c>
      <c r="AE404">
        <v>0</v>
      </c>
      <c r="AF404" t="s">
        <v>338</v>
      </c>
      <c r="AG404">
        <v>0.41250000000000003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ROW(Source!A249)</f>
        <v>249</v>
      </c>
      <c r="B405">
        <v>56612311</v>
      </c>
      <c r="C405">
        <v>56612307</v>
      </c>
      <c r="D405">
        <v>47766611</v>
      </c>
      <c r="E405">
        <v>1</v>
      </c>
      <c r="F405">
        <v>1</v>
      </c>
      <c r="G405">
        <v>27786564</v>
      </c>
      <c r="H405">
        <v>2</v>
      </c>
      <c r="I405" t="s">
        <v>644</v>
      </c>
      <c r="J405" t="s">
        <v>645</v>
      </c>
      <c r="K405" t="s">
        <v>646</v>
      </c>
      <c r="L405">
        <v>1368</v>
      </c>
      <c r="N405">
        <v>1011</v>
      </c>
      <c r="O405" t="s">
        <v>444</v>
      </c>
      <c r="P405" t="s">
        <v>444</v>
      </c>
      <c r="Q405">
        <v>1</v>
      </c>
      <c r="X405">
        <v>7.4999999999999997E-2</v>
      </c>
      <c r="Y405">
        <v>0</v>
      </c>
      <c r="Z405">
        <v>283.89999999999998</v>
      </c>
      <c r="AA405">
        <v>14.54</v>
      </c>
      <c r="AB405">
        <v>0</v>
      </c>
      <c r="AC405">
        <v>0</v>
      </c>
      <c r="AD405">
        <v>1</v>
      </c>
      <c r="AE405">
        <v>0</v>
      </c>
      <c r="AF405" t="s">
        <v>338</v>
      </c>
      <c r="AG405">
        <v>0.41250000000000003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ROW(Source!A249)</f>
        <v>249</v>
      </c>
      <c r="B406">
        <v>56612312</v>
      </c>
      <c r="C406">
        <v>56612307</v>
      </c>
      <c r="D406">
        <v>30384722</v>
      </c>
      <c r="E406">
        <v>27786564</v>
      </c>
      <c r="F406">
        <v>1</v>
      </c>
      <c r="G406">
        <v>27786564</v>
      </c>
      <c r="H406">
        <v>3</v>
      </c>
      <c r="I406" t="s">
        <v>653</v>
      </c>
      <c r="J406" t="s">
        <v>3</v>
      </c>
      <c r="K406" t="s">
        <v>654</v>
      </c>
      <c r="L406">
        <v>1348</v>
      </c>
      <c r="N406">
        <v>1009</v>
      </c>
      <c r="O406" t="s">
        <v>330</v>
      </c>
      <c r="P406" t="s">
        <v>330</v>
      </c>
      <c r="Q406">
        <v>1000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</v>
      </c>
      <c r="AG406">
        <v>0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ROW(Source!A250)</f>
        <v>250</v>
      </c>
      <c r="B407">
        <v>56612309</v>
      </c>
      <c r="C407">
        <v>56612307</v>
      </c>
      <c r="D407">
        <v>47634407</v>
      </c>
      <c r="E407">
        <v>27786564</v>
      </c>
      <c r="F407">
        <v>1</v>
      </c>
      <c r="G407">
        <v>27786564</v>
      </c>
      <c r="H407">
        <v>1</v>
      </c>
      <c r="I407" t="s">
        <v>438</v>
      </c>
      <c r="J407" t="s">
        <v>3</v>
      </c>
      <c r="K407" t="s">
        <v>439</v>
      </c>
      <c r="L407">
        <v>1191</v>
      </c>
      <c r="N407">
        <v>1013</v>
      </c>
      <c r="O407" t="s">
        <v>440</v>
      </c>
      <c r="P407" t="s">
        <v>440</v>
      </c>
      <c r="Q407">
        <v>1</v>
      </c>
      <c r="X407">
        <v>0.53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338</v>
      </c>
      <c r="AG407">
        <v>2.9150000000000005</v>
      </c>
      <c r="AH407">
        <v>3</v>
      </c>
      <c r="AI407">
        <v>-1</v>
      </c>
      <c r="AJ407" t="s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ROW(Source!A250)</f>
        <v>250</v>
      </c>
      <c r="B408">
        <v>56612310</v>
      </c>
      <c r="C408">
        <v>56612307</v>
      </c>
      <c r="D408">
        <v>47766518</v>
      </c>
      <c r="E408">
        <v>1</v>
      </c>
      <c r="F408">
        <v>1</v>
      </c>
      <c r="G408">
        <v>27786564</v>
      </c>
      <c r="H408">
        <v>2</v>
      </c>
      <c r="I408" t="s">
        <v>635</v>
      </c>
      <c r="J408" t="s">
        <v>636</v>
      </c>
      <c r="K408" t="s">
        <v>637</v>
      </c>
      <c r="L408">
        <v>1368</v>
      </c>
      <c r="N408">
        <v>1011</v>
      </c>
      <c r="O408" t="s">
        <v>444</v>
      </c>
      <c r="P408" t="s">
        <v>444</v>
      </c>
      <c r="Q408">
        <v>1</v>
      </c>
      <c r="X408">
        <v>7.4999999999999997E-2</v>
      </c>
      <c r="Y408">
        <v>0</v>
      </c>
      <c r="Z408">
        <v>153.94999999999999</v>
      </c>
      <c r="AA408">
        <v>14.54</v>
      </c>
      <c r="AB408">
        <v>0</v>
      </c>
      <c r="AC408">
        <v>0</v>
      </c>
      <c r="AD408">
        <v>1</v>
      </c>
      <c r="AE408">
        <v>0</v>
      </c>
      <c r="AF408" t="s">
        <v>338</v>
      </c>
      <c r="AG408">
        <v>0.41250000000000003</v>
      </c>
      <c r="AH408">
        <v>3</v>
      </c>
      <c r="AI408">
        <v>-1</v>
      </c>
      <c r="AJ408" t="s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ROW(Source!A250)</f>
        <v>250</v>
      </c>
      <c r="B409">
        <v>56612311</v>
      </c>
      <c r="C409">
        <v>56612307</v>
      </c>
      <c r="D409">
        <v>47766611</v>
      </c>
      <c r="E409">
        <v>1</v>
      </c>
      <c r="F409">
        <v>1</v>
      </c>
      <c r="G409">
        <v>27786564</v>
      </c>
      <c r="H409">
        <v>2</v>
      </c>
      <c r="I409" t="s">
        <v>644</v>
      </c>
      <c r="J409" t="s">
        <v>645</v>
      </c>
      <c r="K409" t="s">
        <v>646</v>
      </c>
      <c r="L409">
        <v>1368</v>
      </c>
      <c r="N409">
        <v>1011</v>
      </c>
      <c r="O409" t="s">
        <v>444</v>
      </c>
      <c r="P409" t="s">
        <v>444</v>
      </c>
      <c r="Q409">
        <v>1</v>
      </c>
      <c r="X409">
        <v>7.4999999999999997E-2</v>
      </c>
      <c r="Y409">
        <v>0</v>
      </c>
      <c r="Z409">
        <v>283.89999999999998</v>
      </c>
      <c r="AA409">
        <v>14.54</v>
      </c>
      <c r="AB409">
        <v>0</v>
      </c>
      <c r="AC409">
        <v>0</v>
      </c>
      <c r="AD409">
        <v>1</v>
      </c>
      <c r="AE409">
        <v>0</v>
      </c>
      <c r="AF409" t="s">
        <v>338</v>
      </c>
      <c r="AG409">
        <v>0.41250000000000003</v>
      </c>
      <c r="AH409">
        <v>3</v>
      </c>
      <c r="AI409">
        <v>-1</v>
      </c>
      <c r="AJ409" t="s">
        <v>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ROW(Source!A250)</f>
        <v>250</v>
      </c>
      <c r="B410">
        <v>56612312</v>
      </c>
      <c r="C410">
        <v>56612307</v>
      </c>
      <c r="D410">
        <v>30384722</v>
      </c>
      <c r="E410">
        <v>27786564</v>
      </c>
      <c r="F410">
        <v>1</v>
      </c>
      <c r="G410">
        <v>27786564</v>
      </c>
      <c r="H410">
        <v>3</v>
      </c>
      <c r="I410" t="s">
        <v>653</v>
      </c>
      <c r="J410" t="s">
        <v>3</v>
      </c>
      <c r="K410" t="s">
        <v>654</v>
      </c>
      <c r="L410">
        <v>1348</v>
      </c>
      <c r="N410">
        <v>1009</v>
      </c>
      <c r="O410" t="s">
        <v>330</v>
      </c>
      <c r="P410" t="s">
        <v>330</v>
      </c>
      <c r="Q410">
        <v>1000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3</v>
      </c>
      <c r="AG410">
        <v>0</v>
      </c>
      <c r="AH410">
        <v>3</v>
      </c>
      <c r="AI410">
        <v>-1</v>
      </c>
      <c r="AJ410" t="s">
        <v>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ROW(Source!A253)</f>
        <v>253</v>
      </c>
      <c r="B411">
        <v>56612316</v>
      </c>
      <c r="C411">
        <v>56612314</v>
      </c>
      <c r="D411">
        <v>47634407</v>
      </c>
      <c r="E411">
        <v>27786564</v>
      </c>
      <c r="F411">
        <v>1</v>
      </c>
      <c r="G411">
        <v>27786564</v>
      </c>
      <c r="H411">
        <v>1</v>
      </c>
      <c r="I411" t="s">
        <v>438</v>
      </c>
      <c r="J411" t="s">
        <v>3</v>
      </c>
      <c r="K411" t="s">
        <v>439</v>
      </c>
      <c r="L411">
        <v>1191</v>
      </c>
      <c r="N411">
        <v>1013</v>
      </c>
      <c r="O411" t="s">
        <v>440</v>
      </c>
      <c r="P411" t="s">
        <v>440</v>
      </c>
      <c r="Q411">
        <v>1</v>
      </c>
      <c r="X411">
        <v>4.29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 t="s">
        <v>22</v>
      </c>
      <c r="AG411">
        <v>4.7190000000000003</v>
      </c>
      <c r="AH411">
        <v>3</v>
      </c>
      <c r="AI411">
        <v>-1</v>
      </c>
      <c r="AJ411" t="s">
        <v>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ROW(Source!A253)</f>
        <v>253</v>
      </c>
      <c r="B412">
        <v>56612317</v>
      </c>
      <c r="C412">
        <v>56612314</v>
      </c>
      <c r="D412">
        <v>47766768</v>
      </c>
      <c r="E412">
        <v>1</v>
      </c>
      <c r="F412">
        <v>1</v>
      </c>
      <c r="G412">
        <v>27786564</v>
      </c>
      <c r="H412">
        <v>2</v>
      </c>
      <c r="I412" t="s">
        <v>589</v>
      </c>
      <c r="J412" t="s">
        <v>590</v>
      </c>
      <c r="K412" t="s">
        <v>591</v>
      </c>
      <c r="L412">
        <v>1368</v>
      </c>
      <c r="N412">
        <v>1011</v>
      </c>
      <c r="O412" t="s">
        <v>444</v>
      </c>
      <c r="P412" t="s">
        <v>444</v>
      </c>
      <c r="Q412">
        <v>1</v>
      </c>
      <c r="X412">
        <v>0.3</v>
      </c>
      <c r="Y412">
        <v>0</v>
      </c>
      <c r="Z412">
        <v>41.45</v>
      </c>
      <c r="AA412">
        <v>12.62</v>
      </c>
      <c r="AB412">
        <v>0</v>
      </c>
      <c r="AC412">
        <v>0</v>
      </c>
      <c r="AD412">
        <v>1</v>
      </c>
      <c r="AE412">
        <v>0</v>
      </c>
      <c r="AF412" t="s">
        <v>22</v>
      </c>
      <c r="AG412">
        <v>0.33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ROW(Source!A253)</f>
        <v>253</v>
      </c>
      <c r="B413">
        <v>56612318</v>
      </c>
      <c r="C413">
        <v>56612314</v>
      </c>
      <c r="D413">
        <v>47766518</v>
      </c>
      <c r="E413">
        <v>1</v>
      </c>
      <c r="F413">
        <v>1</v>
      </c>
      <c r="G413">
        <v>27786564</v>
      </c>
      <c r="H413">
        <v>2</v>
      </c>
      <c r="I413" t="s">
        <v>635</v>
      </c>
      <c r="J413" t="s">
        <v>636</v>
      </c>
      <c r="K413" t="s">
        <v>637</v>
      </c>
      <c r="L413">
        <v>1368</v>
      </c>
      <c r="N413">
        <v>1011</v>
      </c>
      <c r="O413" t="s">
        <v>444</v>
      </c>
      <c r="P413" t="s">
        <v>444</v>
      </c>
      <c r="Q413">
        <v>1</v>
      </c>
      <c r="X413">
        <v>0.3</v>
      </c>
      <c r="Y413">
        <v>0</v>
      </c>
      <c r="Z413">
        <v>153.94999999999999</v>
      </c>
      <c r="AA413">
        <v>14.54</v>
      </c>
      <c r="AB413">
        <v>0</v>
      </c>
      <c r="AC413">
        <v>0</v>
      </c>
      <c r="AD413">
        <v>1</v>
      </c>
      <c r="AE413">
        <v>0</v>
      </c>
      <c r="AF413" t="s">
        <v>22</v>
      </c>
      <c r="AG413">
        <v>0.33</v>
      </c>
      <c r="AH413">
        <v>3</v>
      </c>
      <c r="AI413">
        <v>-1</v>
      </c>
      <c r="AJ413" t="s">
        <v>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ROW(Source!A253)</f>
        <v>253</v>
      </c>
      <c r="B414">
        <v>56612319</v>
      </c>
      <c r="C414">
        <v>56612314</v>
      </c>
      <c r="D414">
        <v>47766605</v>
      </c>
      <c r="E414">
        <v>1</v>
      </c>
      <c r="F414">
        <v>1</v>
      </c>
      <c r="G414">
        <v>27786564</v>
      </c>
      <c r="H414">
        <v>2</v>
      </c>
      <c r="I414" t="s">
        <v>607</v>
      </c>
      <c r="J414" t="s">
        <v>608</v>
      </c>
      <c r="K414" t="s">
        <v>609</v>
      </c>
      <c r="L414">
        <v>1368</v>
      </c>
      <c r="N414">
        <v>1011</v>
      </c>
      <c r="O414" t="s">
        <v>444</v>
      </c>
      <c r="P414" t="s">
        <v>444</v>
      </c>
      <c r="Q414">
        <v>1</v>
      </c>
      <c r="X414">
        <v>0.3</v>
      </c>
      <c r="Y414">
        <v>0</v>
      </c>
      <c r="Z414">
        <v>140.38</v>
      </c>
      <c r="AA414">
        <v>12.62</v>
      </c>
      <c r="AB414">
        <v>0</v>
      </c>
      <c r="AC414">
        <v>0</v>
      </c>
      <c r="AD414">
        <v>1</v>
      </c>
      <c r="AE414">
        <v>0</v>
      </c>
      <c r="AF414" t="s">
        <v>22</v>
      </c>
      <c r="AG414">
        <v>0.33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ROW(Source!A253)</f>
        <v>253</v>
      </c>
      <c r="B415">
        <v>56612320</v>
      </c>
      <c r="C415">
        <v>56612314</v>
      </c>
      <c r="D415">
        <v>47766606</v>
      </c>
      <c r="E415">
        <v>1</v>
      </c>
      <c r="F415">
        <v>1</v>
      </c>
      <c r="G415">
        <v>27786564</v>
      </c>
      <c r="H415">
        <v>2</v>
      </c>
      <c r="I415" t="s">
        <v>638</v>
      </c>
      <c r="J415" t="s">
        <v>639</v>
      </c>
      <c r="K415" t="s">
        <v>640</v>
      </c>
      <c r="L415">
        <v>1368</v>
      </c>
      <c r="N415">
        <v>1011</v>
      </c>
      <c r="O415" t="s">
        <v>444</v>
      </c>
      <c r="P415" t="s">
        <v>444</v>
      </c>
      <c r="Q415">
        <v>1</v>
      </c>
      <c r="X415">
        <v>0.3</v>
      </c>
      <c r="Y415">
        <v>0</v>
      </c>
      <c r="Z415">
        <v>260.5</v>
      </c>
      <c r="AA415">
        <v>18.62</v>
      </c>
      <c r="AB415">
        <v>0</v>
      </c>
      <c r="AC415">
        <v>0</v>
      </c>
      <c r="AD415">
        <v>1</v>
      </c>
      <c r="AE415">
        <v>0</v>
      </c>
      <c r="AF415" t="s">
        <v>22</v>
      </c>
      <c r="AG415">
        <v>0.33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ROW(Source!A253)</f>
        <v>253</v>
      </c>
      <c r="B416">
        <v>56612321</v>
      </c>
      <c r="C416">
        <v>56612314</v>
      </c>
      <c r="D416">
        <v>47766595</v>
      </c>
      <c r="E416">
        <v>1</v>
      </c>
      <c r="F416">
        <v>1</v>
      </c>
      <c r="G416">
        <v>27786564</v>
      </c>
      <c r="H416">
        <v>2</v>
      </c>
      <c r="I416" t="s">
        <v>641</v>
      </c>
      <c r="J416" t="s">
        <v>642</v>
      </c>
      <c r="K416" t="s">
        <v>643</v>
      </c>
      <c r="L416">
        <v>1368</v>
      </c>
      <c r="N416">
        <v>1011</v>
      </c>
      <c r="O416" t="s">
        <v>444</v>
      </c>
      <c r="P416" t="s">
        <v>444</v>
      </c>
      <c r="Q416">
        <v>1</v>
      </c>
      <c r="X416">
        <v>0.3</v>
      </c>
      <c r="Y416">
        <v>0</v>
      </c>
      <c r="Z416">
        <v>163.81</v>
      </c>
      <c r="AA416">
        <v>14.54</v>
      </c>
      <c r="AB416">
        <v>0</v>
      </c>
      <c r="AC416">
        <v>0</v>
      </c>
      <c r="AD416">
        <v>1</v>
      </c>
      <c r="AE416">
        <v>0</v>
      </c>
      <c r="AF416" t="s">
        <v>22</v>
      </c>
      <c r="AG416">
        <v>0.33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ROW(Source!A253)</f>
        <v>253</v>
      </c>
      <c r="B417">
        <v>56612322</v>
      </c>
      <c r="C417">
        <v>56612314</v>
      </c>
      <c r="D417">
        <v>47766611</v>
      </c>
      <c r="E417">
        <v>1</v>
      </c>
      <c r="F417">
        <v>1</v>
      </c>
      <c r="G417">
        <v>27786564</v>
      </c>
      <c r="H417">
        <v>2</v>
      </c>
      <c r="I417" t="s">
        <v>644</v>
      </c>
      <c r="J417" t="s">
        <v>645</v>
      </c>
      <c r="K417" t="s">
        <v>646</v>
      </c>
      <c r="L417">
        <v>1368</v>
      </c>
      <c r="N417">
        <v>1011</v>
      </c>
      <c r="O417" t="s">
        <v>444</v>
      </c>
      <c r="P417" t="s">
        <v>444</v>
      </c>
      <c r="Q417">
        <v>1</v>
      </c>
      <c r="X417">
        <v>0.3</v>
      </c>
      <c r="Y417">
        <v>0</v>
      </c>
      <c r="Z417">
        <v>283.89999999999998</v>
      </c>
      <c r="AA417">
        <v>14.54</v>
      </c>
      <c r="AB417">
        <v>0</v>
      </c>
      <c r="AC417">
        <v>0</v>
      </c>
      <c r="AD417">
        <v>1</v>
      </c>
      <c r="AE417">
        <v>0</v>
      </c>
      <c r="AF417" t="s">
        <v>22</v>
      </c>
      <c r="AG417">
        <v>0.33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ROW(Source!A253)</f>
        <v>253</v>
      </c>
      <c r="B418">
        <v>56612323</v>
      </c>
      <c r="C418">
        <v>56612314</v>
      </c>
      <c r="D418">
        <v>47766598</v>
      </c>
      <c r="E418">
        <v>1</v>
      </c>
      <c r="F418">
        <v>1</v>
      </c>
      <c r="G418">
        <v>27786564</v>
      </c>
      <c r="H418">
        <v>2</v>
      </c>
      <c r="I418" t="s">
        <v>647</v>
      </c>
      <c r="J418" t="s">
        <v>648</v>
      </c>
      <c r="K418" t="s">
        <v>649</v>
      </c>
      <c r="L418">
        <v>1368</v>
      </c>
      <c r="N418">
        <v>1011</v>
      </c>
      <c r="O418" t="s">
        <v>444</v>
      </c>
      <c r="P418" t="s">
        <v>444</v>
      </c>
      <c r="Q418">
        <v>1</v>
      </c>
      <c r="X418">
        <v>0.3</v>
      </c>
      <c r="Y418">
        <v>0</v>
      </c>
      <c r="Z418">
        <v>189.45</v>
      </c>
      <c r="AA418">
        <v>16.93</v>
      </c>
      <c r="AB418">
        <v>0</v>
      </c>
      <c r="AC418">
        <v>0</v>
      </c>
      <c r="AD418">
        <v>1</v>
      </c>
      <c r="AE418">
        <v>0</v>
      </c>
      <c r="AF418" t="s">
        <v>22</v>
      </c>
      <c r="AG418">
        <v>0.33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ROW(Source!A253)</f>
        <v>253</v>
      </c>
      <c r="B419">
        <v>56612324</v>
      </c>
      <c r="C419">
        <v>56612314</v>
      </c>
      <c r="D419">
        <v>47766599</v>
      </c>
      <c r="E419">
        <v>1</v>
      </c>
      <c r="F419">
        <v>1</v>
      </c>
      <c r="G419">
        <v>27786564</v>
      </c>
      <c r="H419">
        <v>2</v>
      </c>
      <c r="I419" t="s">
        <v>610</v>
      </c>
      <c r="J419" t="s">
        <v>611</v>
      </c>
      <c r="K419" t="s">
        <v>612</v>
      </c>
      <c r="L419">
        <v>1368</v>
      </c>
      <c r="N419">
        <v>1011</v>
      </c>
      <c r="O419" t="s">
        <v>444</v>
      </c>
      <c r="P419" t="s">
        <v>444</v>
      </c>
      <c r="Q419">
        <v>1</v>
      </c>
      <c r="X419">
        <v>0.9</v>
      </c>
      <c r="Y419">
        <v>0</v>
      </c>
      <c r="Z419">
        <v>180.35</v>
      </c>
      <c r="AA419">
        <v>16.93</v>
      </c>
      <c r="AB419">
        <v>0</v>
      </c>
      <c r="AC419">
        <v>0</v>
      </c>
      <c r="AD419">
        <v>1</v>
      </c>
      <c r="AE419">
        <v>0</v>
      </c>
      <c r="AF419" t="s">
        <v>22</v>
      </c>
      <c r="AG419">
        <v>0.9900000000000001</v>
      </c>
      <c r="AH419">
        <v>3</v>
      </c>
      <c r="AI419">
        <v>-1</v>
      </c>
      <c r="AJ419" t="s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ROW(Source!A253)</f>
        <v>253</v>
      </c>
      <c r="B420">
        <v>56612325</v>
      </c>
      <c r="C420">
        <v>56612314</v>
      </c>
      <c r="D420">
        <v>46725969</v>
      </c>
      <c r="E420">
        <v>1</v>
      </c>
      <c r="F420">
        <v>1</v>
      </c>
      <c r="G420">
        <v>27786564</v>
      </c>
      <c r="H420">
        <v>3</v>
      </c>
      <c r="I420" t="s">
        <v>650</v>
      </c>
      <c r="J420" t="s">
        <v>651</v>
      </c>
      <c r="K420" t="s">
        <v>652</v>
      </c>
      <c r="L420">
        <v>1348</v>
      </c>
      <c r="N420">
        <v>1009</v>
      </c>
      <c r="O420" t="s">
        <v>330</v>
      </c>
      <c r="P420" t="s">
        <v>330</v>
      </c>
      <c r="Q420">
        <v>1000</v>
      </c>
      <c r="X420">
        <v>0.04</v>
      </c>
      <c r="Y420">
        <v>1445.87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3</v>
      </c>
      <c r="AG420">
        <v>0.04</v>
      </c>
      <c r="AH420">
        <v>3</v>
      </c>
      <c r="AI420">
        <v>-1</v>
      </c>
      <c r="AJ420" t="s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ROW(Source!A253)</f>
        <v>253</v>
      </c>
      <c r="B421">
        <v>56612326</v>
      </c>
      <c r="C421">
        <v>56612314</v>
      </c>
      <c r="D421">
        <v>30384722</v>
      </c>
      <c r="E421">
        <v>27786564</v>
      </c>
      <c r="F421">
        <v>1</v>
      </c>
      <c r="G421">
        <v>27786564</v>
      </c>
      <c r="H421">
        <v>3</v>
      </c>
      <c r="I421" t="s">
        <v>653</v>
      </c>
      <c r="J421" t="s">
        <v>3</v>
      </c>
      <c r="K421" t="s">
        <v>654</v>
      </c>
      <c r="L421">
        <v>1348</v>
      </c>
      <c r="N421">
        <v>1009</v>
      </c>
      <c r="O421" t="s">
        <v>330</v>
      </c>
      <c r="P421" t="s">
        <v>330</v>
      </c>
      <c r="Q421">
        <v>1000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3</v>
      </c>
      <c r="AG421">
        <v>0</v>
      </c>
      <c r="AH421">
        <v>3</v>
      </c>
      <c r="AI421">
        <v>-1</v>
      </c>
      <c r="AJ421" t="s">
        <v>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ROW(Source!A254)</f>
        <v>254</v>
      </c>
      <c r="B422">
        <v>56612316</v>
      </c>
      <c r="C422">
        <v>56612314</v>
      </c>
      <c r="D422">
        <v>47634407</v>
      </c>
      <c r="E422">
        <v>27786564</v>
      </c>
      <c r="F422">
        <v>1</v>
      </c>
      <c r="G422">
        <v>27786564</v>
      </c>
      <c r="H422">
        <v>1</v>
      </c>
      <c r="I422" t="s">
        <v>438</v>
      </c>
      <c r="J422" t="s">
        <v>3</v>
      </c>
      <c r="K422" t="s">
        <v>439</v>
      </c>
      <c r="L422">
        <v>1191</v>
      </c>
      <c r="N422">
        <v>1013</v>
      </c>
      <c r="O422" t="s">
        <v>440</v>
      </c>
      <c r="P422" t="s">
        <v>440</v>
      </c>
      <c r="Q422">
        <v>1</v>
      </c>
      <c r="X422">
        <v>4.29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1</v>
      </c>
      <c r="AF422" t="s">
        <v>22</v>
      </c>
      <c r="AG422">
        <v>4.7190000000000003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ROW(Source!A254)</f>
        <v>254</v>
      </c>
      <c r="B423">
        <v>56612317</v>
      </c>
      <c r="C423">
        <v>56612314</v>
      </c>
      <c r="D423">
        <v>47766768</v>
      </c>
      <c r="E423">
        <v>1</v>
      </c>
      <c r="F423">
        <v>1</v>
      </c>
      <c r="G423">
        <v>27786564</v>
      </c>
      <c r="H423">
        <v>2</v>
      </c>
      <c r="I423" t="s">
        <v>589</v>
      </c>
      <c r="J423" t="s">
        <v>590</v>
      </c>
      <c r="K423" t="s">
        <v>591</v>
      </c>
      <c r="L423">
        <v>1368</v>
      </c>
      <c r="N423">
        <v>1011</v>
      </c>
      <c r="O423" t="s">
        <v>444</v>
      </c>
      <c r="P423" t="s">
        <v>444</v>
      </c>
      <c r="Q423">
        <v>1</v>
      </c>
      <c r="X423">
        <v>0.3</v>
      </c>
      <c r="Y423">
        <v>0</v>
      </c>
      <c r="Z423">
        <v>41.45</v>
      </c>
      <c r="AA423">
        <v>12.62</v>
      </c>
      <c r="AB423">
        <v>0</v>
      </c>
      <c r="AC423">
        <v>0</v>
      </c>
      <c r="AD423">
        <v>1</v>
      </c>
      <c r="AE423">
        <v>0</v>
      </c>
      <c r="AF423" t="s">
        <v>22</v>
      </c>
      <c r="AG423">
        <v>0.33</v>
      </c>
      <c r="AH423">
        <v>3</v>
      </c>
      <c r="AI423">
        <v>-1</v>
      </c>
      <c r="AJ423" t="s">
        <v>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ROW(Source!A254)</f>
        <v>254</v>
      </c>
      <c r="B424">
        <v>56612318</v>
      </c>
      <c r="C424">
        <v>56612314</v>
      </c>
      <c r="D424">
        <v>47766518</v>
      </c>
      <c r="E424">
        <v>1</v>
      </c>
      <c r="F424">
        <v>1</v>
      </c>
      <c r="G424">
        <v>27786564</v>
      </c>
      <c r="H424">
        <v>2</v>
      </c>
      <c r="I424" t="s">
        <v>635</v>
      </c>
      <c r="J424" t="s">
        <v>636</v>
      </c>
      <c r="K424" t="s">
        <v>637</v>
      </c>
      <c r="L424">
        <v>1368</v>
      </c>
      <c r="N424">
        <v>1011</v>
      </c>
      <c r="O424" t="s">
        <v>444</v>
      </c>
      <c r="P424" t="s">
        <v>444</v>
      </c>
      <c r="Q424">
        <v>1</v>
      </c>
      <c r="X424">
        <v>0.3</v>
      </c>
      <c r="Y424">
        <v>0</v>
      </c>
      <c r="Z424">
        <v>153.94999999999999</v>
      </c>
      <c r="AA424">
        <v>14.54</v>
      </c>
      <c r="AB424">
        <v>0</v>
      </c>
      <c r="AC424">
        <v>0</v>
      </c>
      <c r="AD424">
        <v>1</v>
      </c>
      <c r="AE424">
        <v>0</v>
      </c>
      <c r="AF424" t="s">
        <v>22</v>
      </c>
      <c r="AG424">
        <v>0.33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ROW(Source!A254)</f>
        <v>254</v>
      </c>
      <c r="B425">
        <v>56612319</v>
      </c>
      <c r="C425">
        <v>56612314</v>
      </c>
      <c r="D425">
        <v>47766605</v>
      </c>
      <c r="E425">
        <v>1</v>
      </c>
      <c r="F425">
        <v>1</v>
      </c>
      <c r="G425">
        <v>27786564</v>
      </c>
      <c r="H425">
        <v>2</v>
      </c>
      <c r="I425" t="s">
        <v>607</v>
      </c>
      <c r="J425" t="s">
        <v>608</v>
      </c>
      <c r="K425" t="s">
        <v>609</v>
      </c>
      <c r="L425">
        <v>1368</v>
      </c>
      <c r="N425">
        <v>1011</v>
      </c>
      <c r="O425" t="s">
        <v>444</v>
      </c>
      <c r="P425" t="s">
        <v>444</v>
      </c>
      <c r="Q425">
        <v>1</v>
      </c>
      <c r="X425">
        <v>0.3</v>
      </c>
      <c r="Y425">
        <v>0</v>
      </c>
      <c r="Z425">
        <v>140.38</v>
      </c>
      <c r="AA425">
        <v>12.62</v>
      </c>
      <c r="AB425">
        <v>0</v>
      </c>
      <c r="AC425">
        <v>0</v>
      </c>
      <c r="AD425">
        <v>1</v>
      </c>
      <c r="AE425">
        <v>0</v>
      </c>
      <c r="AF425" t="s">
        <v>22</v>
      </c>
      <c r="AG425">
        <v>0.33</v>
      </c>
      <c r="AH425">
        <v>3</v>
      </c>
      <c r="AI425">
        <v>-1</v>
      </c>
      <c r="AJ425" t="s">
        <v>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ROW(Source!A254)</f>
        <v>254</v>
      </c>
      <c r="B426">
        <v>56612320</v>
      </c>
      <c r="C426">
        <v>56612314</v>
      </c>
      <c r="D426">
        <v>47766606</v>
      </c>
      <c r="E426">
        <v>1</v>
      </c>
      <c r="F426">
        <v>1</v>
      </c>
      <c r="G426">
        <v>27786564</v>
      </c>
      <c r="H426">
        <v>2</v>
      </c>
      <c r="I426" t="s">
        <v>638</v>
      </c>
      <c r="J426" t="s">
        <v>639</v>
      </c>
      <c r="K426" t="s">
        <v>640</v>
      </c>
      <c r="L426">
        <v>1368</v>
      </c>
      <c r="N426">
        <v>1011</v>
      </c>
      <c r="O426" t="s">
        <v>444</v>
      </c>
      <c r="P426" t="s">
        <v>444</v>
      </c>
      <c r="Q426">
        <v>1</v>
      </c>
      <c r="X426">
        <v>0.3</v>
      </c>
      <c r="Y426">
        <v>0</v>
      </c>
      <c r="Z426">
        <v>260.5</v>
      </c>
      <c r="AA426">
        <v>18.62</v>
      </c>
      <c r="AB426">
        <v>0</v>
      </c>
      <c r="AC426">
        <v>0</v>
      </c>
      <c r="AD426">
        <v>1</v>
      </c>
      <c r="AE426">
        <v>0</v>
      </c>
      <c r="AF426" t="s">
        <v>22</v>
      </c>
      <c r="AG426">
        <v>0.33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ROW(Source!A254)</f>
        <v>254</v>
      </c>
      <c r="B427">
        <v>56612321</v>
      </c>
      <c r="C427">
        <v>56612314</v>
      </c>
      <c r="D427">
        <v>47766595</v>
      </c>
      <c r="E427">
        <v>1</v>
      </c>
      <c r="F427">
        <v>1</v>
      </c>
      <c r="G427">
        <v>27786564</v>
      </c>
      <c r="H427">
        <v>2</v>
      </c>
      <c r="I427" t="s">
        <v>641</v>
      </c>
      <c r="J427" t="s">
        <v>642</v>
      </c>
      <c r="K427" t="s">
        <v>643</v>
      </c>
      <c r="L427">
        <v>1368</v>
      </c>
      <c r="N427">
        <v>1011</v>
      </c>
      <c r="O427" t="s">
        <v>444</v>
      </c>
      <c r="P427" t="s">
        <v>444</v>
      </c>
      <c r="Q427">
        <v>1</v>
      </c>
      <c r="X427">
        <v>0.3</v>
      </c>
      <c r="Y427">
        <v>0</v>
      </c>
      <c r="Z427">
        <v>163.81</v>
      </c>
      <c r="AA427">
        <v>14.54</v>
      </c>
      <c r="AB427">
        <v>0</v>
      </c>
      <c r="AC427">
        <v>0</v>
      </c>
      <c r="AD427">
        <v>1</v>
      </c>
      <c r="AE427">
        <v>0</v>
      </c>
      <c r="AF427" t="s">
        <v>22</v>
      </c>
      <c r="AG427">
        <v>0.33</v>
      </c>
      <c r="AH427">
        <v>3</v>
      </c>
      <c r="AI427">
        <v>-1</v>
      </c>
      <c r="AJ427" t="s">
        <v>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ROW(Source!A254)</f>
        <v>254</v>
      </c>
      <c r="B428">
        <v>56612322</v>
      </c>
      <c r="C428">
        <v>56612314</v>
      </c>
      <c r="D428">
        <v>47766611</v>
      </c>
      <c r="E428">
        <v>1</v>
      </c>
      <c r="F428">
        <v>1</v>
      </c>
      <c r="G428">
        <v>27786564</v>
      </c>
      <c r="H428">
        <v>2</v>
      </c>
      <c r="I428" t="s">
        <v>644</v>
      </c>
      <c r="J428" t="s">
        <v>645</v>
      </c>
      <c r="K428" t="s">
        <v>646</v>
      </c>
      <c r="L428">
        <v>1368</v>
      </c>
      <c r="N428">
        <v>1011</v>
      </c>
      <c r="O428" t="s">
        <v>444</v>
      </c>
      <c r="P428" t="s">
        <v>444</v>
      </c>
      <c r="Q428">
        <v>1</v>
      </c>
      <c r="X428">
        <v>0.3</v>
      </c>
      <c r="Y428">
        <v>0</v>
      </c>
      <c r="Z428">
        <v>283.89999999999998</v>
      </c>
      <c r="AA428">
        <v>14.54</v>
      </c>
      <c r="AB428">
        <v>0</v>
      </c>
      <c r="AC428">
        <v>0</v>
      </c>
      <c r="AD428">
        <v>1</v>
      </c>
      <c r="AE428">
        <v>0</v>
      </c>
      <c r="AF428" t="s">
        <v>22</v>
      </c>
      <c r="AG428">
        <v>0.33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ROW(Source!A254)</f>
        <v>254</v>
      </c>
      <c r="B429">
        <v>56612323</v>
      </c>
      <c r="C429">
        <v>56612314</v>
      </c>
      <c r="D429">
        <v>47766598</v>
      </c>
      <c r="E429">
        <v>1</v>
      </c>
      <c r="F429">
        <v>1</v>
      </c>
      <c r="G429">
        <v>27786564</v>
      </c>
      <c r="H429">
        <v>2</v>
      </c>
      <c r="I429" t="s">
        <v>647</v>
      </c>
      <c r="J429" t="s">
        <v>648</v>
      </c>
      <c r="K429" t="s">
        <v>649</v>
      </c>
      <c r="L429">
        <v>1368</v>
      </c>
      <c r="N429">
        <v>1011</v>
      </c>
      <c r="O429" t="s">
        <v>444</v>
      </c>
      <c r="P429" t="s">
        <v>444</v>
      </c>
      <c r="Q429">
        <v>1</v>
      </c>
      <c r="X429">
        <v>0.3</v>
      </c>
      <c r="Y429">
        <v>0</v>
      </c>
      <c r="Z429">
        <v>189.45</v>
      </c>
      <c r="AA429">
        <v>16.93</v>
      </c>
      <c r="AB429">
        <v>0</v>
      </c>
      <c r="AC429">
        <v>0</v>
      </c>
      <c r="AD429">
        <v>1</v>
      </c>
      <c r="AE429">
        <v>0</v>
      </c>
      <c r="AF429" t="s">
        <v>22</v>
      </c>
      <c r="AG429">
        <v>0.33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ROW(Source!A254)</f>
        <v>254</v>
      </c>
      <c r="B430">
        <v>56612324</v>
      </c>
      <c r="C430">
        <v>56612314</v>
      </c>
      <c r="D430">
        <v>47766599</v>
      </c>
      <c r="E430">
        <v>1</v>
      </c>
      <c r="F430">
        <v>1</v>
      </c>
      <c r="G430">
        <v>27786564</v>
      </c>
      <c r="H430">
        <v>2</v>
      </c>
      <c r="I430" t="s">
        <v>610</v>
      </c>
      <c r="J430" t="s">
        <v>611</v>
      </c>
      <c r="K430" t="s">
        <v>612</v>
      </c>
      <c r="L430">
        <v>1368</v>
      </c>
      <c r="N430">
        <v>1011</v>
      </c>
      <c r="O430" t="s">
        <v>444</v>
      </c>
      <c r="P430" t="s">
        <v>444</v>
      </c>
      <c r="Q430">
        <v>1</v>
      </c>
      <c r="X430">
        <v>0.9</v>
      </c>
      <c r="Y430">
        <v>0</v>
      </c>
      <c r="Z430">
        <v>180.35</v>
      </c>
      <c r="AA430">
        <v>16.93</v>
      </c>
      <c r="AB430">
        <v>0</v>
      </c>
      <c r="AC430">
        <v>0</v>
      </c>
      <c r="AD430">
        <v>1</v>
      </c>
      <c r="AE430">
        <v>0</v>
      </c>
      <c r="AF430" t="s">
        <v>22</v>
      </c>
      <c r="AG430">
        <v>0.9900000000000001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ROW(Source!A254)</f>
        <v>254</v>
      </c>
      <c r="B431">
        <v>56612325</v>
      </c>
      <c r="C431">
        <v>56612314</v>
      </c>
      <c r="D431">
        <v>46725969</v>
      </c>
      <c r="E431">
        <v>1</v>
      </c>
      <c r="F431">
        <v>1</v>
      </c>
      <c r="G431">
        <v>27786564</v>
      </c>
      <c r="H431">
        <v>3</v>
      </c>
      <c r="I431" t="s">
        <v>650</v>
      </c>
      <c r="J431" t="s">
        <v>651</v>
      </c>
      <c r="K431" t="s">
        <v>652</v>
      </c>
      <c r="L431">
        <v>1348</v>
      </c>
      <c r="N431">
        <v>1009</v>
      </c>
      <c r="O431" t="s">
        <v>330</v>
      </c>
      <c r="P431" t="s">
        <v>330</v>
      </c>
      <c r="Q431">
        <v>1000</v>
      </c>
      <c r="X431">
        <v>0.04</v>
      </c>
      <c r="Y431">
        <v>1445.87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</v>
      </c>
      <c r="AG431">
        <v>0.04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ROW(Source!A254)</f>
        <v>254</v>
      </c>
      <c r="B432">
        <v>56612326</v>
      </c>
      <c r="C432">
        <v>56612314</v>
      </c>
      <c r="D432">
        <v>30384722</v>
      </c>
      <c r="E432">
        <v>27786564</v>
      </c>
      <c r="F432">
        <v>1</v>
      </c>
      <c r="G432">
        <v>27786564</v>
      </c>
      <c r="H432">
        <v>3</v>
      </c>
      <c r="I432" t="s">
        <v>653</v>
      </c>
      <c r="J432" t="s">
        <v>3</v>
      </c>
      <c r="K432" t="s">
        <v>654</v>
      </c>
      <c r="L432">
        <v>1348</v>
      </c>
      <c r="N432">
        <v>1009</v>
      </c>
      <c r="O432" t="s">
        <v>330</v>
      </c>
      <c r="P432" t="s">
        <v>330</v>
      </c>
      <c r="Q432">
        <v>1000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3</v>
      </c>
      <c r="AG432">
        <v>0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ROW(Source!A292)</f>
        <v>292</v>
      </c>
      <c r="B433">
        <v>56612329</v>
      </c>
      <c r="C433">
        <v>56612328</v>
      </c>
      <c r="D433">
        <v>47634407</v>
      </c>
      <c r="E433">
        <v>27786564</v>
      </c>
      <c r="F433">
        <v>1</v>
      </c>
      <c r="G433">
        <v>27786564</v>
      </c>
      <c r="H433">
        <v>1</v>
      </c>
      <c r="I433" t="s">
        <v>438</v>
      </c>
      <c r="J433" t="s">
        <v>3</v>
      </c>
      <c r="K433" t="s">
        <v>439</v>
      </c>
      <c r="L433">
        <v>1191</v>
      </c>
      <c r="N433">
        <v>1013</v>
      </c>
      <c r="O433" t="s">
        <v>440</v>
      </c>
      <c r="P433" t="s">
        <v>440</v>
      </c>
      <c r="Q433">
        <v>1</v>
      </c>
      <c r="X433">
        <v>155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 t="s">
        <v>22</v>
      </c>
      <c r="AG433">
        <v>170.5</v>
      </c>
      <c r="AH433">
        <v>3</v>
      </c>
      <c r="AI433">
        <v>-1</v>
      </c>
      <c r="AJ433" t="s">
        <v>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ROW(Source!A292)</f>
        <v>292</v>
      </c>
      <c r="B434">
        <v>56612330</v>
      </c>
      <c r="C434">
        <v>56612328</v>
      </c>
      <c r="D434">
        <v>47766768</v>
      </c>
      <c r="E434">
        <v>1</v>
      </c>
      <c r="F434">
        <v>1</v>
      </c>
      <c r="G434">
        <v>27786564</v>
      </c>
      <c r="H434">
        <v>2</v>
      </c>
      <c r="I434" t="s">
        <v>589</v>
      </c>
      <c r="J434" t="s">
        <v>590</v>
      </c>
      <c r="K434" t="s">
        <v>591</v>
      </c>
      <c r="L434">
        <v>1368</v>
      </c>
      <c r="N434">
        <v>1011</v>
      </c>
      <c r="O434" t="s">
        <v>444</v>
      </c>
      <c r="P434" t="s">
        <v>444</v>
      </c>
      <c r="Q434">
        <v>1</v>
      </c>
      <c r="X434">
        <v>37.5</v>
      </c>
      <c r="Y434">
        <v>0</v>
      </c>
      <c r="Z434">
        <v>41.45</v>
      </c>
      <c r="AA434">
        <v>12.62</v>
      </c>
      <c r="AB434">
        <v>0</v>
      </c>
      <c r="AC434">
        <v>0</v>
      </c>
      <c r="AD434">
        <v>1</v>
      </c>
      <c r="AE434">
        <v>0</v>
      </c>
      <c r="AF434" t="s">
        <v>22</v>
      </c>
      <c r="AG434">
        <v>41.25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ROW(Source!A292)</f>
        <v>292</v>
      </c>
      <c r="B435">
        <v>56612331</v>
      </c>
      <c r="C435">
        <v>56612328</v>
      </c>
      <c r="D435">
        <v>47767181</v>
      </c>
      <c r="E435">
        <v>1</v>
      </c>
      <c r="F435">
        <v>1</v>
      </c>
      <c r="G435">
        <v>27786564</v>
      </c>
      <c r="H435">
        <v>2</v>
      </c>
      <c r="I435" t="s">
        <v>592</v>
      </c>
      <c r="J435" t="s">
        <v>593</v>
      </c>
      <c r="K435" t="s">
        <v>594</v>
      </c>
      <c r="L435">
        <v>1368</v>
      </c>
      <c r="N435">
        <v>1011</v>
      </c>
      <c r="O435" t="s">
        <v>444</v>
      </c>
      <c r="P435" t="s">
        <v>444</v>
      </c>
      <c r="Q435">
        <v>1</v>
      </c>
      <c r="X435">
        <v>75</v>
      </c>
      <c r="Y435">
        <v>0</v>
      </c>
      <c r="Z435">
        <v>0.5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22</v>
      </c>
      <c r="AG435">
        <v>82.5</v>
      </c>
      <c r="AH435">
        <v>3</v>
      </c>
      <c r="AI435">
        <v>-1</v>
      </c>
      <c r="AJ435" t="s">
        <v>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ROW(Source!A292)</f>
        <v>292</v>
      </c>
      <c r="B436">
        <v>56612332</v>
      </c>
      <c r="C436">
        <v>56612328</v>
      </c>
      <c r="D436">
        <v>47766620</v>
      </c>
      <c r="E436">
        <v>1</v>
      </c>
      <c r="F436">
        <v>1</v>
      </c>
      <c r="G436">
        <v>27786564</v>
      </c>
      <c r="H436">
        <v>2</v>
      </c>
      <c r="I436" t="s">
        <v>595</v>
      </c>
      <c r="J436" t="s">
        <v>596</v>
      </c>
      <c r="K436" t="s">
        <v>597</v>
      </c>
      <c r="L436">
        <v>1368</v>
      </c>
      <c r="N436">
        <v>1011</v>
      </c>
      <c r="O436" t="s">
        <v>444</v>
      </c>
      <c r="P436" t="s">
        <v>444</v>
      </c>
      <c r="Q436">
        <v>1</v>
      </c>
      <c r="X436">
        <v>1.55</v>
      </c>
      <c r="Y436">
        <v>0</v>
      </c>
      <c r="Z436">
        <v>219.56</v>
      </c>
      <c r="AA436">
        <v>18.62</v>
      </c>
      <c r="AB436">
        <v>0</v>
      </c>
      <c r="AC436">
        <v>0</v>
      </c>
      <c r="AD436">
        <v>1</v>
      </c>
      <c r="AE436">
        <v>0</v>
      </c>
      <c r="AF436" t="s">
        <v>22</v>
      </c>
      <c r="AG436">
        <v>1.7050000000000003</v>
      </c>
      <c r="AH436">
        <v>3</v>
      </c>
      <c r="AI436">
        <v>-1</v>
      </c>
      <c r="AJ436" t="s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ROW(Source!A292)</f>
        <v>292</v>
      </c>
      <c r="B437">
        <v>56612333</v>
      </c>
      <c r="C437">
        <v>56612328</v>
      </c>
      <c r="D437">
        <v>47634960</v>
      </c>
      <c r="E437">
        <v>27786564</v>
      </c>
      <c r="F437">
        <v>1</v>
      </c>
      <c r="G437">
        <v>27786564</v>
      </c>
      <c r="H437">
        <v>2</v>
      </c>
      <c r="I437" t="s">
        <v>448</v>
      </c>
      <c r="J437" t="s">
        <v>3</v>
      </c>
      <c r="K437" t="s">
        <v>449</v>
      </c>
      <c r="L437">
        <v>1344</v>
      </c>
      <c r="N437">
        <v>1008</v>
      </c>
      <c r="O437" t="s">
        <v>450</v>
      </c>
      <c r="P437" t="s">
        <v>450</v>
      </c>
      <c r="Q437">
        <v>1</v>
      </c>
      <c r="X437">
        <v>3.74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22</v>
      </c>
      <c r="AG437">
        <v>4.1140000000000008</v>
      </c>
      <c r="AH437">
        <v>3</v>
      </c>
      <c r="AI437">
        <v>-1</v>
      </c>
      <c r="AJ437" t="s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ROW(Source!A293)</f>
        <v>293</v>
      </c>
      <c r="B438">
        <v>56612329</v>
      </c>
      <c r="C438">
        <v>56612328</v>
      </c>
      <c r="D438">
        <v>47634407</v>
      </c>
      <c r="E438">
        <v>27786564</v>
      </c>
      <c r="F438">
        <v>1</v>
      </c>
      <c r="G438">
        <v>27786564</v>
      </c>
      <c r="H438">
        <v>1</v>
      </c>
      <c r="I438" t="s">
        <v>438</v>
      </c>
      <c r="J438" t="s">
        <v>3</v>
      </c>
      <c r="K438" t="s">
        <v>439</v>
      </c>
      <c r="L438">
        <v>1191</v>
      </c>
      <c r="N438">
        <v>1013</v>
      </c>
      <c r="O438" t="s">
        <v>440</v>
      </c>
      <c r="P438" t="s">
        <v>440</v>
      </c>
      <c r="Q438">
        <v>1</v>
      </c>
      <c r="X438">
        <v>155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 t="s">
        <v>22</v>
      </c>
      <c r="AG438">
        <v>170.5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ROW(Source!A293)</f>
        <v>293</v>
      </c>
      <c r="B439">
        <v>56612330</v>
      </c>
      <c r="C439">
        <v>56612328</v>
      </c>
      <c r="D439">
        <v>47766768</v>
      </c>
      <c r="E439">
        <v>1</v>
      </c>
      <c r="F439">
        <v>1</v>
      </c>
      <c r="G439">
        <v>27786564</v>
      </c>
      <c r="H439">
        <v>2</v>
      </c>
      <c r="I439" t="s">
        <v>589</v>
      </c>
      <c r="J439" t="s">
        <v>590</v>
      </c>
      <c r="K439" t="s">
        <v>591</v>
      </c>
      <c r="L439">
        <v>1368</v>
      </c>
      <c r="N439">
        <v>1011</v>
      </c>
      <c r="O439" t="s">
        <v>444</v>
      </c>
      <c r="P439" t="s">
        <v>444</v>
      </c>
      <c r="Q439">
        <v>1</v>
      </c>
      <c r="X439">
        <v>37.5</v>
      </c>
      <c r="Y439">
        <v>0</v>
      </c>
      <c r="Z439">
        <v>41.45</v>
      </c>
      <c r="AA439">
        <v>12.62</v>
      </c>
      <c r="AB439">
        <v>0</v>
      </c>
      <c r="AC439">
        <v>0</v>
      </c>
      <c r="AD439">
        <v>1</v>
      </c>
      <c r="AE439">
        <v>0</v>
      </c>
      <c r="AF439" t="s">
        <v>22</v>
      </c>
      <c r="AG439">
        <v>41.25</v>
      </c>
      <c r="AH439">
        <v>3</v>
      </c>
      <c r="AI439">
        <v>-1</v>
      </c>
      <c r="AJ439" t="s">
        <v>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ROW(Source!A293)</f>
        <v>293</v>
      </c>
      <c r="B440">
        <v>56612331</v>
      </c>
      <c r="C440">
        <v>56612328</v>
      </c>
      <c r="D440">
        <v>47767181</v>
      </c>
      <c r="E440">
        <v>1</v>
      </c>
      <c r="F440">
        <v>1</v>
      </c>
      <c r="G440">
        <v>27786564</v>
      </c>
      <c r="H440">
        <v>2</v>
      </c>
      <c r="I440" t="s">
        <v>592</v>
      </c>
      <c r="J440" t="s">
        <v>593</v>
      </c>
      <c r="K440" t="s">
        <v>594</v>
      </c>
      <c r="L440">
        <v>1368</v>
      </c>
      <c r="N440">
        <v>1011</v>
      </c>
      <c r="O440" t="s">
        <v>444</v>
      </c>
      <c r="P440" t="s">
        <v>444</v>
      </c>
      <c r="Q440">
        <v>1</v>
      </c>
      <c r="X440">
        <v>75</v>
      </c>
      <c r="Y440">
        <v>0</v>
      </c>
      <c r="Z440">
        <v>0.5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22</v>
      </c>
      <c r="AG440">
        <v>82.5</v>
      </c>
      <c r="AH440">
        <v>3</v>
      </c>
      <c r="AI440">
        <v>-1</v>
      </c>
      <c r="AJ440" t="s">
        <v>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ROW(Source!A293)</f>
        <v>293</v>
      </c>
      <c r="B441">
        <v>56612332</v>
      </c>
      <c r="C441">
        <v>56612328</v>
      </c>
      <c r="D441">
        <v>47766620</v>
      </c>
      <c r="E441">
        <v>1</v>
      </c>
      <c r="F441">
        <v>1</v>
      </c>
      <c r="G441">
        <v>27786564</v>
      </c>
      <c r="H441">
        <v>2</v>
      </c>
      <c r="I441" t="s">
        <v>595</v>
      </c>
      <c r="J441" t="s">
        <v>596</v>
      </c>
      <c r="K441" t="s">
        <v>597</v>
      </c>
      <c r="L441">
        <v>1368</v>
      </c>
      <c r="N441">
        <v>1011</v>
      </c>
      <c r="O441" t="s">
        <v>444</v>
      </c>
      <c r="P441" t="s">
        <v>444</v>
      </c>
      <c r="Q441">
        <v>1</v>
      </c>
      <c r="X441">
        <v>1.55</v>
      </c>
      <c r="Y441">
        <v>0</v>
      </c>
      <c r="Z441">
        <v>219.56</v>
      </c>
      <c r="AA441">
        <v>18.62</v>
      </c>
      <c r="AB441">
        <v>0</v>
      </c>
      <c r="AC441">
        <v>0</v>
      </c>
      <c r="AD441">
        <v>1</v>
      </c>
      <c r="AE441">
        <v>0</v>
      </c>
      <c r="AF441" t="s">
        <v>22</v>
      </c>
      <c r="AG441">
        <v>1.7050000000000003</v>
      </c>
      <c r="AH441">
        <v>3</v>
      </c>
      <c r="AI441">
        <v>-1</v>
      </c>
      <c r="AJ441" t="s">
        <v>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ROW(Source!A293)</f>
        <v>293</v>
      </c>
      <c r="B442">
        <v>56612333</v>
      </c>
      <c r="C442">
        <v>56612328</v>
      </c>
      <c r="D442">
        <v>47634960</v>
      </c>
      <c r="E442">
        <v>27786564</v>
      </c>
      <c r="F442">
        <v>1</v>
      </c>
      <c r="G442">
        <v>27786564</v>
      </c>
      <c r="H442">
        <v>2</v>
      </c>
      <c r="I442" t="s">
        <v>448</v>
      </c>
      <c r="J442" t="s">
        <v>3</v>
      </c>
      <c r="K442" t="s">
        <v>449</v>
      </c>
      <c r="L442">
        <v>1344</v>
      </c>
      <c r="N442">
        <v>1008</v>
      </c>
      <c r="O442" t="s">
        <v>450</v>
      </c>
      <c r="P442" t="s">
        <v>450</v>
      </c>
      <c r="Q442">
        <v>1</v>
      </c>
      <c r="X442">
        <v>3.74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22</v>
      </c>
      <c r="AG442">
        <v>4.1140000000000008</v>
      </c>
      <c r="AH442">
        <v>3</v>
      </c>
      <c r="AI442">
        <v>-1</v>
      </c>
      <c r="AJ442" t="s">
        <v>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ROW(Source!A294)</f>
        <v>294</v>
      </c>
      <c r="B443">
        <v>56612335</v>
      </c>
      <c r="C443">
        <v>56612334</v>
      </c>
      <c r="D443">
        <v>47634407</v>
      </c>
      <c r="E443">
        <v>27786564</v>
      </c>
      <c r="F443">
        <v>1</v>
      </c>
      <c r="G443">
        <v>27786564</v>
      </c>
      <c r="H443">
        <v>1</v>
      </c>
      <c r="I443" t="s">
        <v>438</v>
      </c>
      <c r="J443" t="s">
        <v>3</v>
      </c>
      <c r="K443" t="s">
        <v>439</v>
      </c>
      <c r="L443">
        <v>1191</v>
      </c>
      <c r="N443">
        <v>1013</v>
      </c>
      <c r="O443" t="s">
        <v>440</v>
      </c>
      <c r="P443" t="s">
        <v>440</v>
      </c>
      <c r="Q443">
        <v>1</v>
      </c>
      <c r="X443">
        <v>11.7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 t="s">
        <v>22</v>
      </c>
      <c r="AG443">
        <v>12.870000000000001</v>
      </c>
      <c r="AH443">
        <v>3</v>
      </c>
      <c r="AI443">
        <v>-1</v>
      </c>
      <c r="AJ443" t="s">
        <v>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ROW(Source!A294)</f>
        <v>294</v>
      </c>
      <c r="B444">
        <v>56612336</v>
      </c>
      <c r="C444">
        <v>56612334</v>
      </c>
      <c r="D444">
        <v>47766419</v>
      </c>
      <c r="E444">
        <v>1</v>
      </c>
      <c r="F444">
        <v>1</v>
      </c>
      <c r="G444">
        <v>27786564</v>
      </c>
      <c r="H444">
        <v>2</v>
      </c>
      <c r="I444" t="s">
        <v>601</v>
      </c>
      <c r="J444" t="s">
        <v>602</v>
      </c>
      <c r="K444" t="s">
        <v>603</v>
      </c>
      <c r="L444">
        <v>1368</v>
      </c>
      <c r="N444">
        <v>1011</v>
      </c>
      <c r="O444" t="s">
        <v>444</v>
      </c>
      <c r="P444" t="s">
        <v>444</v>
      </c>
      <c r="Q444">
        <v>1</v>
      </c>
      <c r="X444">
        <v>1.26</v>
      </c>
      <c r="Y444">
        <v>0</v>
      </c>
      <c r="Z444">
        <v>120.32</v>
      </c>
      <c r="AA444">
        <v>12.62</v>
      </c>
      <c r="AB444">
        <v>0</v>
      </c>
      <c r="AC444">
        <v>0</v>
      </c>
      <c r="AD444">
        <v>1</v>
      </c>
      <c r="AE444">
        <v>0</v>
      </c>
      <c r="AF444" t="s">
        <v>22</v>
      </c>
      <c r="AG444">
        <v>1.3860000000000001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ROW(Source!A294)</f>
        <v>294</v>
      </c>
      <c r="B445">
        <v>56612337</v>
      </c>
      <c r="C445">
        <v>56612334</v>
      </c>
      <c r="D445">
        <v>47766620</v>
      </c>
      <c r="E445">
        <v>1</v>
      </c>
      <c r="F445">
        <v>1</v>
      </c>
      <c r="G445">
        <v>27786564</v>
      </c>
      <c r="H445">
        <v>2</v>
      </c>
      <c r="I445" t="s">
        <v>595</v>
      </c>
      <c r="J445" t="s">
        <v>596</v>
      </c>
      <c r="K445" t="s">
        <v>597</v>
      </c>
      <c r="L445">
        <v>1368</v>
      </c>
      <c r="N445">
        <v>1011</v>
      </c>
      <c r="O445" t="s">
        <v>444</v>
      </c>
      <c r="P445" t="s">
        <v>444</v>
      </c>
      <c r="Q445">
        <v>1</v>
      </c>
      <c r="X445">
        <v>1.7</v>
      </c>
      <c r="Y445">
        <v>0</v>
      </c>
      <c r="Z445">
        <v>219.56</v>
      </c>
      <c r="AA445">
        <v>18.62</v>
      </c>
      <c r="AB445">
        <v>0</v>
      </c>
      <c r="AC445">
        <v>0</v>
      </c>
      <c r="AD445">
        <v>1</v>
      </c>
      <c r="AE445">
        <v>0</v>
      </c>
      <c r="AF445" t="s">
        <v>22</v>
      </c>
      <c r="AG445">
        <v>1.87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ROW(Source!A294)</f>
        <v>294</v>
      </c>
      <c r="B446">
        <v>56612338</v>
      </c>
      <c r="C446">
        <v>56612334</v>
      </c>
      <c r="D446">
        <v>47634960</v>
      </c>
      <c r="E446">
        <v>27786564</v>
      </c>
      <c r="F446">
        <v>1</v>
      </c>
      <c r="G446">
        <v>27786564</v>
      </c>
      <c r="H446">
        <v>2</v>
      </c>
      <c r="I446" t="s">
        <v>448</v>
      </c>
      <c r="J446" t="s">
        <v>3</v>
      </c>
      <c r="K446" t="s">
        <v>449</v>
      </c>
      <c r="L446">
        <v>1344</v>
      </c>
      <c r="N446">
        <v>1008</v>
      </c>
      <c r="O446" t="s">
        <v>450</v>
      </c>
      <c r="P446" t="s">
        <v>450</v>
      </c>
      <c r="Q446">
        <v>1</v>
      </c>
      <c r="X446">
        <v>42.41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22</v>
      </c>
      <c r="AG446">
        <v>46.651000000000003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ROW(Source!A295)</f>
        <v>295</v>
      </c>
      <c r="B447">
        <v>56612335</v>
      </c>
      <c r="C447">
        <v>56612334</v>
      </c>
      <c r="D447">
        <v>47634407</v>
      </c>
      <c r="E447">
        <v>27786564</v>
      </c>
      <c r="F447">
        <v>1</v>
      </c>
      <c r="G447">
        <v>27786564</v>
      </c>
      <c r="H447">
        <v>1</v>
      </c>
      <c r="I447" t="s">
        <v>438</v>
      </c>
      <c r="J447" t="s">
        <v>3</v>
      </c>
      <c r="K447" t="s">
        <v>439</v>
      </c>
      <c r="L447">
        <v>1191</v>
      </c>
      <c r="N447">
        <v>1013</v>
      </c>
      <c r="O447" t="s">
        <v>440</v>
      </c>
      <c r="P447" t="s">
        <v>440</v>
      </c>
      <c r="Q447">
        <v>1</v>
      </c>
      <c r="X447">
        <v>11.7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 t="s">
        <v>22</v>
      </c>
      <c r="AG447">
        <v>12.870000000000001</v>
      </c>
      <c r="AH447">
        <v>3</v>
      </c>
      <c r="AI447">
        <v>-1</v>
      </c>
      <c r="AJ447" t="s">
        <v>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ROW(Source!A295)</f>
        <v>295</v>
      </c>
      <c r="B448">
        <v>56612336</v>
      </c>
      <c r="C448">
        <v>56612334</v>
      </c>
      <c r="D448">
        <v>47766419</v>
      </c>
      <c r="E448">
        <v>1</v>
      </c>
      <c r="F448">
        <v>1</v>
      </c>
      <c r="G448">
        <v>27786564</v>
      </c>
      <c r="H448">
        <v>2</v>
      </c>
      <c r="I448" t="s">
        <v>601</v>
      </c>
      <c r="J448" t="s">
        <v>602</v>
      </c>
      <c r="K448" t="s">
        <v>603</v>
      </c>
      <c r="L448">
        <v>1368</v>
      </c>
      <c r="N448">
        <v>1011</v>
      </c>
      <c r="O448" t="s">
        <v>444</v>
      </c>
      <c r="P448" t="s">
        <v>444</v>
      </c>
      <c r="Q448">
        <v>1</v>
      </c>
      <c r="X448">
        <v>1.26</v>
      </c>
      <c r="Y448">
        <v>0</v>
      </c>
      <c r="Z448">
        <v>120.32</v>
      </c>
      <c r="AA448">
        <v>12.62</v>
      </c>
      <c r="AB448">
        <v>0</v>
      </c>
      <c r="AC448">
        <v>0</v>
      </c>
      <c r="AD448">
        <v>1</v>
      </c>
      <c r="AE448">
        <v>0</v>
      </c>
      <c r="AF448" t="s">
        <v>22</v>
      </c>
      <c r="AG448">
        <v>1.3860000000000001</v>
      </c>
      <c r="AH448">
        <v>3</v>
      </c>
      <c r="AI448">
        <v>-1</v>
      </c>
      <c r="AJ448" t="s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ROW(Source!A295)</f>
        <v>295</v>
      </c>
      <c r="B449">
        <v>56612337</v>
      </c>
      <c r="C449">
        <v>56612334</v>
      </c>
      <c r="D449">
        <v>47766620</v>
      </c>
      <c r="E449">
        <v>1</v>
      </c>
      <c r="F449">
        <v>1</v>
      </c>
      <c r="G449">
        <v>27786564</v>
      </c>
      <c r="H449">
        <v>2</v>
      </c>
      <c r="I449" t="s">
        <v>595</v>
      </c>
      <c r="J449" t="s">
        <v>596</v>
      </c>
      <c r="K449" t="s">
        <v>597</v>
      </c>
      <c r="L449">
        <v>1368</v>
      </c>
      <c r="N449">
        <v>1011</v>
      </c>
      <c r="O449" t="s">
        <v>444</v>
      </c>
      <c r="P449" t="s">
        <v>444</v>
      </c>
      <c r="Q449">
        <v>1</v>
      </c>
      <c r="X449">
        <v>1.7</v>
      </c>
      <c r="Y449">
        <v>0</v>
      </c>
      <c r="Z449">
        <v>219.56</v>
      </c>
      <c r="AA449">
        <v>18.62</v>
      </c>
      <c r="AB449">
        <v>0</v>
      </c>
      <c r="AC449">
        <v>0</v>
      </c>
      <c r="AD449">
        <v>1</v>
      </c>
      <c r="AE449">
        <v>0</v>
      </c>
      <c r="AF449" t="s">
        <v>22</v>
      </c>
      <c r="AG449">
        <v>1.87</v>
      </c>
      <c r="AH449">
        <v>3</v>
      </c>
      <c r="AI449">
        <v>-1</v>
      </c>
      <c r="AJ449" t="s">
        <v>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ROW(Source!A295)</f>
        <v>295</v>
      </c>
      <c r="B450">
        <v>56612338</v>
      </c>
      <c r="C450">
        <v>56612334</v>
      </c>
      <c r="D450">
        <v>47634960</v>
      </c>
      <c r="E450">
        <v>27786564</v>
      </c>
      <c r="F450">
        <v>1</v>
      </c>
      <c r="G450">
        <v>27786564</v>
      </c>
      <c r="H450">
        <v>2</v>
      </c>
      <c r="I450" t="s">
        <v>448</v>
      </c>
      <c r="J450" t="s">
        <v>3</v>
      </c>
      <c r="K450" t="s">
        <v>449</v>
      </c>
      <c r="L450">
        <v>1344</v>
      </c>
      <c r="N450">
        <v>1008</v>
      </c>
      <c r="O450" t="s">
        <v>450</v>
      </c>
      <c r="P450" t="s">
        <v>450</v>
      </c>
      <c r="Q450">
        <v>1</v>
      </c>
      <c r="X450">
        <v>42.41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22</v>
      </c>
      <c r="AG450">
        <v>46.651000000000003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ROW(Source!A296)</f>
        <v>296</v>
      </c>
      <c r="B451">
        <v>56612340</v>
      </c>
      <c r="C451">
        <v>56612339</v>
      </c>
      <c r="D451">
        <v>47634960</v>
      </c>
      <c r="E451">
        <v>27786564</v>
      </c>
      <c r="F451">
        <v>1</v>
      </c>
      <c r="G451">
        <v>27786564</v>
      </c>
      <c r="H451">
        <v>2</v>
      </c>
      <c r="I451" t="s">
        <v>448</v>
      </c>
      <c r="J451" t="s">
        <v>3</v>
      </c>
      <c r="K451" t="s">
        <v>449</v>
      </c>
      <c r="L451">
        <v>1344</v>
      </c>
      <c r="N451">
        <v>1008</v>
      </c>
      <c r="O451" t="s">
        <v>450</v>
      </c>
      <c r="P451" t="s">
        <v>450</v>
      </c>
      <c r="Q451">
        <v>1</v>
      </c>
      <c r="X451">
        <v>8.86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22</v>
      </c>
      <c r="AG451">
        <v>9.7460000000000004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ROW(Source!A297)</f>
        <v>297</v>
      </c>
      <c r="B452">
        <v>56612340</v>
      </c>
      <c r="C452">
        <v>56612339</v>
      </c>
      <c r="D452">
        <v>47634960</v>
      </c>
      <c r="E452">
        <v>27786564</v>
      </c>
      <c r="F452">
        <v>1</v>
      </c>
      <c r="G452">
        <v>27786564</v>
      </c>
      <c r="H452">
        <v>2</v>
      </c>
      <c r="I452" t="s">
        <v>448</v>
      </c>
      <c r="J452" t="s">
        <v>3</v>
      </c>
      <c r="K452" t="s">
        <v>449</v>
      </c>
      <c r="L452">
        <v>1344</v>
      </c>
      <c r="N452">
        <v>1008</v>
      </c>
      <c r="O452" t="s">
        <v>450</v>
      </c>
      <c r="P452" t="s">
        <v>450</v>
      </c>
      <c r="Q452">
        <v>1</v>
      </c>
      <c r="X452">
        <v>8.86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22</v>
      </c>
      <c r="AG452">
        <v>9.7460000000000004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ROW(Source!A298)</f>
        <v>298</v>
      </c>
      <c r="B453">
        <v>56612343</v>
      </c>
      <c r="C453">
        <v>56612341</v>
      </c>
      <c r="D453">
        <v>47634407</v>
      </c>
      <c r="E453">
        <v>27786564</v>
      </c>
      <c r="F453">
        <v>1</v>
      </c>
      <c r="G453">
        <v>27786564</v>
      </c>
      <c r="H453">
        <v>1</v>
      </c>
      <c r="I453" t="s">
        <v>438</v>
      </c>
      <c r="J453" t="s">
        <v>3</v>
      </c>
      <c r="K453" t="s">
        <v>439</v>
      </c>
      <c r="L453">
        <v>1191</v>
      </c>
      <c r="N453">
        <v>1013</v>
      </c>
      <c r="O453" t="s">
        <v>440</v>
      </c>
      <c r="P453" t="s">
        <v>440</v>
      </c>
      <c r="Q453">
        <v>1</v>
      </c>
      <c r="X453">
        <v>14.4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 t="s">
        <v>22</v>
      </c>
      <c r="AG453">
        <v>15.840000000000002</v>
      </c>
      <c r="AH453">
        <v>3</v>
      </c>
      <c r="AI453">
        <v>-1</v>
      </c>
      <c r="AJ453" t="s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ROW(Source!A298)</f>
        <v>298</v>
      </c>
      <c r="B454">
        <v>56612344</v>
      </c>
      <c r="C454">
        <v>56612341</v>
      </c>
      <c r="D454">
        <v>47766419</v>
      </c>
      <c r="E454">
        <v>1</v>
      </c>
      <c r="F454">
        <v>1</v>
      </c>
      <c r="G454">
        <v>27786564</v>
      </c>
      <c r="H454">
        <v>2</v>
      </c>
      <c r="I454" t="s">
        <v>601</v>
      </c>
      <c r="J454" t="s">
        <v>602</v>
      </c>
      <c r="K454" t="s">
        <v>603</v>
      </c>
      <c r="L454">
        <v>1368</v>
      </c>
      <c r="N454">
        <v>1011</v>
      </c>
      <c r="O454" t="s">
        <v>444</v>
      </c>
      <c r="P454" t="s">
        <v>444</v>
      </c>
      <c r="Q454">
        <v>1</v>
      </c>
      <c r="X454">
        <v>1.66</v>
      </c>
      <c r="Y454">
        <v>0</v>
      </c>
      <c r="Z454">
        <v>120.32</v>
      </c>
      <c r="AA454">
        <v>12.62</v>
      </c>
      <c r="AB454">
        <v>0</v>
      </c>
      <c r="AC454">
        <v>0</v>
      </c>
      <c r="AD454">
        <v>1</v>
      </c>
      <c r="AE454">
        <v>0</v>
      </c>
      <c r="AF454" t="s">
        <v>22</v>
      </c>
      <c r="AG454">
        <v>1.8260000000000001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ROW(Source!A298)</f>
        <v>298</v>
      </c>
      <c r="B455">
        <v>56612345</v>
      </c>
      <c r="C455">
        <v>56612341</v>
      </c>
      <c r="D455">
        <v>47766660</v>
      </c>
      <c r="E455">
        <v>1</v>
      </c>
      <c r="F455">
        <v>1</v>
      </c>
      <c r="G455">
        <v>27786564</v>
      </c>
      <c r="H455">
        <v>2</v>
      </c>
      <c r="I455" t="s">
        <v>604</v>
      </c>
      <c r="J455" t="s">
        <v>605</v>
      </c>
      <c r="K455" t="s">
        <v>606</v>
      </c>
      <c r="L455">
        <v>1368</v>
      </c>
      <c r="N455">
        <v>1011</v>
      </c>
      <c r="O455" t="s">
        <v>444</v>
      </c>
      <c r="P455" t="s">
        <v>444</v>
      </c>
      <c r="Q455">
        <v>1</v>
      </c>
      <c r="X455">
        <v>1.66</v>
      </c>
      <c r="Y455">
        <v>0</v>
      </c>
      <c r="Z455">
        <v>281.32</v>
      </c>
      <c r="AA455">
        <v>16.93</v>
      </c>
      <c r="AB455">
        <v>0</v>
      </c>
      <c r="AC455">
        <v>0</v>
      </c>
      <c r="AD455">
        <v>1</v>
      </c>
      <c r="AE455">
        <v>0</v>
      </c>
      <c r="AF455" t="s">
        <v>22</v>
      </c>
      <c r="AG455">
        <v>1.8260000000000001</v>
      </c>
      <c r="AH455">
        <v>3</v>
      </c>
      <c r="AI455">
        <v>-1</v>
      </c>
      <c r="AJ455" t="s">
        <v>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ROW(Source!A298)</f>
        <v>298</v>
      </c>
      <c r="B456">
        <v>56612346</v>
      </c>
      <c r="C456">
        <v>56612341</v>
      </c>
      <c r="D456">
        <v>47766605</v>
      </c>
      <c r="E456">
        <v>1</v>
      </c>
      <c r="F456">
        <v>1</v>
      </c>
      <c r="G456">
        <v>27786564</v>
      </c>
      <c r="H456">
        <v>2</v>
      </c>
      <c r="I456" t="s">
        <v>607</v>
      </c>
      <c r="J456" t="s">
        <v>608</v>
      </c>
      <c r="K456" t="s">
        <v>609</v>
      </c>
      <c r="L456">
        <v>1368</v>
      </c>
      <c r="N456">
        <v>1011</v>
      </c>
      <c r="O456" t="s">
        <v>444</v>
      </c>
      <c r="P456" t="s">
        <v>444</v>
      </c>
      <c r="Q456">
        <v>1</v>
      </c>
      <c r="X456">
        <v>0.65</v>
      </c>
      <c r="Y456">
        <v>0</v>
      </c>
      <c r="Z456">
        <v>140.38</v>
      </c>
      <c r="AA456">
        <v>12.62</v>
      </c>
      <c r="AB456">
        <v>0</v>
      </c>
      <c r="AC456">
        <v>0</v>
      </c>
      <c r="AD456">
        <v>1</v>
      </c>
      <c r="AE456">
        <v>0</v>
      </c>
      <c r="AF456" t="s">
        <v>22</v>
      </c>
      <c r="AG456">
        <v>0.71500000000000008</v>
      </c>
      <c r="AH456">
        <v>3</v>
      </c>
      <c r="AI456">
        <v>-1</v>
      </c>
      <c r="AJ456" t="s">
        <v>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ROW(Source!A298)</f>
        <v>298</v>
      </c>
      <c r="B457">
        <v>56612347</v>
      </c>
      <c r="C457">
        <v>56612341</v>
      </c>
      <c r="D457">
        <v>47766620</v>
      </c>
      <c r="E457">
        <v>1</v>
      </c>
      <c r="F457">
        <v>1</v>
      </c>
      <c r="G457">
        <v>27786564</v>
      </c>
      <c r="H457">
        <v>2</v>
      </c>
      <c r="I457" t="s">
        <v>595</v>
      </c>
      <c r="J457" t="s">
        <v>596</v>
      </c>
      <c r="K457" t="s">
        <v>597</v>
      </c>
      <c r="L457">
        <v>1368</v>
      </c>
      <c r="N457">
        <v>1011</v>
      </c>
      <c r="O457" t="s">
        <v>444</v>
      </c>
      <c r="P457" t="s">
        <v>444</v>
      </c>
      <c r="Q457">
        <v>1</v>
      </c>
      <c r="X457">
        <v>1.55</v>
      </c>
      <c r="Y457">
        <v>0</v>
      </c>
      <c r="Z457">
        <v>219.56</v>
      </c>
      <c r="AA457">
        <v>18.62</v>
      </c>
      <c r="AB457">
        <v>0</v>
      </c>
      <c r="AC457">
        <v>0</v>
      </c>
      <c r="AD457">
        <v>1</v>
      </c>
      <c r="AE457">
        <v>0</v>
      </c>
      <c r="AF457" t="s">
        <v>22</v>
      </c>
      <c r="AG457">
        <v>1.7050000000000003</v>
      </c>
      <c r="AH457">
        <v>3</v>
      </c>
      <c r="AI457">
        <v>-1</v>
      </c>
      <c r="AJ457" t="s">
        <v>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ROW(Source!A298)</f>
        <v>298</v>
      </c>
      <c r="B458">
        <v>56612348</v>
      </c>
      <c r="C458">
        <v>56612341</v>
      </c>
      <c r="D458">
        <v>47766599</v>
      </c>
      <c r="E458">
        <v>1</v>
      </c>
      <c r="F458">
        <v>1</v>
      </c>
      <c r="G458">
        <v>27786564</v>
      </c>
      <c r="H458">
        <v>2</v>
      </c>
      <c r="I458" t="s">
        <v>610</v>
      </c>
      <c r="J458" t="s">
        <v>611</v>
      </c>
      <c r="K458" t="s">
        <v>612</v>
      </c>
      <c r="L458">
        <v>1368</v>
      </c>
      <c r="N458">
        <v>1011</v>
      </c>
      <c r="O458" t="s">
        <v>444</v>
      </c>
      <c r="P458" t="s">
        <v>444</v>
      </c>
      <c r="Q458">
        <v>1</v>
      </c>
      <c r="X458">
        <v>0.52</v>
      </c>
      <c r="Y458">
        <v>0</v>
      </c>
      <c r="Z458">
        <v>180.35</v>
      </c>
      <c r="AA458">
        <v>16.93</v>
      </c>
      <c r="AB458">
        <v>0</v>
      </c>
      <c r="AC458">
        <v>0</v>
      </c>
      <c r="AD458">
        <v>1</v>
      </c>
      <c r="AE458">
        <v>0</v>
      </c>
      <c r="AF458" t="s">
        <v>22</v>
      </c>
      <c r="AG458">
        <v>0.57200000000000006</v>
      </c>
      <c r="AH458">
        <v>3</v>
      </c>
      <c r="AI458">
        <v>-1</v>
      </c>
      <c r="AJ458" t="s">
        <v>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ROW(Source!A298)</f>
        <v>298</v>
      </c>
      <c r="B459">
        <v>56612349</v>
      </c>
      <c r="C459">
        <v>56612341</v>
      </c>
      <c r="D459">
        <v>30390465</v>
      </c>
      <c r="E459">
        <v>1</v>
      </c>
      <c r="F459">
        <v>1</v>
      </c>
      <c r="G459">
        <v>27786564</v>
      </c>
      <c r="H459">
        <v>3</v>
      </c>
      <c r="I459" t="s">
        <v>584</v>
      </c>
      <c r="J459" t="s">
        <v>585</v>
      </c>
      <c r="K459" t="s">
        <v>586</v>
      </c>
      <c r="L459">
        <v>1339</v>
      </c>
      <c r="N459">
        <v>1007</v>
      </c>
      <c r="O459" t="s">
        <v>88</v>
      </c>
      <c r="P459" t="s">
        <v>88</v>
      </c>
      <c r="Q459">
        <v>1</v>
      </c>
      <c r="X459">
        <v>5</v>
      </c>
      <c r="Y459">
        <v>7.07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</v>
      </c>
      <c r="AG459">
        <v>5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ROW(Source!A298)</f>
        <v>298</v>
      </c>
      <c r="B460">
        <v>56612350</v>
      </c>
      <c r="C460">
        <v>56612341</v>
      </c>
      <c r="D460">
        <v>30384156</v>
      </c>
      <c r="E460">
        <v>27786564</v>
      </c>
      <c r="F460">
        <v>1</v>
      </c>
      <c r="G460">
        <v>27786564</v>
      </c>
      <c r="H460">
        <v>3</v>
      </c>
      <c r="I460" t="s">
        <v>613</v>
      </c>
      <c r="J460" t="s">
        <v>3</v>
      </c>
      <c r="K460" t="s">
        <v>614</v>
      </c>
      <c r="L460">
        <v>1339</v>
      </c>
      <c r="N460">
        <v>1007</v>
      </c>
      <c r="O460" t="s">
        <v>88</v>
      </c>
      <c r="P460" t="s">
        <v>88</v>
      </c>
      <c r="Q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3</v>
      </c>
      <c r="AG460">
        <v>0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ROW(Source!A299)</f>
        <v>299</v>
      </c>
      <c r="B461">
        <v>56612343</v>
      </c>
      <c r="C461">
        <v>56612341</v>
      </c>
      <c r="D461">
        <v>47634407</v>
      </c>
      <c r="E461">
        <v>27786564</v>
      </c>
      <c r="F461">
        <v>1</v>
      </c>
      <c r="G461">
        <v>27786564</v>
      </c>
      <c r="H461">
        <v>1</v>
      </c>
      <c r="I461" t="s">
        <v>438</v>
      </c>
      <c r="J461" t="s">
        <v>3</v>
      </c>
      <c r="K461" t="s">
        <v>439</v>
      </c>
      <c r="L461">
        <v>1191</v>
      </c>
      <c r="N461">
        <v>1013</v>
      </c>
      <c r="O461" t="s">
        <v>440</v>
      </c>
      <c r="P461" t="s">
        <v>440</v>
      </c>
      <c r="Q461">
        <v>1</v>
      </c>
      <c r="X461">
        <v>14.4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 t="s">
        <v>22</v>
      </c>
      <c r="AG461">
        <v>15.840000000000002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ROW(Source!A299)</f>
        <v>299</v>
      </c>
      <c r="B462">
        <v>56612344</v>
      </c>
      <c r="C462">
        <v>56612341</v>
      </c>
      <c r="D462">
        <v>47766419</v>
      </c>
      <c r="E462">
        <v>1</v>
      </c>
      <c r="F462">
        <v>1</v>
      </c>
      <c r="G462">
        <v>27786564</v>
      </c>
      <c r="H462">
        <v>2</v>
      </c>
      <c r="I462" t="s">
        <v>601</v>
      </c>
      <c r="J462" t="s">
        <v>602</v>
      </c>
      <c r="K462" t="s">
        <v>603</v>
      </c>
      <c r="L462">
        <v>1368</v>
      </c>
      <c r="N462">
        <v>1011</v>
      </c>
      <c r="O462" t="s">
        <v>444</v>
      </c>
      <c r="P462" t="s">
        <v>444</v>
      </c>
      <c r="Q462">
        <v>1</v>
      </c>
      <c r="X462">
        <v>1.66</v>
      </c>
      <c r="Y462">
        <v>0</v>
      </c>
      <c r="Z462">
        <v>120.32</v>
      </c>
      <c r="AA462">
        <v>12.62</v>
      </c>
      <c r="AB462">
        <v>0</v>
      </c>
      <c r="AC462">
        <v>0</v>
      </c>
      <c r="AD462">
        <v>1</v>
      </c>
      <c r="AE462">
        <v>0</v>
      </c>
      <c r="AF462" t="s">
        <v>22</v>
      </c>
      <c r="AG462">
        <v>1.8260000000000001</v>
      </c>
      <c r="AH462">
        <v>3</v>
      </c>
      <c r="AI462">
        <v>-1</v>
      </c>
      <c r="AJ462" t="s">
        <v>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ROW(Source!A299)</f>
        <v>299</v>
      </c>
      <c r="B463">
        <v>56612345</v>
      </c>
      <c r="C463">
        <v>56612341</v>
      </c>
      <c r="D463">
        <v>47766660</v>
      </c>
      <c r="E463">
        <v>1</v>
      </c>
      <c r="F463">
        <v>1</v>
      </c>
      <c r="G463">
        <v>27786564</v>
      </c>
      <c r="H463">
        <v>2</v>
      </c>
      <c r="I463" t="s">
        <v>604</v>
      </c>
      <c r="J463" t="s">
        <v>605</v>
      </c>
      <c r="K463" t="s">
        <v>606</v>
      </c>
      <c r="L463">
        <v>1368</v>
      </c>
      <c r="N463">
        <v>1011</v>
      </c>
      <c r="O463" t="s">
        <v>444</v>
      </c>
      <c r="P463" t="s">
        <v>444</v>
      </c>
      <c r="Q463">
        <v>1</v>
      </c>
      <c r="X463">
        <v>1.66</v>
      </c>
      <c r="Y463">
        <v>0</v>
      </c>
      <c r="Z463">
        <v>281.32</v>
      </c>
      <c r="AA463">
        <v>16.93</v>
      </c>
      <c r="AB463">
        <v>0</v>
      </c>
      <c r="AC463">
        <v>0</v>
      </c>
      <c r="AD463">
        <v>1</v>
      </c>
      <c r="AE463">
        <v>0</v>
      </c>
      <c r="AF463" t="s">
        <v>22</v>
      </c>
      <c r="AG463">
        <v>1.8260000000000001</v>
      </c>
      <c r="AH463">
        <v>3</v>
      </c>
      <c r="AI463">
        <v>-1</v>
      </c>
      <c r="AJ463" t="s">
        <v>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ROW(Source!A299)</f>
        <v>299</v>
      </c>
      <c r="B464">
        <v>56612346</v>
      </c>
      <c r="C464">
        <v>56612341</v>
      </c>
      <c r="D464">
        <v>47766605</v>
      </c>
      <c r="E464">
        <v>1</v>
      </c>
      <c r="F464">
        <v>1</v>
      </c>
      <c r="G464">
        <v>27786564</v>
      </c>
      <c r="H464">
        <v>2</v>
      </c>
      <c r="I464" t="s">
        <v>607</v>
      </c>
      <c r="J464" t="s">
        <v>608</v>
      </c>
      <c r="K464" t="s">
        <v>609</v>
      </c>
      <c r="L464">
        <v>1368</v>
      </c>
      <c r="N464">
        <v>1011</v>
      </c>
      <c r="O464" t="s">
        <v>444</v>
      </c>
      <c r="P464" t="s">
        <v>444</v>
      </c>
      <c r="Q464">
        <v>1</v>
      </c>
      <c r="X464">
        <v>0.65</v>
      </c>
      <c r="Y464">
        <v>0</v>
      </c>
      <c r="Z464">
        <v>140.38</v>
      </c>
      <c r="AA464">
        <v>12.62</v>
      </c>
      <c r="AB464">
        <v>0</v>
      </c>
      <c r="AC464">
        <v>0</v>
      </c>
      <c r="AD464">
        <v>1</v>
      </c>
      <c r="AE464">
        <v>0</v>
      </c>
      <c r="AF464" t="s">
        <v>22</v>
      </c>
      <c r="AG464">
        <v>0.71500000000000008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ROW(Source!A299)</f>
        <v>299</v>
      </c>
      <c r="B465">
        <v>56612347</v>
      </c>
      <c r="C465">
        <v>56612341</v>
      </c>
      <c r="D465">
        <v>47766620</v>
      </c>
      <c r="E465">
        <v>1</v>
      </c>
      <c r="F465">
        <v>1</v>
      </c>
      <c r="G465">
        <v>27786564</v>
      </c>
      <c r="H465">
        <v>2</v>
      </c>
      <c r="I465" t="s">
        <v>595</v>
      </c>
      <c r="J465" t="s">
        <v>596</v>
      </c>
      <c r="K465" t="s">
        <v>597</v>
      </c>
      <c r="L465">
        <v>1368</v>
      </c>
      <c r="N465">
        <v>1011</v>
      </c>
      <c r="O465" t="s">
        <v>444</v>
      </c>
      <c r="P465" t="s">
        <v>444</v>
      </c>
      <c r="Q465">
        <v>1</v>
      </c>
      <c r="X465">
        <v>1.55</v>
      </c>
      <c r="Y465">
        <v>0</v>
      </c>
      <c r="Z465">
        <v>219.56</v>
      </c>
      <c r="AA465">
        <v>18.62</v>
      </c>
      <c r="AB465">
        <v>0</v>
      </c>
      <c r="AC465">
        <v>0</v>
      </c>
      <c r="AD465">
        <v>1</v>
      </c>
      <c r="AE465">
        <v>0</v>
      </c>
      <c r="AF465" t="s">
        <v>22</v>
      </c>
      <c r="AG465">
        <v>1.7050000000000003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ROW(Source!A299)</f>
        <v>299</v>
      </c>
      <c r="B466">
        <v>56612348</v>
      </c>
      <c r="C466">
        <v>56612341</v>
      </c>
      <c r="D466">
        <v>47766599</v>
      </c>
      <c r="E466">
        <v>1</v>
      </c>
      <c r="F466">
        <v>1</v>
      </c>
      <c r="G466">
        <v>27786564</v>
      </c>
      <c r="H466">
        <v>2</v>
      </c>
      <c r="I466" t="s">
        <v>610</v>
      </c>
      <c r="J466" t="s">
        <v>611</v>
      </c>
      <c r="K466" t="s">
        <v>612</v>
      </c>
      <c r="L466">
        <v>1368</v>
      </c>
      <c r="N466">
        <v>1011</v>
      </c>
      <c r="O466" t="s">
        <v>444</v>
      </c>
      <c r="P466" t="s">
        <v>444</v>
      </c>
      <c r="Q466">
        <v>1</v>
      </c>
      <c r="X466">
        <v>0.52</v>
      </c>
      <c r="Y466">
        <v>0</v>
      </c>
      <c r="Z466">
        <v>180.35</v>
      </c>
      <c r="AA466">
        <v>16.93</v>
      </c>
      <c r="AB466">
        <v>0</v>
      </c>
      <c r="AC466">
        <v>0</v>
      </c>
      <c r="AD466">
        <v>1</v>
      </c>
      <c r="AE466">
        <v>0</v>
      </c>
      <c r="AF466" t="s">
        <v>22</v>
      </c>
      <c r="AG466">
        <v>0.57200000000000006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ROW(Source!A299)</f>
        <v>299</v>
      </c>
      <c r="B467">
        <v>56612349</v>
      </c>
      <c r="C467">
        <v>56612341</v>
      </c>
      <c r="D467">
        <v>30390465</v>
      </c>
      <c r="E467">
        <v>1</v>
      </c>
      <c r="F467">
        <v>1</v>
      </c>
      <c r="G467">
        <v>27786564</v>
      </c>
      <c r="H467">
        <v>3</v>
      </c>
      <c r="I467" t="s">
        <v>584</v>
      </c>
      <c r="J467" t="s">
        <v>585</v>
      </c>
      <c r="K467" t="s">
        <v>586</v>
      </c>
      <c r="L467">
        <v>1339</v>
      </c>
      <c r="N467">
        <v>1007</v>
      </c>
      <c r="O467" t="s">
        <v>88</v>
      </c>
      <c r="P467" t="s">
        <v>88</v>
      </c>
      <c r="Q467">
        <v>1</v>
      </c>
      <c r="X467">
        <v>5</v>
      </c>
      <c r="Y467">
        <v>7.07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3</v>
      </c>
      <c r="AG467">
        <v>5</v>
      </c>
      <c r="AH467">
        <v>3</v>
      </c>
      <c r="AI467">
        <v>-1</v>
      </c>
      <c r="AJ467" t="s">
        <v>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ROW(Source!A299)</f>
        <v>299</v>
      </c>
      <c r="B468">
        <v>56612350</v>
      </c>
      <c r="C468">
        <v>56612341</v>
      </c>
      <c r="D468">
        <v>30384156</v>
      </c>
      <c r="E468">
        <v>27786564</v>
      </c>
      <c r="F468">
        <v>1</v>
      </c>
      <c r="G468">
        <v>27786564</v>
      </c>
      <c r="H468">
        <v>3</v>
      </c>
      <c r="I468" t="s">
        <v>613</v>
      </c>
      <c r="J468" t="s">
        <v>3</v>
      </c>
      <c r="K468" t="s">
        <v>614</v>
      </c>
      <c r="L468">
        <v>1339</v>
      </c>
      <c r="N468">
        <v>1007</v>
      </c>
      <c r="O468" t="s">
        <v>88</v>
      </c>
      <c r="P468" t="s">
        <v>88</v>
      </c>
      <c r="Q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3</v>
      </c>
      <c r="AG468">
        <v>0</v>
      </c>
      <c r="AH468">
        <v>3</v>
      </c>
      <c r="AI468">
        <v>-1</v>
      </c>
      <c r="AJ468" t="s">
        <v>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ROW(Source!A302)</f>
        <v>302</v>
      </c>
      <c r="B469">
        <v>56612354</v>
      </c>
      <c r="C469">
        <v>56612352</v>
      </c>
      <c r="D469">
        <v>47634407</v>
      </c>
      <c r="E469">
        <v>27786564</v>
      </c>
      <c r="F469">
        <v>1</v>
      </c>
      <c r="G469">
        <v>27786564</v>
      </c>
      <c r="H469">
        <v>1</v>
      </c>
      <c r="I469" t="s">
        <v>438</v>
      </c>
      <c r="J469" t="s">
        <v>3</v>
      </c>
      <c r="K469" t="s">
        <v>439</v>
      </c>
      <c r="L469">
        <v>1191</v>
      </c>
      <c r="N469">
        <v>1013</v>
      </c>
      <c r="O469" t="s">
        <v>440</v>
      </c>
      <c r="P469" t="s">
        <v>440</v>
      </c>
      <c r="Q469">
        <v>1</v>
      </c>
      <c r="X469">
        <v>24.3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22</v>
      </c>
      <c r="AG469">
        <v>26.730000000000004</v>
      </c>
      <c r="AH469">
        <v>3</v>
      </c>
      <c r="AI469">
        <v>-1</v>
      </c>
      <c r="AJ469" t="s">
        <v>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ROW(Source!A302)</f>
        <v>302</v>
      </c>
      <c r="B470">
        <v>56612355</v>
      </c>
      <c r="C470">
        <v>56612352</v>
      </c>
      <c r="D470">
        <v>47766605</v>
      </c>
      <c r="E470">
        <v>1</v>
      </c>
      <c r="F470">
        <v>1</v>
      </c>
      <c r="G470">
        <v>27786564</v>
      </c>
      <c r="H470">
        <v>2</v>
      </c>
      <c r="I470" t="s">
        <v>607</v>
      </c>
      <c r="J470" t="s">
        <v>608</v>
      </c>
      <c r="K470" t="s">
        <v>609</v>
      </c>
      <c r="L470">
        <v>1368</v>
      </c>
      <c r="N470">
        <v>1011</v>
      </c>
      <c r="O470" t="s">
        <v>444</v>
      </c>
      <c r="P470" t="s">
        <v>444</v>
      </c>
      <c r="Q470">
        <v>1</v>
      </c>
      <c r="X470">
        <v>0.47</v>
      </c>
      <c r="Y470">
        <v>0</v>
      </c>
      <c r="Z470">
        <v>140.38</v>
      </c>
      <c r="AA470">
        <v>12.62</v>
      </c>
      <c r="AB470">
        <v>0</v>
      </c>
      <c r="AC470">
        <v>0</v>
      </c>
      <c r="AD470">
        <v>1</v>
      </c>
      <c r="AE470">
        <v>0</v>
      </c>
      <c r="AF470" t="s">
        <v>22</v>
      </c>
      <c r="AG470">
        <v>0.51700000000000002</v>
      </c>
      <c r="AH470">
        <v>3</v>
      </c>
      <c r="AI470">
        <v>-1</v>
      </c>
      <c r="AJ470" t="s">
        <v>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ROW(Source!A302)</f>
        <v>302</v>
      </c>
      <c r="B471">
        <v>56612356</v>
      </c>
      <c r="C471">
        <v>56612352</v>
      </c>
      <c r="D471">
        <v>47766595</v>
      </c>
      <c r="E471">
        <v>1</v>
      </c>
      <c r="F471">
        <v>1</v>
      </c>
      <c r="G471">
        <v>27786564</v>
      </c>
      <c r="H471">
        <v>2</v>
      </c>
      <c r="I471" t="s">
        <v>641</v>
      </c>
      <c r="J471" t="s">
        <v>642</v>
      </c>
      <c r="K471" t="s">
        <v>643</v>
      </c>
      <c r="L471">
        <v>1368</v>
      </c>
      <c r="N471">
        <v>1011</v>
      </c>
      <c r="O471" t="s">
        <v>444</v>
      </c>
      <c r="P471" t="s">
        <v>444</v>
      </c>
      <c r="Q471">
        <v>1</v>
      </c>
      <c r="X471">
        <v>1.3</v>
      </c>
      <c r="Y471">
        <v>0</v>
      </c>
      <c r="Z471">
        <v>163.81</v>
      </c>
      <c r="AA471">
        <v>14.54</v>
      </c>
      <c r="AB471">
        <v>0</v>
      </c>
      <c r="AC471">
        <v>0</v>
      </c>
      <c r="AD471">
        <v>1</v>
      </c>
      <c r="AE471">
        <v>0</v>
      </c>
      <c r="AF471" t="s">
        <v>22</v>
      </c>
      <c r="AG471">
        <v>1.4300000000000002</v>
      </c>
      <c r="AH471">
        <v>3</v>
      </c>
      <c r="AI471">
        <v>-1</v>
      </c>
      <c r="AJ471" t="s">
        <v>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ROW(Source!A302)</f>
        <v>302</v>
      </c>
      <c r="B472">
        <v>56612357</v>
      </c>
      <c r="C472">
        <v>56612352</v>
      </c>
      <c r="D472">
        <v>30390465</v>
      </c>
      <c r="E472">
        <v>1</v>
      </c>
      <c r="F472">
        <v>1</v>
      </c>
      <c r="G472">
        <v>27786564</v>
      </c>
      <c r="H472">
        <v>3</v>
      </c>
      <c r="I472" t="s">
        <v>584</v>
      </c>
      <c r="J472" t="s">
        <v>585</v>
      </c>
      <c r="K472" t="s">
        <v>586</v>
      </c>
      <c r="L472">
        <v>1339</v>
      </c>
      <c r="N472">
        <v>1007</v>
      </c>
      <c r="O472" t="s">
        <v>88</v>
      </c>
      <c r="P472" t="s">
        <v>88</v>
      </c>
      <c r="Q472">
        <v>1</v>
      </c>
      <c r="X472">
        <v>2</v>
      </c>
      <c r="Y472">
        <v>7.07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</v>
      </c>
      <c r="AG472">
        <v>2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ROW(Source!A302)</f>
        <v>302</v>
      </c>
      <c r="B473">
        <v>56612358</v>
      </c>
      <c r="C473">
        <v>56612352</v>
      </c>
      <c r="D473">
        <v>30384194</v>
      </c>
      <c r="E473">
        <v>27786564</v>
      </c>
      <c r="F473">
        <v>1</v>
      </c>
      <c r="G473">
        <v>27786564</v>
      </c>
      <c r="H473">
        <v>3</v>
      </c>
      <c r="I473" t="s">
        <v>655</v>
      </c>
      <c r="J473" t="s">
        <v>3</v>
      </c>
      <c r="K473" t="s">
        <v>656</v>
      </c>
      <c r="L473">
        <v>1339</v>
      </c>
      <c r="N473">
        <v>1007</v>
      </c>
      <c r="O473" t="s">
        <v>88</v>
      </c>
      <c r="P473" t="s">
        <v>88</v>
      </c>
      <c r="Q473">
        <v>1</v>
      </c>
      <c r="X473">
        <v>17.399999999999999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</v>
      </c>
      <c r="AG473">
        <v>17.399999999999999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ROW(Source!A303)</f>
        <v>303</v>
      </c>
      <c r="B474">
        <v>56612354</v>
      </c>
      <c r="C474">
        <v>56612352</v>
      </c>
      <c r="D474">
        <v>47634407</v>
      </c>
      <c r="E474">
        <v>27786564</v>
      </c>
      <c r="F474">
        <v>1</v>
      </c>
      <c r="G474">
        <v>27786564</v>
      </c>
      <c r="H474">
        <v>1</v>
      </c>
      <c r="I474" t="s">
        <v>438</v>
      </c>
      <c r="J474" t="s">
        <v>3</v>
      </c>
      <c r="K474" t="s">
        <v>439</v>
      </c>
      <c r="L474">
        <v>1191</v>
      </c>
      <c r="N474">
        <v>1013</v>
      </c>
      <c r="O474" t="s">
        <v>440</v>
      </c>
      <c r="P474" t="s">
        <v>440</v>
      </c>
      <c r="Q474">
        <v>1</v>
      </c>
      <c r="X474">
        <v>24.3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1</v>
      </c>
      <c r="AF474" t="s">
        <v>22</v>
      </c>
      <c r="AG474">
        <v>26.730000000000004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ROW(Source!A303)</f>
        <v>303</v>
      </c>
      <c r="B475">
        <v>56612355</v>
      </c>
      <c r="C475">
        <v>56612352</v>
      </c>
      <c r="D475">
        <v>47766605</v>
      </c>
      <c r="E475">
        <v>1</v>
      </c>
      <c r="F475">
        <v>1</v>
      </c>
      <c r="G475">
        <v>27786564</v>
      </c>
      <c r="H475">
        <v>2</v>
      </c>
      <c r="I475" t="s">
        <v>607</v>
      </c>
      <c r="J475" t="s">
        <v>608</v>
      </c>
      <c r="K475" t="s">
        <v>609</v>
      </c>
      <c r="L475">
        <v>1368</v>
      </c>
      <c r="N475">
        <v>1011</v>
      </c>
      <c r="O475" t="s">
        <v>444</v>
      </c>
      <c r="P475" t="s">
        <v>444</v>
      </c>
      <c r="Q475">
        <v>1</v>
      </c>
      <c r="X475">
        <v>0.47</v>
      </c>
      <c r="Y475">
        <v>0</v>
      </c>
      <c r="Z475">
        <v>140.38</v>
      </c>
      <c r="AA475">
        <v>12.62</v>
      </c>
      <c r="AB475">
        <v>0</v>
      </c>
      <c r="AC475">
        <v>0</v>
      </c>
      <c r="AD475">
        <v>1</v>
      </c>
      <c r="AE475">
        <v>0</v>
      </c>
      <c r="AF475" t="s">
        <v>22</v>
      </c>
      <c r="AG475">
        <v>0.51700000000000002</v>
      </c>
      <c r="AH475">
        <v>3</v>
      </c>
      <c r="AI475">
        <v>-1</v>
      </c>
      <c r="AJ475" t="s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ROW(Source!A303)</f>
        <v>303</v>
      </c>
      <c r="B476">
        <v>56612356</v>
      </c>
      <c r="C476">
        <v>56612352</v>
      </c>
      <c r="D476">
        <v>47766595</v>
      </c>
      <c r="E476">
        <v>1</v>
      </c>
      <c r="F476">
        <v>1</v>
      </c>
      <c r="G476">
        <v>27786564</v>
      </c>
      <c r="H476">
        <v>2</v>
      </c>
      <c r="I476" t="s">
        <v>641</v>
      </c>
      <c r="J476" t="s">
        <v>642</v>
      </c>
      <c r="K476" t="s">
        <v>643</v>
      </c>
      <c r="L476">
        <v>1368</v>
      </c>
      <c r="N476">
        <v>1011</v>
      </c>
      <c r="O476" t="s">
        <v>444</v>
      </c>
      <c r="P476" t="s">
        <v>444</v>
      </c>
      <c r="Q476">
        <v>1</v>
      </c>
      <c r="X476">
        <v>1.3</v>
      </c>
      <c r="Y476">
        <v>0</v>
      </c>
      <c r="Z476">
        <v>163.81</v>
      </c>
      <c r="AA476">
        <v>14.54</v>
      </c>
      <c r="AB476">
        <v>0</v>
      </c>
      <c r="AC476">
        <v>0</v>
      </c>
      <c r="AD476">
        <v>1</v>
      </c>
      <c r="AE476">
        <v>0</v>
      </c>
      <c r="AF476" t="s">
        <v>22</v>
      </c>
      <c r="AG476">
        <v>1.4300000000000002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ROW(Source!A303)</f>
        <v>303</v>
      </c>
      <c r="B477">
        <v>56612357</v>
      </c>
      <c r="C477">
        <v>56612352</v>
      </c>
      <c r="D477">
        <v>30390465</v>
      </c>
      <c r="E477">
        <v>1</v>
      </c>
      <c r="F477">
        <v>1</v>
      </c>
      <c r="G477">
        <v>27786564</v>
      </c>
      <c r="H477">
        <v>3</v>
      </c>
      <c r="I477" t="s">
        <v>584</v>
      </c>
      <c r="J477" t="s">
        <v>585</v>
      </c>
      <c r="K477" t="s">
        <v>586</v>
      </c>
      <c r="L477">
        <v>1339</v>
      </c>
      <c r="N477">
        <v>1007</v>
      </c>
      <c r="O477" t="s">
        <v>88</v>
      </c>
      <c r="P477" t="s">
        <v>88</v>
      </c>
      <c r="Q477">
        <v>1</v>
      </c>
      <c r="X477">
        <v>2</v>
      </c>
      <c r="Y477">
        <v>7.07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3</v>
      </c>
      <c r="AG477">
        <v>2</v>
      </c>
      <c r="AH477">
        <v>3</v>
      </c>
      <c r="AI477">
        <v>-1</v>
      </c>
      <c r="AJ477" t="s">
        <v>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ROW(Source!A303)</f>
        <v>303</v>
      </c>
      <c r="B478">
        <v>56612358</v>
      </c>
      <c r="C478">
        <v>56612352</v>
      </c>
      <c r="D478">
        <v>30384194</v>
      </c>
      <c r="E478">
        <v>27786564</v>
      </c>
      <c r="F478">
        <v>1</v>
      </c>
      <c r="G478">
        <v>27786564</v>
      </c>
      <c r="H478">
        <v>3</v>
      </c>
      <c r="I478" t="s">
        <v>655</v>
      </c>
      <c r="J478" t="s">
        <v>3</v>
      </c>
      <c r="K478" t="s">
        <v>656</v>
      </c>
      <c r="L478">
        <v>1339</v>
      </c>
      <c r="N478">
        <v>1007</v>
      </c>
      <c r="O478" t="s">
        <v>88</v>
      </c>
      <c r="P478" t="s">
        <v>88</v>
      </c>
      <c r="Q478">
        <v>1</v>
      </c>
      <c r="X478">
        <v>17.399999999999999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3</v>
      </c>
      <c r="AG478">
        <v>17.399999999999999</v>
      </c>
      <c r="AH478">
        <v>3</v>
      </c>
      <c r="AI478">
        <v>-1</v>
      </c>
      <c r="AJ478" t="s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ROW(Source!A306)</f>
        <v>306</v>
      </c>
      <c r="B479">
        <v>56612362</v>
      </c>
      <c r="C479">
        <v>56612360</v>
      </c>
      <c r="D479">
        <v>47634407</v>
      </c>
      <c r="E479">
        <v>27786564</v>
      </c>
      <c r="F479">
        <v>1</v>
      </c>
      <c r="G479">
        <v>27786564</v>
      </c>
      <c r="H479">
        <v>1</v>
      </c>
      <c r="I479" t="s">
        <v>438</v>
      </c>
      <c r="J479" t="s">
        <v>3</v>
      </c>
      <c r="K479" t="s">
        <v>439</v>
      </c>
      <c r="L479">
        <v>1191</v>
      </c>
      <c r="N479">
        <v>1013</v>
      </c>
      <c r="O479" t="s">
        <v>440</v>
      </c>
      <c r="P479" t="s">
        <v>440</v>
      </c>
      <c r="Q479">
        <v>1</v>
      </c>
      <c r="X479">
        <v>8.9600000000000009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1</v>
      </c>
      <c r="AF479" t="s">
        <v>22</v>
      </c>
      <c r="AG479">
        <v>9.8560000000000016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ROW(Source!A306)</f>
        <v>306</v>
      </c>
      <c r="B480">
        <v>56612363</v>
      </c>
      <c r="C480">
        <v>56612360</v>
      </c>
      <c r="D480">
        <v>47766595</v>
      </c>
      <c r="E480">
        <v>1</v>
      </c>
      <c r="F480">
        <v>1</v>
      </c>
      <c r="G480">
        <v>27786564</v>
      </c>
      <c r="H480">
        <v>2</v>
      </c>
      <c r="I480" t="s">
        <v>641</v>
      </c>
      <c r="J480" t="s">
        <v>642</v>
      </c>
      <c r="K480" t="s">
        <v>643</v>
      </c>
      <c r="L480">
        <v>1368</v>
      </c>
      <c r="N480">
        <v>1011</v>
      </c>
      <c r="O480" t="s">
        <v>444</v>
      </c>
      <c r="P480" t="s">
        <v>444</v>
      </c>
      <c r="Q480">
        <v>1</v>
      </c>
      <c r="X480">
        <v>0.71</v>
      </c>
      <c r="Y480">
        <v>0</v>
      </c>
      <c r="Z480">
        <v>163.81</v>
      </c>
      <c r="AA480">
        <v>14.54</v>
      </c>
      <c r="AB480">
        <v>0</v>
      </c>
      <c r="AC480">
        <v>0</v>
      </c>
      <c r="AD480">
        <v>1</v>
      </c>
      <c r="AE480">
        <v>0</v>
      </c>
      <c r="AF480" t="s">
        <v>22</v>
      </c>
      <c r="AG480">
        <v>0.78100000000000003</v>
      </c>
      <c r="AH480">
        <v>3</v>
      </c>
      <c r="AI480">
        <v>-1</v>
      </c>
      <c r="AJ480" t="s">
        <v>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ROW(Source!A306)</f>
        <v>306</v>
      </c>
      <c r="B481">
        <v>56612364</v>
      </c>
      <c r="C481">
        <v>56612360</v>
      </c>
      <c r="D481">
        <v>46723279</v>
      </c>
      <c r="E481">
        <v>1</v>
      </c>
      <c r="F481">
        <v>1</v>
      </c>
      <c r="G481">
        <v>27786564</v>
      </c>
      <c r="H481">
        <v>3</v>
      </c>
      <c r="I481" t="s">
        <v>657</v>
      </c>
      <c r="J481" t="s">
        <v>658</v>
      </c>
      <c r="K481" t="s">
        <v>659</v>
      </c>
      <c r="L481">
        <v>1348</v>
      </c>
      <c r="N481">
        <v>1009</v>
      </c>
      <c r="O481" t="s">
        <v>330</v>
      </c>
      <c r="P481" t="s">
        <v>330</v>
      </c>
      <c r="Q481">
        <v>1000</v>
      </c>
      <c r="X481">
        <v>0.06</v>
      </c>
      <c r="Y481">
        <v>3501.78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</v>
      </c>
      <c r="AG481">
        <v>0.06</v>
      </c>
      <c r="AH481">
        <v>3</v>
      </c>
      <c r="AI481">
        <v>-1</v>
      </c>
      <c r="AJ481" t="s">
        <v>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ROW(Source!A306)</f>
        <v>306</v>
      </c>
      <c r="B482">
        <v>56612365</v>
      </c>
      <c r="C482">
        <v>56612360</v>
      </c>
      <c r="D482">
        <v>30384722</v>
      </c>
      <c r="E482">
        <v>27786564</v>
      </c>
      <c r="F482">
        <v>1</v>
      </c>
      <c r="G482">
        <v>27786564</v>
      </c>
      <c r="H482">
        <v>3</v>
      </c>
      <c r="I482" t="s">
        <v>653</v>
      </c>
      <c r="J482" t="s">
        <v>3</v>
      </c>
      <c r="K482" t="s">
        <v>654</v>
      </c>
      <c r="L482">
        <v>1348</v>
      </c>
      <c r="N482">
        <v>1009</v>
      </c>
      <c r="O482" t="s">
        <v>330</v>
      </c>
      <c r="P482" t="s">
        <v>330</v>
      </c>
      <c r="Q482">
        <v>1000</v>
      </c>
      <c r="X482">
        <v>10.7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3</v>
      </c>
      <c r="AG482">
        <v>10.7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ROW(Source!A307)</f>
        <v>307</v>
      </c>
      <c r="B483">
        <v>56612362</v>
      </c>
      <c r="C483">
        <v>56612360</v>
      </c>
      <c r="D483">
        <v>47634407</v>
      </c>
      <c r="E483">
        <v>27786564</v>
      </c>
      <c r="F483">
        <v>1</v>
      </c>
      <c r="G483">
        <v>27786564</v>
      </c>
      <c r="H483">
        <v>1</v>
      </c>
      <c r="I483" t="s">
        <v>438</v>
      </c>
      <c r="J483" t="s">
        <v>3</v>
      </c>
      <c r="K483" t="s">
        <v>439</v>
      </c>
      <c r="L483">
        <v>1191</v>
      </c>
      <c r="N483">
        <v>1013</v>
      </c>
      <c r="O483" t="s">
        <v>440</v>
      </c>
      <c r="P483" t="s">
        <v>440</v>
      </c>
      <c r="Q483">
        <v>1</v>
      </c>
      <c r="X483">
        <v>8.9600000000000009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 t="s">
        <v>22</v>
      </c>
      <c r="AG483">
        <v>9.8560000000000016</v>
      </c>
      <c r="AH483">
        <v>3</v>
      </c>
      <c r="AI483">
        <v>-1</v>
      </c>
      <c r="AJ483" t="s">
        <v>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ROW(Source!A307)</f>
        <v>307</v>
      </c>
      <c r="B484">
        <v>56612363</v>
      </c>
      <c r="C484">
        <v>56612360</v>
      </c>
      <c r="D484">
        <v>47766595</v>
      </c>
      <c r="E484">
        <v>1</v>
      </c>
      <c r="F484">
        <v>1</v>
      </c>
      <c r="G484">
        <v>27786564</v>
      </c>
      <c r="H484">
        <v>2</v>
      </c>
      <c r="I484" t="s">
        <v>641</v>
      </c>
      <c r="J484" t="s">
        <v>642</v>
      </c>
      <c r="K484" t="s">
        <v>643</v>
      </c>
      <c r="L484">
        <v>1368</v>
      </c>
      <c r="N484">
        <v>1011</v>
      </c>
      <c r="O484" t="s">
        <v>444</v>
      </c>
      <c r="P484" t="s">
        <v>444</v>
      </c>
      <c r="Q484">
        <v>1</v>
      </c>
      <c r="X484">
        <v>0.71</v>
      </c>
      <c r="Y484">
        <v>0</v>
      </c>
      <c r="Z484">
        <v>163.81</v>
      </c>
      <c r="AA484">
        <v>14.54</v>
      </c>
      <c r="AB484">
        <v>0</v>
      </c>
      <c r="AC484">
        <v>0</v>
      </c>
      <c r="AD484">
        <v>1</v>
      </c>
      <c r="AE484">
        <v>0</v>
      </c>
      <c r="AF484" t="s">
        <v>22</v>
      </c>
      <c r="AG484">
        <v>0.78100000000000003</v>
      </c>
      <c r="AH484">
        <v>3</v>
      </c>
      <c r="AI484">
        <v>-1</v>
      </c>
      <c r="AJ484" t="s">
        <v>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ROW(Source!A307)</f>
        <v>307</v>
      </c>
      <c r="B485">
        <v>56612364</v>
      </c>
      <c r="C485">
        <v>56612360</v>
      </c>
      <c r="D485">
        <v>46723279</v>
      </c>
      <c r="E485">
        <v>1</v>
      </c>
      <c r="F485">
        <v>1</v>
      </c>
      <c r="G485">
        <v>27786564</v>
      </c>
      <c r="H485">
        <v>3</v>
      </c>
      <c r="I485" t="s">
        <v>657</v>
      </c>
      <c r="J485" t="s">
        <v>658</v>
      </c>
      <c r="K485" t="s">
        <v>659</v>
      </c>
      <c r="L485">
        <v>1348</v>
      </c>
      <c r="N485">
        <v>1009</v>
      </c>
      <c r="O485" t="s">
        <v>330</v>
      </c>
      <c r="P485" t="s">
        <v>330</v>
      </c>
      <c r="Q485">
        <v>1000</v>
      </c>
      <c r="X485">
        <v>0.06</v>
      </c>
      <c r="Y485">
        <v>3501.78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3</v>
      </c>
      <c r="AG485">
        <v>0.06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ROW(Source!A307)</f>
        <v>307</v>
      </c>
      <c r="B486">
        <v>56612365</v>
      </c>
      <c r="C486">
        <v>56612360</v>
      </c>
      <c r="D486">
        <v>30384722</v>
      </c>
      <c r="E486">
        <v>27786564</v>
      </c>
      <c r="F486">
        <v>1</v>
      </c>
      <c r="G486">
        <v>27786564</v>
      </c>
      <c r="H486">
        <v>3</v>
      </c>
      <c r="I486" t="s">
        <v>653</v>
      </c>
      <c r="J486" t="s">
        <v>3</v>
      </c>
      <c r="K486" t="s">
        <v>654</v>
      </c>
      <c r="L486">
        <v>1348</v>
      </c>
      <c r="N486">
        <v>1009</v>
      </c>
      <c r="O486" t="s">
        <v>330</v>
      </c>
      <c r="P486" t="s">
        <v>330</v>
      </c>
      <c r="Q486">
        <v>1000</v>
      </c>
      <c r="X486">
        <v>10.7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</v>
      </c>
      <c r="AG486">
        <v>10.7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ROW(Source!A310)</f>
        <v>310</v>
      </c>
      <c r="B487">
        <v>56612369</v>
      </c>
      <c r="C487">
        <v>56612367</v>
      </c>
      <c r="D487">
        <v>47634407</v>
      </c>
      <c r="E487">
        <v>27786564</v>
      </c>
      <c r="F487">
        <v>1</v>
      </c>
      <c r="G487">
        <v>27786564</v>
      </c>
      <c r="H487">
        <v>1</v>
      </c>
      <c r="I487" t="s">
        <v>438</v>
      </c>
      <c r="J487" t="s">
        <v>3</v>
      </c>
      <c r="K487" t="s">
        <v>439</v>
      </c>
      <c r="L487">
        <v>1191</v>
      </c>
      <c r="N487">
        <v>1013</v>
      </c>
      <c r="O487" t="s">
        <v>440</v>
      </c>
      <c r="P487" t="s">
        <v>440</v>
      </c>
      <c r="Q487">
        <v>1</v>
      </c>
      <c r="X487">
        <v>8.9600000000000009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22</v>
      </c>
      <c r="AG487">
        <v>9.8560000000000016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ROW(Source!A310)</f>
        <v>310</v>
      </c>
      <c r="B488">
        <v>56612370</v>
      </c>
      <c r="C488">
        <v>56612367</v>
      </c>
      <c r="D488">
        <v>47766595</v>
      </c>
      <c r="E488">
        <v>1</v>
      </c>
      <c r="F488">
        <v>1</v>
      </c>
      <c r="G488">
        <v>27786564</v>
      </c>
      <c r="H488">
        <v>2</v>
      </c>
      <c r="I488" t="s">
        <v>641</v>
      </c>
      <c r="J488" t="s">
        <v>642</v>
      </c>
      <c r="K488" t="s">
        <v>643</v>
      </c>
      <c r="L488">
        <v>1368</v>
      </c>
      <c r="N488">
        <v>1011</v>
      </c>
      <c r="O488" t="s">
        <v>444</v>
      </c>
      <c r="P488" t="s">
        <v>444</v>
      </c>
      <c r="Q488">
        <v>1</v>
      </c>
      <c r="X488">
        <v>0.71</v>
      </c>
      <c r="Y488">
        <v>0</v>
      </c>
      <c r="Z488">
        <v>163.81</v>
      </c>
      <c r="AA488">
        <v>14.54</v>
      </c>
      <c r="AB488">
        <v>0</v>
      </c>
      <c r="AC488">
        <v>0</v>
      </c>
      <c r="AD488">
        <v>1</v>
      </c>
      <c r="AE488">
        <v>0</v>
      </c>
      <c r="AF488" t="s">
        <v>22</v>
      </c>
      <c r="AG488">
        <v>0.78100000000000003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ROW(Source!A310)</f>
        <v>310</v>
      </c>
      <c r="B489">
        <v>56612371</v>
      </c>
      <c r="C489">
        <v>56612367</v>
      </c>
      <c r="D489">
        <v>46723279</v>
      </c>
      <c r="E489">
        <v>1</v>
      </c>
      <c r="F489">
        <v>1</v>
      </c>
      <c r="G489">
        <v>27786564</v>
      </c>
      <c r="H489">
        <v>3</v>
      </c>
      <c r="I489" t="s">
        <v>657</v>
      </c>
      <c r="J489" t="s">
        <v>658</v>
      </c>
      <c r="K489" t="s">
        <v>659</v>
      </c>
      <c r="L489">
        <v>1348</v>
      </c>
      <c r="N489">
        <v>1009</v>
      </c>
      <c r="O489" t="s">
        <v>330</v>
      </c>
      <c r="P489" t="s">
        <v>330</v>
      </c>
      <c r="Q489">
        <v>1000</v>
      </c>
      <c r="X489">
        <v>0.06</v>
      </c>
      <c r="Y489">
        <v>3501.78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3</v>
      </c>
      <c r="AG489">
        <v>0.06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ROW(Source!A310)</f>
        <v>310</v>
      </c>
      <c r="B490">
        <v>56612372</v>
      </c>
      <c r="C490">
        <v>56612367</v>
      </c>
      <c r="D490">
        <v>30384722</v>
      </c>
      <c r="E490">
        <v>27786564</v>
      </c>
      <c r="F490">
        <v>1</v>
      </c>
      <c r="G490">
        <v>27786564</v>
      </c>
      <c r="H490">
        <v>3</v>
      </c>
      <c r="I490" t="s">
        <v>653</v>
      </c>
      <c r="J490" t="s">
        <v>3</v>
      </c>
      <c r="K490" t="s">
        <v>654</v>
      </c>
      <c r="L490">
        <v>1348</v>
      </c>
      <c r="N490">
        <v>1009</v>
      </c>
      <c r="O490" t="s">
        <v>330</v>
      </c>
      <c r="P490" t="s">
        <v>330</v>
      </c>
      <c r="Q490">
        <v>1000</v>
      </c>
      <c r="X490">
        <v>7.14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3</v>
      </c>
      <c r="AG490">
        <v>7.14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ROW(Source!A311)</f>
        <v>311</v>
      </c>
      <c r="B491">
        <v>56612369</v>
      </c>
      <c r="C491">
        <v>56612367</v>
      </c>
      <c r="D491">
        <v>47634407</v>
      </c>
      <c r="E491">
        <v>27786564</v>
      </c>
      <c r="F491">
        <v>1</v>
      </c>
      <c r="G491">
        <v>27786564</v>
      </c>
      <c r="H491">
        <v>1</v>
      </c>
      <c r="I491" t="s">
        <v>438</v>
      </c>
      <c r="J491" t="s">
        <v>3</v>
      </c>
      <c r="K491" t="s">
        <v>439</v>
      </c>
      <c r="L491">
        <v>1191</v>
      </c>
      <c r="N491">
        <v>1013</v>
      </c>
      <c r="O491" t="s">
        <v>440</v>
      </c>
      <c r="P491" t="s">
        <v>440</v>
      </c>
      <c r="Q491">
        <v>1</v>
      </c>
      <c r="X491">
        <v>8.9600000000000009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22</v>
      </c>
      <c r="AG491">
        <v>9.8560000000000016</v>
      </c>
      <c r="AH491">
        <v>3</v>
      </c>
      <c r="AI491">
        <v>-1</v>
      </c>
      <c r="AJ491" t="s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ROW(Source!A311)</f>
        <v>311</v>
      </c>
      <c r="B492">
        <v>56612370</v>
      </c>
      <c r="C492">
        <v>56612367</v>
      </c>
      <c r="D492">
        <v>47766595</v>
      </c>
      <c r="E492">
        <v>1</v>
      </c>
      <c r="F492">
        <v>1</v>
      </c>
      <c r="G492">
        <v>27786564</v>
      </c>
      <c r="H492">
        <v>2</v>
      </c>
      <c r="I492" t="s">
        <v>641</v>
      </c>
      <c r="J492" t="s">
        <v>642</v>
      </c>
      <c r="K492" t="s">
        <v>643</v>
      </c>
      <c r="L492">
        <v>1368</v>
      </c>
      <c r="N492">
        <v>1011</v>
      </c>
      <c r="O492" t="s">
        <v>444</v>
      </c>
      <c r="P492" t="s">
        <v>444</v>
      </c>
      <c r="Q492">
        <v>1</v>
      </c>
      <c r="X492">
        <v>0.71</v>
      </c>
      <c r="Y492">
        <v>0</v>
      </c>
      <c r="Z492">
        <v>163.81</v>
      </c>
      <c r="AA492">
        <v>14.54</v>
      </c>
      <c r="AB492">
        <v>0</v>
      </c>
      <c r="AC492">
        <v>0</v>
      </c>
      <c r="AD492">
        <v>1</v>
      </c>
      <c r="AE492">
        <v>0</v>
      </c>
      <c r="AF492" t="s">
        <v>22</v>
      </c>
      <c r="AG492">
        <v>0.78100000000000003</v>
      </c>
      <c r="AH492">
        <v>3</v>
      </c>
      <c r="AI492">
        <v>-1</v>
      </c>
      <c r="AJ492" t="s">
        <v>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ROW(Source!A311)</f>
        <v>311</v>
      </c>
      <c r="B493">
        <v>56612371</v>
      </c>
      <c r="C493">
        <v>56612367</v>
      </c>
      <c r="D493">
        <v>46723279</v>
      </c>
      <c r="E493">
        <v>1</v>
      </c>
      <c r="F493">
        <v>1</v>
      </c>
      <c r="G493">
        <v>27786564</v>
      </c>
      <c r="H493">
        <v>3</v>
      </c>
      <c r="I493" t="s">
        <v>657</v>
      </c>
      <c r="J493" t="s">
        <v>658</v>
      </c>
      <c r="K493" t="s">
        <v>659</v>
      </c>
      <c r="L493">
        <v>1348</v>
      </c>
      <c r="N493">
        <v>1009</v>
      </c>
      <c r="O493" t="s">
        <v>330</v>
      </c>
      <c r="P493" t="s">
        <v>330</v>
      </c>
      <c r="Q493">
        <v>1000</v>
      </c>
      <c r="X493">
        <v>0.06</v>
      </c>
      <c r="Y493">
        <v>3501.78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</v>
      </c>
      <c r="AG493">
        <v>0.06</v>
      </c>
      <c r="AH493">
        <v>3</v>
      </c>
      <c r="AI493">
        <v>-1</v>
      </c>
      <c r="AJ493" t="s">
        <v>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ROW(Source!A311)</f>
        <v>311</v>
      </c>
      <c r="B494">
        <v>56612372</v>
      </c>
      <c r="C494">
        <v>56612367</v>
      </c>
      <c r="D494">
        <v>30384722</v>
      </c>
      <c r="E494">
        <v>27786564</v>
      </c>
      <c r="F494">
        <v>1</v>
      </c>
      <c r="G494">
        <v>27786564</v>
      </c>
      <c r="H494">
        <v>3</v>
      </c>
      <c r="I494" t="s">
        <v>653</v>
      </c>
      <c r="J494" t="s">
        <v>3</v>
      </c>
      <c r="K494" t="s">
        <v>654</v>
      </c>
      <c r="L494">
        <v>1348</v>
      </c>
      <c r="N494">
        <v>1009</v>
      </c>
      <c r="O494" t="s">
        <v>330</v>
      </c>
      <c r="P494" t="s">
        <v>330</v>
      </c>
      <c r="Q494">
        <v>1000</v>
      </c>
      <c r="X494">
        <v>7.14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3</v>
      </c>
      <c r="AG494">
        <v>7.14</v>
      </c>
      <c r="AH494">
        <v>3</v>
      </c>
      <c r="AI494">
        <v>-1</v>
      </c>
      <c r="AJ494" t="s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ROW(Source!A314)</f>
        <v>314</v>
      </c>
      <c r="B495">
        <v>56612376</v>
      </c>
      <c r="C495">
        <v>56612374</v>
      </c>
      <c r="D495">
        <v>47634407</v>
      </c>
      <c r="E495">
        <v>27786564</v>
      </c>
      <c r="F495">
        <v>1</v>
      </c>
      <c r="G495">
        <v>27786564</v>
      </c>
      <c r="H495">
        <v>1</v>
      </c>
      <c r="I495" t="s">
        <v>438</v>
      </c>
      <c r="J495" t="s">
        <v>3</v>
      </c>
      <c r="K495" t="s">
        <v>439</v>
      </c>
      <c r="L495">
        <v>1191</v>
      </c>
      <c r="N495">
        <v>1013</v>
      </c>
      <c r="O495" t="s">
        <v>440</v>
      </c>
      <c r="P495" t="s">
        <v>440</v>
      </c>
      <c r="Q495">
        <v>1</v>
      </c>
      <c r="X495">
        <v>76.7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1</v>
      </c>
      <c r="AF495" t="s">
        <v>22</v>
      </c>
      <c r="AG495">
        <v>84.37</v>
      </c>
      <c r="AH495">
        <v>2</v>
      </c>
      <c r="AI495">
        <v>56612375</v>
      </c>
      <c r="AJ495">
        <v>197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ROW(Source!A315)</f>
        <v>315</v>
      </c>
      <c r="B496">
        <v>56612376</v>
      </c>
      <c r="C496">
        <v>56612374</v>
      </c>
      <c r="D496">
        <v>47634407</v>
      </c>
      <c r="E496">
        <v>27786564</v>
      </c>
      <c r="F496">
        <v>1</v>
      </c>
      <c r="G496">
        <v>27786564</v>
      </c>
      <c r="H496">
        <v>1</v>
      </c>
      <c r="I496" t="s">
        <v>438</v>
      </c>
      <c r="J496" t="s">
        <v>3</v>
      </c>
      <c r="K496" t="s">
        <v>439</v>
      </c>
      <c r="L496">
        <v>1191</v>
      </c>
      <c r="N496">
        <v>1013</v>
      </c>
      <c r="O496" t="s">
        <v>440</v>
      </c>
      <c r="P496" t="s">
        <v>440</v>
      </c>
      <c r="Q496">
        <v>1</v>
      </c>
      <c r="X496">
        <v>76.7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 t="s">
        <v>22</v>
      </c>
      <c r="AG496">
        <v>84.37</v>
      </c>
      <c r="AH496">
        <v>2</v>
      </c>
      <c r="AI496">
        <v>56612375</v>
      </c>
      <c r="AJ496">
        <v>198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ROW(Source!A316)</f>
        <v>316</v>
      </c>
      <c r="B497">
        <v>56612378</v>
      </c>
      <c r="C497">
        <v>56612377</v>
      </c>
      <c r="D497">
        <v>47634407</v>
      </c>
      <c r="E497">
        <v>27786564</v>
      </c>
      <c r="F497">
        <v>1</v>
      </c>
      <c r="G497">
        <v>27786564</v>
      </c>
      <c r="H497">
        <v>1</v>
      </c>
      <c r="I497" t="s">
        <v>438</v>
      </c>
      <c r="J497" t="s">
        <v>3</v>
      </c>
      <c r="K497" t="s">
        <v>439</v>
      </c>
      <c r="L497">
        <v>1191</v>
      </c>
      <c r="N497">
        <v>1013</v>
      </c>
      <c r="O497" t="s">
        <v>440</v>
      </c>
      <c r="P497" t="s">
        <v>440</v>
      </c>
      <c r="Q497">
        <v>1</v>
      </c>
      <c r="X497">
        <v>69.8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1</v>
      </c>
      <c r="AF497" t="s">
        <v>22</v>
      </c>
      <c r="AG497">
        <v>76.78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ROW(Source!A316)</f>
        <v>316</v>
      </c>
      <c r="B498">
        <v>56612379</v>
      </c>
      <c r="C498">
        <v>56612377</v>
      </c>
      <c r="D498">
        <v>47766454</v>
      </c>
      <c r="E498">
        <v>1</v>
      </c>
      <c r="F498">
        <v>1</v>
      </c>
      <c r="G498">
        <v>27786564</v>
      </c>
      <c r="H498">
        <v>2</v>
      </c>
      <c r="I498" t="s">
        <v>457</v>
      </c>
      <c r="J498" t="s">
        <v>458</v>
      </c>
      <c r="K498" t="s">
        <v>459</v>
      </c>
      <c r="L498">
        <v>1368</v>
      </c>
      <c r="N498">
        <v>1011</v>
      </c>
      <c r="O498" t="s">
        <v>444</v>
      </c>
      <c r="P498" t="s">
        <v>444</v>
      </c>
      <c r="Q498">
        <v>1</v>
      </c>
      <c r="X498">
        <v>0.61</v>
      </c>
      <c r="Y498">
        <v>0</v>
      </c>
      <c r="Z498">
        <v>179.17</v>
      </c>
      <c r="AA498">
        <v>16.93</v>
      </c>
      <c r="AB498">
        <v>0</v>
      </c>
      <c r="AC498">
        <v>0</v>
      </c>
      <c r="AD498">
        <v>1</v>
      </c>
      <c r="AE498">
        <v>0</v>
      </c>
      <c r="AF498" t="s">
        <v>22</v>
      </c>
      <c r="AG498">
        <v>0.67100000000000004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ROW(Source!A316)</f>
        <v>316</v>
      </c>
      <c r="B499">
        <v>56612380</v>
      </c>
      <c r="C499">
        <v>56612377</v>
      </c>
      <c r="D499">
        <v>30390478</v>
      </c>
      <c r="E499">
        <v>1</v>
      </c>
      <c r="F499">
        <v>1</v>
      </c>
      <c r="G499">
        <v>27786564</v>
      </c>
      <c r="H499">
        <v>3</v>
      </c>
      <c r="I499" t="s">
        <v>660</v>
      </c>
      <c r="J499" t="s">
        <v>661</v>
      </c>
      <c r="K499" t="s">
        <v>662</v>
      </c>
      <c r="L499">
        <v>1348</v>
      </c>
      <c r="N499">
        <v>1009</v>
      </c>
      <c r="O499" t="s">
        <v>330</v>
      </c>
      <c r="P499" t="s">
        <v>330</v>
      </c>
      <c r="Q499">
        <v>1000</v>
      </c>
      <c r="X499">
        <v>1E-3</v>
      </c>
      <c r="Y499">
        <v>6521.42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3</v>
      </c>
      <c r="AG499">
        <v>1E-3</v>
      </c>
      <c r="AH499">
        <v>3</v>
      </c>
      <c r="AI499">
        <v>-1</v>
      </c>
      <c r="AJ499" t="s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ROW(Source!A316)</f>
        <v>316</v>
      </c>
      <c r="B500">
        <v>56612381</v>
      </c>
      <c r="C500">
        <v>56612377</v>
      </c>
      <c r="D500">
        <v>46723375</v>
      </c>
      <c r="E500">
        <v>1</v>
      </c>
      <c r="F500">
        <v>1</v>
      </c>
      <c r="G500">
        <v>27786564</v>
      </c>
      <c r="H500">
        <v>3</v>
      </c>
      <c r="I500" t="s">
        <v>663</v>
      </c>
      <c r="J500" t="s">
        <v>664</v>
      </c>
      <c r="K500" t="s">
        <v>665</v>
      </c>
      <c r="L500">
        <v>1339</v>
      </c>
      <c r="N500">
        <v>1007</v>
      </c>
      <c r="O500" t="s">
        <v>88</v>
      </c>
      <c r="P500" t="s">
        <v>88</v>
      </c>
      <c r="Q500">
        <v>1</v>
      </c>
      <c r="X500">
        <v>0.17</v>
      </c>
      <c r="Y500">
        <v>1828.56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</v>
      </c>
      <c r="AG500">
        <v>0.17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ROW(Source!A316)</f>
        <v>316</v>
      </c>
      <c r="B501">
        <v>56612382</v>
      </c>
      <c r="C501">
        <v>56612377</v>
      </c>
      <c r="D501">
        <v>46725730</v>
      </c>
      <c r="E501">
        <v>1</v>
      </c>
      <c r="F501">
        <v>1</v>
      </c>
      <c r="G501">
        <v>27786564</v>
      </c>
      <c r="H501">
        <v>3</v>
      </c>
      <c r="I501" t="s">
        <v>666</v>
      </c>
      <c r="J501" t="s">
        <v>667</v>
      </c>
      <c r="K501" t="s">
        <v>668</v>
      </c>
      <c r="L501">
        <v>1339</v>
      </c>
      <c r="N501">
        <v>1007</v>
      </c>
      <c r="O501" t="s">
        <v>88</v>
      </c>
      <c r="P501" t="s">
        <v>88</v>
      </c>
      <c r="Q501">
        <v>1</v>
      </c>
      <c r="X501">
        <v>3.9</v>
      </c>
      <c r="Y501">
        <v>704.89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3</v>
      </c>
      <c r="AG501">
        <v>3.9</v>
      </c>
      <c r="AH501">
        <v>3</v>
      </c>
      <c r="AI501">
        <v>-1</v>
      </c>
      <c r="AJ501" t="s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ROW(Source!A316)</f>
        <v>316</v>
      </c>
      <c r="B502">
        <v>56612383</v>
      </c>
      <c r="C502">
        <v>56612377</v>
      </c>
      <c r="D502">
        <v>46725864</v>
      </c>
      <c r="E502">
        <v>1</v>
      </c>
      <c r="F502">
        <v>1</v>
      </c>
      <c r="G502">
        <v>27786564</v>
      </c>
      <c r="H502">
        <v>3</v>
      </c>
      <c r="I502" t="s">
        <v>669</v>
      </c>
      <c r="J502" t="s">
        <v>670</v>
      </c>
      <c r="K502" t="s">
        <v>671</v>
      </c>
      <c r="L502">
        <v>1339</v>
      </c>
      <c r="N502">
        <v>1007</v>
      </c>
      <c r="O502" t="s">
        <v>88</v>
      </c>
      <c r="P502" t="s">
        <v>88</v>
      </c>
      <c r="Q502">
        <v>1</v>
      </c>
      <c r="X502">
        <v>0.06</v>
      </c>
      <c r="Y502">
        <v>451.14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3</v>
      </c>
      <c r="AG502">
        <v>0.06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ROW(Source!A316)</f>
        <v>316</v>
      </c>
      <c r="B503">
        <v>56612384</v>
      </c>
      <c r="C503">
        <v>56612377</v>
      </c>
      <c r="D503">
        <v>30389469</v>
      </c>
      <c r="E503">
        <v>27786564</v>
      </c>
      <c r="F503">
        <v>1</v>
      </c>
      <c r="G503">
        <v>27786564</v>
      </c>
      <c r="H503">
        <v>3</v>
      </c>
      <c r="I503" t="s">
        <v>672</v>
      </c>
      <c r="J503" t="s">
        <v>3</v>
      </c>
      <c r="K503" t="s">
        <v>673</v>
      </c>
      <c r="L503">
        <v>1339</v>
      </c>
      <c r="N503">
        <v>1007</v>
      </c>
      <c r="O503" t="s">
        <v>88</v>
      </c>
      <c r="P503" t="s">
        <v>88</v>
      </c>
      <c r="Q503">
        <v>1</v>
      </c>
      <c r="X503">
        <v>4.3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3</v>
      </c>
      <c r="AG503">
        <v>4.3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ROW(Source!A317)</f>
        <v>317</v>
      </c>
      <c r="B504">
        <v>56612378</v>
      </c>
      <c r="C504">
        <v>56612377</v>
      </c>
      <c r="D504">
        <v>47634407</v>
      </c>
      <c r="E504">
        <v>27786564</v>
      </c>
      <c r="F504">
        <v>1</v>
      </c>
      <c r="G504">
        <v>27786564</v>
      </c>
      <c r="H504">
        <v>1</v>
      </c>
      <c r="I504" t="s">
        <v>438</v>
      </c>
      <c r="J504" t="s">
        <v>3</v>
      </c>
      <c r="K504" t="s">
        <v>439</v>
      </c>
      <c r="L504">
        <v>1191</v>
      </c>
      <c r="N504">
        <v>1013</v>
      </c>
      <c r="O504" t="s">
        <v>440</v>
      </c>
      <c r="P504" t="s">
        <v>440</v>
      </c>
      <c r="Q504">
        <v>1</v>
      </c>
      <c r="X504">
        <v>69.8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1</v>
      </c>
      <c r="AF504" t="s">
        <v>22</v>
      </c>
      <c r="AG504">
        <v>76.78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ROW(Source!A317)</f>
        <v>317</v>
      </c>
      <c r="B505">
        <v>56612379</v>
      </c>
      <c r="C505">
        <v>56612377</v>
      </c>
      <c r="D505">
        <v>47766454</v>
      </c>
      <c r="E505">
        <v>1</v>
      </c>
      <c r="F505">
        <v>1</v>
      </c>
      <c r="G505">
        <v>27786564</v>
      </c>
      <c r="H505">
        <v>2</v>
      </c>
      <c r="I505" t="s">
        <v>457</v>
      </c>
      <c r="J505" t="s">
        <v>458</v>
      </c>
      <c r="K505" t="s">
        <v>459</v>
      </c>
      <c r="L505">
        <v>1368</v>
      </c>
      <c r="N505">
        <v>1011</v>
      </c>
      <c r="O505" t="s">
        <v>444</v>
      </c>
      <c r="P505" t="s">
        <v>444</v>
      </c>
      <c r="Q505">
        <v>1</v>
      </c>
      <c r="X505">
        <v>0.61</v>
      </c>
      <c r="Y505">
        <v>0</v>
      </c>
      <c r="Z505">
        <v>179.17</v>
      </c>
      <c r="AA505">
        <v>16.93</v>
      </c>
      <c r="AB505">
        <v>0</v>
      </c>
      <c r="AC505">
        <v>0</v>
      </c>
      <c r="AD505">
        <v>1</v>
      </c>
      <c r="AE505">
        <v>0</v>
      </c>
      <c r="AF505" t="s">
        <v>22</v>
      </c>
      <c r="AG505">
        <v>0.67100000000000004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ROW(Source!A317)</f>
        <v>317</v>
      </c>
      <c r="B506">
        <v>56612380</v>
      </c>
      <c r="C506">
        <v>56612377</v>
      </c>
      <c r="D506">
        <v>30390478</v>
      </c>
      <c r="E506">
        <v>1</v>
      </c>
      <c r="F506">
        <v>1</v>
      </c>
      <c r="G506">
        <v>27786564</v>
      </c>
      <c r="H506">
        <v>3</v>
      </c>
      <c r="I506" t="s">
        <v>660</v>
      </c>
      <c r="J506" t="s">
        <v>661</v>
      </c>
      <c r="K506" t="s">
        <v>662</v>
      </c>
      <c r="L506">
        <v>1348</v>
      </c>
      <c r="N506">
        <v>1009</v>
      </c>
      <c r="O506" t="s">
        <v>330</v>
      </c>
      <c r="P506" t="s">
        <v>330</v>
      </c>
      <c r="Q506">
        <v>1000</v>
      </c>
      <c r="X506">
        <v>1E-3</v>
      </c>
      <c r="Y506">
        <v>6521.42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</v>
      </c>
      <c r="AG506">
        <v>1E-3</v>
      </c>
      <c r="AH506">
        <v>3</v>
      </c>
      <c r="AI506">
        <v>-1</v>
      </c>
      <c r="AJ506" t="s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ROW(Source!A317)</f>
        <v>317</v>
      </c>
      <c r="B507">
        <v>56612381</v>
      </c>
      <c r="C507">
        <v>56612377</v>
      </c>
      <c r="D507">
        <v>46723375</v>
      </c>
      <c r="E507">
        <v>1</v>
      </c>
      <c r="F507">
        <v>1</v>
      </c>
      <c r="G507">
        <v>27786564</v>
      </c>
      <c r="H507">
        <v>3</v>
      </c>
      <c r="I507" t="s">
        <v>663</v>
      </c>
      <c r="J507" t="s">
        <v>664</v>
      </c>
      <c r="K507" t="s">
        <v>665</v>
      </c>
      <c r="L507">
        <v>1339</v>
      </c>
      <c r="N507">
        <v>1007</v>
      </c>
      <c r="O507" t="s">
        <v>88</v>
      </c>
      <c r="P507" t="s">
        <v>88</v>
      </c>
      <c r="Q507">
        <v>1</v>
      </c>
      <c r="X507">
        <v>0.17</v>
      </c>
      <c r="Y507">
        <v>1828.56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</v>
      </c>
      <c r="AG507">
        <v>0.17</v>
      </c>
      <c r="AH507">
        <v>3</v>
      </c>
      <c r="AI507">
        <v>-1</v>
      </c>
      <c r="AJ507" t="s">
        <v>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ROW(Source!A317)</f>
        <v>317</v>
      </c>
      <c r="B508">
        <v>56612382</v>
      </c>
      <c r="C508">
        <v>56612377</v>
      </c>
      <c r="D508">
        <v>46725730</v>
      </c>
      <c r="E508">
        <v>1</v>
      </c>
      <c r="F508">
        <v>1</v>
      </c>
      <c r="G508">
        <v>27786564</v>
      </c>
      <c r="H508">
        <v>3</v>
      </c>
      <c r="I508" t="s">
        <v>666</v>
      </c>
      <c r="J508" t="s">
        <v>667</v>
      </c>
      <c r="K508" t="s">
        <v>668</v>
      </c>
      <c r="L508">
        <v>1339</v>
      </c>
      <c r="N508">
        <v>1007</v>
      </c>
      <c r="O508" t="s">
        <v>88</v>
      </c>
      <c r="P508" t="s">
        <v>88</v>
      </c>
      <c r="Q508">
        <v>1</v>
      </c>
      <c r="X508">
        <v>3.9</v>
      </c>
      <c r="Y508">
        <v>704.89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</v>
      </c>
      <c r="AG508">
        <v>3.9</v>
      </c>
      <c r="AH508">
        <v>3</v>
      </c>
      <c r="AI508">
        <v>-1</v>
      </c>
      <c r="AJ508" t="s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ROW(Source!A317)</f>
        <v>317</v>
      </c>
      <c r="B509">
        <v>56612383</v>
      </c>
      <c r="C509">
        <v>56612377</v>
      </c>
      <c r="D509">
        <v>46725864</v>
      </c>
      <c r="E509">
        <v>1</v>
      </c>
      <c r="F509">
        <v>1</v>
      </c>
      <c r="G509">
        <v>27786564</v>
      </c>
      <c r="H509">
        <v>3</v>
      </c>
      <c r="I509" t="s">
        <v>669</v>
      </c>
      <c r="J509" t="s">
        <v>670</v>
      </c>
      <c r="K509" t="s">
        <v>671</v>
      </c>
      <c r="L509">
        <v>1339</v>
      </c>
      <c r="N509">
        <v>1007</v>
      </c>
      <c r="O509" t="s">
        <v>88</v>
      </c>
      <c r="P509" t="s">
        <v>88</v>
      </c>
      <c r="Q509">
        <v>1</v>
      </c>
      <c r="X509">
        <v>0.06</v>
      </c>
      <c r="Y509">
        <v>451.14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</v>
      </c>
      <c r="AG509">
        <v>0.06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ROW(Source!A317)</f>
        <v>317</v>
      </c>
      <c r="B510">
        <v>56612384</v>
      </c>
      <c r="C510">
        <v>56612377</v>
      </c>
      <c r="D510">
        <v>30389469</v>
      </c>
      <c r="E510">
        <v>27786564</v>
      </c>
      <c r="F510">
        <v>1</v>
      </c>
      <c r="G510">
        <v>27786564</v>
      </c>
      <c r="H510">
        <v>3</v>
      </c>
      <c r="I510" t="s">
        <v>672</v>
      </c>
      <c r="J510" t="s">
        <v>3</v>
      </c>
      <c r="K510" t="s">
        <v>673</v>
      </c>
      <c r="L510">
        <v>1339</v>
      </c>
      <c r="N510">
        <v>1007</v>
      </c>
      <c r="O510" t="s">
        <v>88</v>
      </c>
      <c r="P510" t="s">
        <v>88</v>
      </c>
      <c r="Q510">
        <v>1</v>
      </c>
      <c r="X510">
        <v>4.3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3</v>
      </c>
      <c r="AG510">
        <v>4.3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ROW(Source!A353)</f>
        <v>353</v>
      </c>
      <c r="B511">
        <v>56612386</v>
      </c>
      <c r="C511">
        <v>56612385</v>
      </c>
      <c r="D511">
        <v>47634407</v>
      </c>
      <c r="E511">
        <v>27786564</v>
      </c>
      <c r="F511">
        <v>1</v>
      </c>
      <c r="G511">
        <v>27786564</v>
      </c>
      <c r="H511">
        <v>1</v>
      </c>
      <c r="I511" t="s">
        <v>438</v>
      </c>
      <c r="J511" t="s">
        <v>3</v>
      </c>
      <c r="K511" t="s">
        <v>439</v>
      </c>
      <c r="L511">
        <v>1191</v>
      </c>
      <c r="N511">
        <v>1013</v>
      </c>
      <c r="O511" t="s">
        <v>440</v>
      </c>
      <c r="P511" t="s">
        <v>440</v>
      </c>
      <c r="Q511">
        <v>1</v>
      </c>
      <c r="X511">
        <v>29.81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400</v>
      </c>
      <c r="AG511">
        <v>31.3005</v>
      </c>
      <c r="AH511">
        <v>3</v>
      </c>
      <c r="AI511">
        <v>-1</v>
      </c>
      <c r="AJ511" t="s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ROW(Source!A353)</f>
        <v>353</v>
      </c>
      <c r="B512">
        <v>56612387</v>
      </c>
      <c r="C512">
        <v>56612385</v>
      </c>
      <c r="D512">
        <v>30365433</v>
      </c>
      <c r="E512">
        <v>27786564</v>
      </c>
      <c r="F512">
        <v>1</v>
      </c>
      <c r="G512">
        <v>27786564</v>
      </c>
      <c r="H512">
        <v>3</v>
      </c>
      <c r="I512" t="s">
        <v>674</v>
      </c>
      <c r="J512" t="s">
        <v>3</v>
      </c>
      <c r="K512" t="s">
        <v>675</v>
      </c>
      <c r="L512">
        <v>1327</v>
      </c>
      <c r="N512">
        <v>1005</v>
      </c>
      <c r="O512" t="s">
        <v>510</v>
      </c>
      <c r="P512" t="s">
        <v>510</v>
      </c>
      <c r="Q512">
        <v>1</v>
      </c>
      <c r="X512">
        <v>97.16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3</v>
      </c>
      <c r="AG512">
        <v>97.16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ROW(Source!A354)</f>
        <v>354</v>
      </c>
      <c r="B513">
        <v>56612386</v>
      </c>
      <c r="C513">
        <v>56612385</v>
      </c>
      <c r="D513">
        <v>47634407</v>
      </c>
      <c r="E513">
        <v>27786564</v>
      </c>
      <c r="F513">
        <v>1</v>
      </c>
      <c r="G513">
        <v>27786564</v>
      </c>
      <c r="H513">
        <v>1</v>
      </c>
      <c r="I513" t="s">
        <v>438</v>
      </c>
      <c r="J513" t="s">
        <v>3</v>
      </c>
      <c r="K513" t="s">
        <v>439</v>
      </c>
      <c r="L513">
        <v>1191</v>
      </c>
      <c r="N513">
        <v>1013</v>
      </c>
      <c r="O513" t="s">
        <v>440</v>
      </c>
      <c r="P513" t="s">
        <v>440</v>
      </c>
      <c r="Q513">
        <v>1</v>
      </c>
      <c r="X513">
        <v>29.81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1</v>
      </c>
      <c r="AF513" t="s">
        <v>400</v>
      </c>
      <c r="AG513">
        <v>31.3005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ROW(Source!A354)</f>
        <v>354</v>
      </c>
      <c r="B514">
        <v>56612387</v>
      </c>
      <c r="C514">
        <v>56612385</v>
      </c>
      <c r="D514">
        <v>30365433</v>
      </c>
      <c r="E514">
        <v>27786564</v>
      </c>
      <c r="F514">
        <v>1</v>
      </c>
      <c r="G514">
        <v>27786564</v>
      </c>
      <c r="H514">
        <v>3</v>
      </c>
      <c r="I514" t="s">
        <v>674</v>
      </c>
      <c r="J514" t="s">
        <v>3</v>
      </c>
      <c r="K514" t="s">
        <v>675</v>
      </c>
      <c r="L514">
        <v>1327</v>
      </c>
      <c r="N514">
        <v>1005</v>
      </c>
      <c r="O514" t="s">
        <v>510</v>
      </c>
      <c r="P514" t="s">
        <v>510</v>
      </c>
      <c r="Q514">
        <v>1</v>
      </c>
      <c r="X514">
        <v>97.16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3</v>
      </c>
      <c r="AG514">
        <v>97.16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ROW(Source!A355)</f>
        <v>355</v>
      </c>
      <c r="B515">
        <v>56612389</v>
      </c>
      <c r="C515">
        <v>56612388</v>
      </c>
      <c r="D515">
        <v>47634407</v>
      </c>
      <c r="E515">
        <v>27786564</v>
      </c>
      <c r="F515">
        <v>1</v>
      </c>
      <c r="G515">
        <v>27786564</v>
      </c>
      <c r="H515">
        <v>1</v>
      </c>
      <c r="I515" t="s">
        <v>438</v>
      </c>
      <c r="J515" t="s">
        <v>3</v>
      </c>
      <c r="K515" t="s">
        <v>439</v>
      </c>
      <c r="L515">
        <v>1191</v>
      </c>
      <c r="N515">
        <v>1013</v>
      </c>
      <c r="O515" t="s">
        <v>440</v>
      </c>
      <c r="P515" t="s">
        <v>440</v>
      </c>
      <c r="Q515">
        <v>1</v>
      </c>
      <c r="X515">
        <v>11.7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 t="s">
        <v>22</v>
      </c>
      <c r="AG515">
        <v>12.870000000000001</v>
      </c>
      <c r="AH515">
        <v>3</v>
      </c>
      <c r="AI515">
        <v>-1</v>
      </c>
      <c r="AJ515" t="s">
        <v>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ROW(Source!A355)</f>
        <v>355</v>
      </c>
      <c r="B516">
        <v>56612390</v>
      </c>
      <c r="C516">
        <v>56612388</v>
      </c>
      <c r="D516">
        <v>47766419</v>
      </c>
      <c r="E516">
        <v>1</v>
      </c>
      <c r="F516">
        <v>1</v>
      </c>
      <c r="G516">
        <v>27786564</v>
      </c>
      <c r="H516">
        <v>2</v>
      </c>
      <c r="I516" t="s">
        <v>601</v>
      </c>
      <c r="J516" t="s">
        <v>602</v>
      </c>
      <c r="K516" t="s">
        <v>603</v>
      </c>
      <c r="L516">
        <v>1368</v>
      </c>
      <c r="N516">
        <v>1011</v>
      </c>
      <c r="O516" t="s">
        <v>444</v>
      </c>
      <c r="P516" t="s">
        <v>444</v>
      </c>
      <c r="Q516">
        <v>1</v>
      </c>
      <c r="X516">
        <v>1.26</v>
      </c>
      <c r="Y516">
        <v>0</v>
      </c>
      <c r="Z516">
        <v>120.32</v>
      </c>
      <c r="AA516">
        <v>12.62</v>
      </c>
      <c r="AB516">
        <v>0</v>
      </c>
      <c r="AC516">
        <v>0</v>
      </c>
      <c r="AD516">
        <v>1</v>
      </c>
      <c r="AE516">
        <v>0</v>
      </c>
      <c r="AF516" t="s">
        <v>22</v>
      </c>
      <c r="AG516">
        <v>1.3860000000000001</v>
      </c>
      <c r="AH516">
        <v>3</v>
      </c>
      <c r="AI516">
        <v>-1</v>
      </c>
      <c r="AJ516" t="s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ROW(Source!A355)</f>
        <v>355</v>
      </c>
      <c r="B517">
        <v>56612391</v>
      </c>
      <c r="C517">
        <v>56612388</v>
      </c>
      <c r="D517">
        <v>47766620</v>
      </c>
      <c r="E517">
        <v>1</v>
      </c>
      <c r="F517">
        <v>1</v>
      </c>
      <c r="G517">
        <v>27786564</v>
      </c>
      <c r="H517">
        <v>2</v>
      </c>
      <c r="I517" t="s">
        <v>595</v>
      </c>
      <c r="J517" t="s">
        <v>596</v>
      </c>
      <c r="K517" t="s">
        <v>597</v>
      </c>
      <c r="L517">
        <v>1368</v>
      </c>
      <c r="N517">
        <v>1011</v>
      </c>
      <c r="O517" t="s">
        <v>444</v>
      </c>
      <c r="P517" t="s">
        <v>444</v>
      </c>
      <c r="Q517">
        <v>1</v>
      </c>
      <c r="X517">
        <v>1.7</v>
      </c>
      <c r="Y517">
        <v>0</v>
      </c>
      <c r="Z517">
        <v>219.56</v>
      </c>
      <c r="AA517">
        <v>18.62</v>
      </c>
      <c r="AB517">
        <v>0</v>
      </c>
      <c r="AC517">
        <v>0</v>
      </c>
      <c r="AD517">
        <v>1</v>
      </c>
      <c r="AE517">
        <v>0</v>
      </c>
      <c r="AF517" t="s">
        <v>22</v>
      </c>
      <c r="AG517">
        <v>1.87</v>
      </c>
      <c r="AH517">
        <v>3</v>
      </c>
      <c r="AI517">
        <v>-1</v>
      </c>
      <c r="AJ517" t="s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ROW(Source!A355)</f>
        <v>355</v>
      </c>
      <c r="B518">
        <v>56612392</v>
      </c>
      <c r="C518">
        <v>56612388</v>
      </c>
      <c r="D518">
        <v>47634960</v>
      </c>
      <c r="E518">
        <v>27786564</v>
      </c>
      <c r="F518">
        <v>1</v>
      </c>
      <c r="G518">
        <v>27786564</v>
      </c>
      <c r="H518">
        <v>2</v>
      </c>
      <c r="I518" t="s">
        <v>448</v>
      </c>
      <c r="J518" t="s">
        <v>3</v>
      </c>
      <c r="K518" t="s">
        <v>449</v>
      </c>
      <c r="L518">
        <v>1344</v>
      </c>
      <c r="N518">
        <v>1008</v>
      </c>
      <c r="O518" t="s">
        <v>450</v>
      </c>
      <c r="P518" t="s">
        <v>450</v>
      </c>
      <c r="Q518">
        <v>1</v>
      </c>
      <c r="X518">
        <v>42.41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22</v>
      </c>
      <c r="AG518">
        <v>46.651000000000003</v>
      </c>
      <c r="AH518">
        <v>3</v>
      </c>
      <c r="AI518">
        <v>-1</v>
      </c>
      <c r="AJ518" t="s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ROW(Source!A356)</f>
        <v>356</v>
      </c>
      <c r="B519">
        <v>56612389</v>
      </c>
      <c r="C519">
        <v>56612388</v>
      </c>
      <c r="D519">
        <v>47634407</v>
      </c>
      <c r="E519">
        <v>27786564</v>
      </c>
      <c r="F519">
        <v>1</v>
      </c>
      <c r="G519">
        <v>27786564</v>
      </c>
      <c r="H519">
        <v>1</v>
      </c>
      <c r="I519" t="s">
        <v>438</v>
      </c>
      <c r="J519" t="s">
        <v>3</v>
      </c>
      <c r="K519" t="s">
        <v>439</v>
      </c>
      <c r="L519">
        <v>1191</v>
      </c>
      <c r="N519">
        <v>1013</v>
      </c>
      <c r="O519" t="s">
        <v>440</v>
      </c>
      <c r="P519" t="s">
        <v>440</v>
      </c>
      <c r="Q519">
        <v>1</v>
      </c>
      <c r="X519">
        <v>11.7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 t="s">
        <v>22</v>
      </c>
      <c r="AG519">
        <v>12.870000000000001</v>
      </c>
      <c r="AH519">
        <v>3</v>
      </c>
      <c r="AI519">
        <v>-1</v>
      </c>
      <c r="AJ519" t="s">
        <v>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ROW(Source!A356)</f>
        <v>356</v>
      </c>
      <c r="B520">
        <v>56612390</v>
      </c>
      <c r="C520">
        <v>56612388</v>
      </c>
      <c r="D520">
        <v>47766419</v>
      </c>
      <c r="E520">
        <v>1</v>
      </c>
      <c r="F520">
        <v>1</v>
      </c>
      <c r="G520">
        <v>27786564</v>
      </c>
      <c r="H520">
        <v>2</v>
      </c>
      <c r="I520" t="s">
        <v>601</v>
      </c>
      <c r="J520" t="s">
        <v>602</v>
      </c>
      <c r="K520" t="s">
        <v>603</v>
      </c>
      <c r="L520">
        <v>1368</v>
      </c>
      <c r="N520">
        <v>1011</v>
      </c>
      <c r="O520" t="s">
        <v>444</v>
      </c>
      <c r="P520" t="s">
        <v>444</v>
      </c>
      <c r="Q520">
        <v>1</v>
      </c>
      <c r="X520">
        <v>1.26</v>
      </c>
      <c r="Y520">
        <v>0</v>
      </c>
      <c r="Z520">
        <v>120.32</v>
      </c>
      <c r="AA520">
        <v>12.62</v>
      </c>
      <c r="AB520">
        <v>0</v>
      </c>
      <c r="AC520">
        <v>0</v>
      </c>
      <c r="AD520">
        <v>1</v>
      </c>
      <c r="AE520">
        <v>0</v>
      </c>
      <c r="AF520" t="s">
        <v>22</v>
      </c>
      <c r="AG520">
        <v>1.3860000000000001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ROW(Source!A356)</f>
        <v>356</v>
      </c>
      <c r="B521">
        <v>56612391</v>
      </c>
      <c r="C521">
        <v>56612388</v>
      </c>
      <c r="D521">
        <v>47766620</v>
      </c>
      <c r="E521">
        <v>1</v>
      </c>
      <c r="F521">
        <v>1</v>
      </c>
      <c r="G521">
        <v>27786564</v>
      </c>
      <c r="H521">
        <v>2</v>
      </c>
      <c r="I521" t="s">
        <v>595</v>
      </c>
      <c r="J521" t="s">
        <v>596</v>
      </c>
      <c r="K521" t="s">
        <v>597</v>
      </c>
      <c r="L521">
        <v>1368</v>
      </c>
      <c r="N521">
        <v>1011</v>
      </c>
      <c r="O521" t="s">
        <v>444</v>
      </c>
      <c r="P521" t="s">
        <v>444</v>
      </c>
      <c r="Q521">
        <v>1</v>
      </c>
      <c r="X521">
        <v>1.7</v>
      </c>
      <c r="Y521">
        <v>0</v>
      </c>
      <c r="Z521">
        <v>219.56</v>
      </c>
      <c r="AA521">
        <v>18.62</v>
      </c>
      <c r="AB521">
        <v>0</v>
      </c>
      <c r="AC521">
        <v>0</v>
      </c>
      <c r="AD521">
        <v>1</v>
      </c>
      <c r="AE521">
        <v>0</v>
      </c>
      <c r="AF521" t="s">
        <v>22</v>
      </c>
      <c r="AG521">
        <v>1.87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ROW(Source!A356)</f>
        <v>356</v>
      </c>
      <c r="B522">
        <v>56612392</v>
      </c>
      <c r="C522">
        <v>56612388</v>
      </c>
      <c r="D522">
        <v>47634960</v>
      </c>
      <c r="E522">
        <v>27786564</v>
      </c>
      <c r="F522">
        <v>1</v>
      </c>
      <c r="G522">
        <v>27786564</v>
      </c>
      <c r="H522">
        <v>2</v>
      </c>
      <c r="I522" t="s">
        <v>448</v>
      </c>
      <c r="J522" t="s">
        <v>3</v>
      </c>
      <c r="K522" t="s">
        <v>449</v>
      </c>
      <c r="L522">
        <v>1344</v>
      </c>
      <c r="N522">
        <v>1008</v>
      </c>
      <c r="O522" t="s">
        <v>450</v>
      </c>
      <c r="P522" t="s">
        <v>450</v>
      </c>
      <c r="Q522">
        <v>1</v>
      </c>
      <c r="X522">
        <v>42.41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22</v>
      </c>
      <c r="AG522">
        <v>46.651000000000003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ROW(Source!A357)</f>
        <v>357</v>
      </c>
      <c r="B523">
        <v>56612394</v>
      </c>
      <c r="C523">
        <v>56612393</v>
      </c>
      <c r="D523">
        <v>47634407</v>
      </c>
      <c r="E523">
        <v>27786564</v>
      </c>
      <c r="F523">
        <v>1</v>
      </c>
      <c r="G523">
        <v>27786564</v>
      </c>
      <c r="H523">
        <v>1</v>
      </c>
      <c r="I523" t="s">
        <v>438</v>
      </c>
      <c r="J523" t="s">
        <v>3</v>
      </c>
      <c r="K523" t="s">
        <v>439</v>
      </c>
      <c r="L523">
        <v>1191</v>
      </c>
      <c r="N523">
        <v>1013</v>
      </c>
      <c r="O523" t="s">
        <v>440</v>
      </c>
      <c r="P523" t="s">
        <v>440</v>
      </c>
      <c r="Q523">
        <v>1</v>
      </c>
      <c r="X523">
        <v>49.5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22</v>
      </c>
      <c r="AG523">
        <v>54.45</v>
      </c>
      <c r="AH523">
        <v>3</v>
      </c>
      <c r="AI523">
        <v>-1</v>
      </c>
      <c r="AJ523" t="s">
        <v>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ROW(Source!A357)</f>
        <v>357</v>
      </c>
      <c r="B524">
        <v>56612395</v>
      </c>
      <c r="C524">
        <v>56612393</v>
      </c>
      <c r="D524">
        <v>47766400</v>
      </c>
      <c r="E524">
        <v>1</v>
      </c>
      <c r="F524">
        <v>1</v>
      </c>
      <c r="G524">
        <v>27786564</v>
      </c>
      <c r="H524">
        <v>2</v>
      </c>
      <c r="I524" t="s">
        <v>445</v>
      </c>
      <c r="J524" t="s">
        <v>446</v>
      </c>
      <c r="K524" t="s">
        <v>447</v>
      </c>
      <c r="L524">
        <v>1368</v>
      </c>
      <c r="N524">
        <v>1011</v>
      </c>
      <c r="O524" t="s">
        <v>444</v>
      </c>
      <c r="P524" t="s">
        <v>444</v>
      </c>
      <c r="Q524">
        <v>1</v>
      </c>
      <c r="X524">
        <v>2.87</v>
      </c>
      <c r="Y524">
        <v>0</v>
      </c>
      <c r="Z524">
        <v>145.59</v>
      </c>
      <c r="AA524">
        <v>14.54</v>
      </c>
      <c r="AB524">
        <v>0</v>
      </c>
      <c r="AC524">
        <v>0</v>
      </c>
      <c r="AD524">
        <v>1</v>
      </c>
      <c r="AE524">
        <v>0</v>
      </c>
      <c r="AF524" t="s">
        <v>22</v>
      </c>
      <c r="AG524">
        <v>3.1570000000000005</v>
      </c>
      <c r="AH524">
        <v>3</v>
      </c>
      <c r="AI524">
        <v>-1</v>
      </c>
      <c r="AJ524" t="s">
        <v>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ROW(Source!A357)</f>
        <v>357</v>
      </c>
      <c r="B525">
        <v>56612396</v>
      </c>
      <c r="C525">
        <v>56612393</v>
      </c>
      <c r="D525">
        <v>47766383</v>
      </c>
      <c r="E525">
        <v>1</v>
      </c>
      <c r="F525">
        <v>1</v>
      </c>
      <c r="G525">
        <v>27786564</v>
      </c>
      <c r="H525">
        <v>2</v>
      </c>
      <c r="I525" t="s">
        <v>598</v>
      </c>
      <c r="J525" t="s">
        <v>599</v>
      </c>
      <c r="K525" t="s">
        <v>600</v>
      </c>
      <c r="L525">
        <v>1368</v>
      </c>
      <c r="N525">
        <v>1011</v>
      </c>
      <c r="O525" t="s">
        <v>444</v>
      </c>
      <c r="P525" t="s">
        <v>444</v>
      </c>
      <c r="Q525">
        <v>1</v>
      </c>
      <c r="X525">
        <v>7.86</v>
      </c>
      <c r="Y525">
        <v>0</v>
      </c>
      <c r="Z525">
        <v>245.8</v>
      </c>
      <c r="AA525">
        <v>16.93</v>
      </c>
      <c r="AB525">
        <v>0</v>
      </c>
      <c r="AC525">
        <v>0</v>
      </c>
      <c r="AD525">
        <v>1</v>
      </c>
      <c r="AE525">
        <v>0</v>
      </c>
      <c r="AF525" t="s">
        <v>22</v>
      </c>
      <c r="AG525">
        <v>8.6460000000000008</v>
      </c>
      <c r="AH525">
        <v>3</v>
      </c>
      <c r="AI525">
        <v>-1</v>
      </c>
      <c r="AJ525" t="s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ROW(Source!A357)</f>
        <v>357</v>
      </c>
      <c r="B526">
        <v>56612397</v>
      </c>
      <c r="C526">
        <v>56612393</v>
      </c>
      <c r="D526">
        <v>47634960</v>
      </c>
      <c r="E526">
        <v>27786564</v>
      </c>
      <c r="F526">
        <v>1</v>
      </c>
      <c r="G526">
        <v>27786564</v>
      </c>
      <c r="H526">
        <v>2</v>
      </c>
      <c r="I526" t="s">
        <v>448</v>
      </c>
      <c r="J526" t="s">
        <v>3</v>
      </c>
      <c r="K526" t="s">
        <v>449</v>
      </c>
      <c r="L526">
        <v>1344</v>
      </c>
      <c r="N526">
        <v>1008</v>
      </c>
      <c r="O526" t="s">
        <v>450</v>
      </c>
      <c r="P526" t="s">
        <v>450</v>
      </c>
      <c r="Q526">
        <v>1</v>
      </c>
      <c r="X526">
        <v>5.21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22</v>
      </c>
      <c r="AG526">
        <v>5.7310000000000008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ROW(Source!A358)</f>
        <v>358</v>
      </c>
      <c r="B527">
        <v>56612394</v>
      </c>
      <c r="C527">
        <v>56612393</v>
      </c>
      <c r="D527">
        <v>47634407</v>
      </c>
      <c r="E527">
        <v>27786564</v>
      </c>
      <c r="F527">
        <v>1</v>
      </c>
      <c r="G527">
        <v>27786564</v>
      </c>
      <c r="H527">
        <v>1</v>
      </c>
      <c r="I527" t="s">
        <v>438</v>
      </c>
      <c r="J527" t="s">
        <v>3</v>
      </c>
      <c r="K527" t="s">
        <v>439</v>
      </c>
      <c r="L527">
        <v>1191</v>
      </c>
      <c r="N527">
        <v>1013</v>
      </c>
      <c r="O527" t="s">
        <v>440</v>
      </c>
      <c r="P527" t="s">
        <v>440</v>
      </c>
      <c r="Q527">
        <v>1</v>
      </c>
      <c r="X527">
        <v>49.5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 t="s">
        <v>22</v>
      </c>
      <c r="AG527">
        <v>54.45</v>
      </c>
      <c r="AH527">
        <v>3</v>
      </c>
      <c r="AI527">
        <v>-1</v>
      </c>
      <c r="AJ527" t="s">
        <v>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ROW(Source!A358)</f>
        <v>358</v>
      </c>
      <c r="B528">
        <v>56612395</v>
      </c>
      <c r="C528">
        <v>56612393</v>
      </c>
      <c r="D528">
        <v>47766400</v>
      </c>
      <c r="E528">
        <v>1</v>
      </c>
      <c r="F528">
        <v>1</v>
      </c>
      <c r="G528">
        <v>27786564</v>
      </c>
      <c r="H528">
        <v>2</v>
      </c>
      <c r="I528" t="s">
        <v>445</v>
      </c>
      <c r="J528" t="s">
        <v>446</v>
      </c>
      <c r="K528" t="s">
        <v>447</v>
      </c>
      <c r="L528">
        <v>1368</v>
      </c>
      <c r="N528">
        <v>1011</v>
      </c>
      <c r="O528" t="s">
        <v>444</v>
      </c>
      <c r="P528" t="s">
        <v>444</v>
      </c>
      <c r="Q528">
        <v>1</v>
      </c>
      <c r="X528">
        <v>2.87</v>
      </c>
      <c r="Y528">
        <v>0</v>
      </c>
      <c r="Z528">
        <v>145.59</v>
      </c>
      <c r="AA528">
        <v>14.54</v>
      </c>
      <c r="AB528">
        <v>0</v>
      </c>
      <c r="AC528">
        <v>0</v>
      </c>
      <c r="AD528">
        <v>1</v>
      </c>
      <c r="AE528">
        <v>0</v>
      </c>
      <c r="AF528" t="s">
        <v>22</v>
      </c>
      <c r="AG528">
        <v>3.1570000000000005</v>
      </c>
      <c r="AH528">
        <v>3</v>
      </c>
      <c r="AI528">
        <v>-1</v>
      </c>
      <c r="AJ528" t="s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ROW(Source!A358)</f>
        <v>358</v>
      </c>
      <c r="B529">
        <v>56612396</v>
      </c>
      <c r="C529">
        <v>56612393</v>
      </c>
      <c r="D529">
        <v>47766383</v>
      </c>
      <c r="E529">
        <v>1</v>
      </c>
      <c r="F529">
        <v>1</v>
      </c>
      <c r="G529">
        <v>27786564</v>
      </c>
      <c r="H529">
        <v>2</v>
      </c>
      <c r="I529" t="s">
        <v>598</v>
      </c>
      <c r="J529" t="s">
        <v>599</v>
      </c>
      <c r="K529" t="s">
        <v>600</v>
      </c>
      <c r="L529">
        <v>1368</v>
      </c>
      <c r="N529">
        <v>1011</v>
      </c>
      <c r="O529" t="s">
        <v>444</v>
      </c>
      <c r="P529" t="s">
        <v>444</v>
      </c>
      <c r="Q529">
        <v>1</v>
      </c>
      <c r="X529">
        <v>7.86</v>
      </c>
      <c r="Y529">
        <v>0</v>
      </c>
      <c r="Z529">
        <v>245.8</v>
      </c>
      <c r="AA529">
        <v>16.93</v>
      </c>
      <c r="AB529">
        <v>0</v>
      </c>
      <c r="AC529">
        <v>0</v>
      </c>
      <c r="AD529">
        <v>1</v>
      </c>
      <c r="AE529">
        <v>0</v>
      </c>
      <c r="AF529" t="s">
        <v>22</v>
      </c>
      <c r="AG529">
        <v>8.6460000000000008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ROW(Source!A358)</f>
        <v>358</v>
      </c>
      <c r="B530">
        <v>56612397</v>
      </c>
      <c r="C530">
        <v>56612393</v>
      </c>
      <c r="D530">
        <v>47634960</v>
      </c>
      <c r="E530">
        <v>27786564</v>
      </c>
      <c r="F530">
        <v>1</v>
      </c>
      <c r="G530">
        <v>27786564</v>
      </c>
      <c r="H530">
        <v>2</v>
      </c>
      <c r="I530" t="s">
        <v>448</v>
      </c>
      <c r="J530" t="s">
        <v>3</v>
      </c>
      <c r="K530" t="s">
        <v>449</v>
      </c>
      <c r="L530">
        <v>1344</v>
      </c>
      <c r="N530">
        <v>1008</v>
      </c>
      <c r="O530" t="s">
        <v>450</v>
      </c>
      <c r="P530" t="s">
        <v>450</v>
      </c>
      <c r="Q530">
        <v>1</v>
      </c>
      <c r="X530">
        <v>5.21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22</v>
      </c>
      <c r="AG530">
        <v>5.7310000000000008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ROW(Source!A359)</f>
        <v>359</v>
      </c>
      <c r="B531">
        <v>56612399</v>
      </c>
      <c r="C531">
        <v>56612398</v>
      </c>
      <c r="D531">
        <v>47634960</v>
      </c>
      <c r="E531">
        <v>27786564</v>
      </c>
      <c r="F531">
        <v>1</v>
      </c>
      <c r="G531">
        <v>27786564</v>
      </c>
      <c r="H531">
        <v>2</v>
      </c>
      <c r="I531" t="s">
        <v>448</v>
      </c>
      <c r="J531" t="s">
        <v>3</v>
      </c>
      <c r="K531" t="s">
        <v>449</v>
      </c>
      <c r="L531">
        <v>1344</v>
      </c>
      <c r="N531">
        <v>1008</v>
      </c>
      <c r="O531" t="s">
        <v>450</v>
      </c>
      <c r="P531" t="s">
        <v>450</v>
      </c>
      <c r="Q531">
        <v>1</v>
      </c>
      <c r="X531">
        <v>8.86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22</v>
      </c>
      <c r="AG531">
        <v>9.7460000000000004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ROW(Source!A360)</f>
        <v>360</v>
      </c>
      <c r="B532">
        <v>56612399</v>
      </c>
      <c r="C532">
        <v>56612398</v>
      </c>
      <c r="D532">
        <v>47634960</v>
      </c>
      <c r="E532">
        <v>27786564</v>
      </c>
      <c r="F532">
        <v>1</v>
      </c>
      <c r="G532">
        <v>27786564</v>
      </c>
      <c r="H532">
        <v>2</v>
      </c>
      <c r="I532" t="s">
        <v>448</v>
      </c>
      <c r="J532" t="s">
        <v>3</v>
      </c>
      <c r="K532" t="s">
        <v>449</v>
      </c>
      <c r="L532">
        <v>1344</v>
      </c>
      <c r="N532">
        <v>1008</v>
      </c>
      <c r="O532" t="s">
        <v>450</v>
      </c>
      <c r="P532" t="s">
        <v>450</v>
      </c>
      <c r="Q532">
        <v>1</v>
      </c>
      <c r="X532">
        <v>8.86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22</v>
      </c>
      <c r="AG532">
        <v>9.7460000000000004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ROW(Source!A361)</f>
        <v>361</v>
      </c>
      <c r="B533">
        <v>56612402</v>
      </c>
      <c r="C533">
        <v>56612400</v>
      </c>
      <c r="D533">
        <v>47634407</v>
      </c>
      <c r="E533">
        <v>27786564</v>
      </c>
      <c r="F533">
        <v>1</v>
      </c>
      <c r="G533">
        <v>27786564</v>
      </c>
      <c r="H533">
        <v>1</v>
      </c>
      <c r="I533" t="s">
        <v>438</v>
      </c>
      <c r="J533" t="s">
        <v>3</v>
      </c>
      <c r="K533" t="s">
        <v>439</v>
      </c>
      <c r="L533">
        <v>1191</v>
      </c>
      <c r="N533">
        <v>1013</v>
      </c>
      <c r="O533" t="s">
        <v>440</v>
      </c>
      <c r="P533" t="s">
        <v>440</v>
      </c>
      <c r="Q533">
        <v>1</v>
      </c>
      <c r="X533">
        <v>14.4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 t="s">
        <v>22</v>
      </c>
      <c r="AG533">
        <v>15.840000000000002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ROW(Source!A361)</f>
        <v>361</v>
      </c>
      <c r="B534">
        <v>56612403</v>
      </c>
      <c r="C534">
        <v>56612400</v>
      </c>
      <c r="D534">
        <v>47766419</v>
      </c>
      <c r="E534">
        <v>1</v>
      </c>
      <c r="F534">
        <v>1</v>
      </c>
      <c r="G534">
        <v>27786564</v>
      </c>
      <c r="H534">
        <v>2</v>
      </c>
      <c r="I534" t="s">
        <v>601</v>
      </c>
      <c r="J534" t="s">
        <v>602</v>
      </c>
      <c r="K534" t="s">
        <v>603</v>
      </c>
      <c r="L534">
        <v>1368</v>
      </c>
      <c r="N534">
        <v>1011</v>
      </c>
      <c r="O534" t="s">
        <v>444</v>
      </c>
      <c r="P534" t="s">
        <v>444</v>
      </c>
      <c r="Q534">
        <v>1</v>
      </c>
      <c r="X534">
        <v>1.66</v>
      </c>
      <c r="Y534">
        <v>0</v>
      </c>
      <c r="Z534">
        <v>120.32</v>
      </c>
      <c r="AA534">
        <v>12.62</v>
      </c>
      <c r="AB534">
        <v>0</v>
      </c>
      <c r="AC534">
        <v>0</v>
      </c>
      <c r="AD534">
        <v>1</v>
      </c>
      <c r="AE534">
        <v>0</v>
      </c>
      <c r="AF534" t="s">
        <v>22</v>
      </c>
      <c r="AG534">
        <v>1.8260000000000001</v>
      </c>
      <c r="AH534">
        <v>3</v>
      </c>
      <c r="AI534">
        <v>-1</v>
      </c>
      <c r="AJ534" t="s">
        <v>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ROW(Source!A361)</f>
        <v>361</v>
      </c>
      <c r="B535">
        <v>56612404</v>
      </c>
      <c r="C535">
        <v>56612400</v>
      </c>
      <c r="D535">
        <v>47766660</v>
      </c>
      <c r="E535">
        <v>1</v>
      </c>
      <c r="F535">
        <v>1</v>
      </c>
      <c r="G535">
        <v>27786564</v>
      </c>
      <c r="H535">
        <v>2</v>
      </c>
      <c r="I535" t="s">
        <v>604</v>
      </c>
      <c r="J535" t="s">
        <v>605</v>
      </c>
      <c r="K535" t="s">
        <v>606</v>
      </c>
      <c r="L535">
        <v>1368</v>
      </c>
      <c r="N535">
        <v>1011</v>
      </c>
      <c r="O535" t="s">
        <v>444</v>
      </c>
      <c r="P535" t="s">
        <v>444</v>
      </c>
      <c r="Q535">
        <v>1</v>
      </c>
      <c r="X535">
        <v>1.66</v>
      </c>
      <c r="Y535">
        <v>0</v>
      </c>
      <c r="Z535">
        <v>281.32</v>
      </c>
      <c r="AA535">
        <v>16.93</v>
      </c>
      <c r="AB535">
        <v>0</v>
      </c>
      <c r="AC535">
        <v>0</v>
      </c>
      <c r="AD535">
        <v>1</v>
      </c>
      <c r="AE535">
        <v>0</v>
      </c>
      <c r="AF535" t="s">
        <v>22</v>
      </c>
      <c r="AG535">
        <v>1.8260000000000001</v>
      </c>
      <c r="AH535">
        <v>3</v>
      </c>
      <c r="AI535">
        <v>-1</v>
      </c>
      <c r="AJ535" t="s">
        <v>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ROW(Source!A361)</f>
        <v>361</v>
      </c>
      <c r="B536">
        <v>56612405</v>
      </c>
      <c r="C536">
        <v>56612400</v>
      </c>
      <c r="D536">
        <v>47766605</v>
      </c>
      <c r="E536">
        <v>1</v>
      </c>
      <c r="F536">
        <v>1</v>
      </c>
      <c r="G536">
        <v>27786564</v>
      </c>
      <c r="H536">
        <v>2</v>
      </c>
      <c r="I536" t="s">
        <v>607</v>
      </c>
      <c r="J536" t="s">
        <v>608</v>
      </c>
      <c r="K536" t="s">
        <v>609</v>
      </c>
      <c r="L536">
        <v>1368</v>
      </c>
      <c r="N536">
        <v>1011</v>
      </c>
      <c r="O536" t="s">
        <v>444</v>
      </c>
      <c r="P536" t="s">
        <v>444</v>
      </c>
      <c r="Q536">
        <v>1</v>
      </c>
      <c r="X536">
        <v>0.65</v>
      </c>
      <c r="Y536">
        <v>0</v>
      </c>
      <c r="Z536">
        <v>140.38</v>
      </c>
      <c r="AA536">
        <v>12.62</v>
      </c>
      <c r="AB536">
        <v>0</v>
      </c>
      <c r="AC536">
        <v>0</v>
      </c>
      <c r="AD536">
        <v>1</v>
      </c>
      <c r="AE536">
        <v>0</v>
      </c>
      <c r="AF536" t="s">
        <v>22</v>
      </c>
      <c r="AG536">
        <v>0.71500000000000008</v>
      </c>
      <c r="AH536">
        <v>3</v>
      </c>
      <c r="AI536">
        <v>-1</v>
      </c>
      <c r="AJ536" t="s">
        <v>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ROW(Source!A361)</f>
        <v>361</v>
      </c>
      <c r="B537">
        <v>56612406</v>
      </c>
      <c r="C537">
        <v>56612400</v>
      </c>
      <c r="D537">
        <v>47766620</v>
      </c>
      <c r="E537">
        <v>1</v>
      </c>
      <c r="F537">
        <v>1</v>
      </c>
      <c r="G537">
        <v>27786564</v>
      </c>
      <c r="H537">
        <v>2</v>
      </c>
      <c r="I537" t="s">
        <v>595</v>
      </c>
      <c r="J537" t="s">
        <v>596</v>
      </c>
      <c r="K537" t="s">
        <v>597</v>
      </c>
      <c r="L537">
        <v>1368</v>
      </c>
      <c r="N537">
        <v>1011</v>
      </c>
      <c r="O537" t="s">
        <v>444</v>
      </c>
      <c r="P537" t="s">
        <v>444</v>
      </c>
      <c r="Q537">
        <v>1</v>
      </c>
      <c r="X537">
        <v>1.55</v>
      </c>
      <c r="Y537">
        <v>0</v>
      </c>
      <c r="Z537">
        <v>219.56</v>
      </c>
      <c r="AA537">
        <v>18.62</v>
      </c>
      <c r="AB537">
        <v>0</v>
      </c>
      <c r="AC537">
        <v>0</v>
      </c>
      <c r="AD537">
        <v>1</v>
      </c>
      <c r="AE537">
        <v>0</v>
      </c>
      <c r="AF537" t="s">
        <v>22</v>
      </c>
      <c r="AG537">
        <v>1.7050000000000003</v>
      </c>
      <c r="AH537">
        <v>3</v>
      </c>
      <c r="AI537">
        <v>-1</v>
      </c>
      <c r="AJ537" t="s">
        <v>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ROW(Source!A361)</f>
        <v>361</v>
      </c>
      <c r="B538">
        <v>56612407</v>
      </c>
      <c r="C538">
        <v>56612400</v>
      </c>
      <c r="D538">
        <v>47766599</v>
      </c>
      <c r="E538">
        <v>1</v>
      </c>
      <c r="F538">
        <v>1</v>
      </c>
      <c r="G538">
        <v>27786564</v>
      </c>
      <c r="H538">
        <v>2</v>
      </c>
      <c r="I538" t="s">
        <v>610</v>
      </c>
      <c r="J538" t="s">
        <v>611</v>
      </c>
      <c r="K538" t="s">
        <v>612</v>
      </c>
      <c r="L538">
        <v>1368</v>
      </c>
      <c r="N538">
        <v>1011</v>
      </c>
      <c r="O538" t="s">
        <v>444</v>
      </c>
      <c r="P538" t="s">
        <v>444</v>
      </c>
      <c r="Q538">
        <v>1</v>
      </c>
      <c r="X538">
        <v>0.52</v>
      </c>
      <c r="Y538">
        <v>0</v>
      </c>
      <c r="Z538">
        <v>180.35</v>
      </c>
      <c r="AA538">
        <v>16.93</v>
      </c>
      <c r="AB538">
        <v>0</v>
      </c>
      <c r="AC538">
        <v>0</v>
      </c>
      <c r="AD538">
        <v>1</v>
      </c>
      <c r="AE538">
        <v>0</v>
      </c>
      <c r="AF538" t="s">
        <v>22</v>
      </c>
      <c r="AG538">
        <v>0.57200000000000006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ROW(Source!A361)</f>
        <v>361</v>
      </c>
      <c r="B539">
        <v>56612408</v>
      </c>
      <c r="C539">
        <v>56612400</v>
      </c>
      <c r="D539">
        <v>30390465</v>
      </c>
      <c r="E539">
        <v>1</v>
      </c>
      <c r="F539">
        <v>1</v>
      </c>
      <c r="G539">
        <v>27786564</v>
      </c>
      <c r="H539">
        <v>3</v>
      </c>
      <c r="I539" t="s">
        <v>584</v>
      </c>
      <c r="J539" t="s">
        <v>585</v>
      </c>
      <c r="K539" t="s">
        <v>586</v>
      </c>
      <c r="L539">
        <v>1339</v>
      </c>
      <c r="N539">
        <v>1007</v>
      </c>
      <c r="O539" t="s">
        <v>88</v>
      </c>
      <c r="P539" t="s">
        <v>88</v>
      </c>
      <c r="Q539">
        <v>1</v>
      </c>
      <c r="X539">
        <v>5</v>
      </c>
      <c r="Y539">
        <v>7.07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3</v>
      </c>
      <c r="AG539">
        <v>5</v>
      </c>
      <c r="AH539">
        <v>3</v>
      </c>
      <c r="AI539">
        <v>-1</v>
      </c>
      <c r="AJ539" t="s">
        <v>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ROW(Source!A361)</f>
        <v>361</v>
      </c>
      <c r="B540">
        <v>56612409</v>
      </c>
      <c r="C540">
        <v>56612400</v>
      </c>
      <c r="D540">
        <v>30384156</v>
      </c>
      <c r="E540">
        <v>27786564</v>
      </c>
      <c r="F540">
        <v>1</v>
      </c>
      <c r="G540">
        <v>27786564</v>
      </c>
      <c r="H540">
        <v>3</v>
      </c>
      <c r="I540" t="s">
        <v>613</v>
      </c>
      <c r="J540" t="s">
        <v>3</v>
      </c>
      <c r="K540" t="s">
        <v>614</v>
      </c>
      <c r="L540">
        <v>1339</v>
      </c>
      <c r="N540">
        <v>1007</v>
      </c>
      <c r="O540" t="s">
        <v>88</v>
      </c>
      <c r="P540" t="s">
        <v>88</v>
      </c>
      <c r="Q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3</v>
      </c>
      <c r="AG540">
        <v>0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ROW(Source!A362)</f>
        <v>362</v>
      </c>
      <c r="B541">
        <v>56612402</v>
      </c>
      <c r="C541">
        <v>56612400</v>
      </c>
      <c r="D541">
        <v>47634407</v>
      </c>
      <c r="E541">
        <v>27786564</v>
      </c>
      <c r="F541">
        <v>1</v>
      </c>
      <c r="G541">
        <v>27786564</v>
      </c>
      <c r="H541">
        <v>1</v>
      </c>
      <c r="I541" t="s">
        <v>438</v>
      </c>
      <c r="J541" t="s">
        <v>3</v>
      </c>
      <c r="K541" t="s">
        <v>439</v>
      </c>
      <c r="L541">
        <v>1191</v>
      </c>
      <c r="N541">
        <v>1013</v>
      </c>
      <c r="O541" t="s">
        <v>440</v>
      </c>
      <c r="P541" t="s">
        <v>440</v>
      </c>
      <c r="Q541">
        <v>1</v>
      </c>
      <c r="X541">
        <v>14.4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 t="s">
        <v>22</v>
      </c>
      <c r="AG541">
        <v>15.840000000000002</v>
      </c>
      <c r="AH541">
        <v>3</v>
      </c>
      <c r="AI541">
        <v>-1</v>
      </c>
      <c r="AJ541" t="s">
        <v>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ROW(Source!A362)</f>
        <v>362</v>
      </c>
      <c r="B542">
        <v>56612403</v>
      </c>
      <c r="C542">
        <v>56612400</v>
      </c>
      <c r="D542">
        <v>47766419</v>
      </c>
      <c r="E542">
        <v>1</v>
      </c>
      <c r="F542">
        <v>1</v>
      </c>
      <c r="G542">
        <v>27786564</v>
      </c>
      <c r="H542">
        <v>2</v>
      </c>
      <c r="I542" t="s">
        <v>601</v>
      </c>
      <c r="J542" t="s">
        <v>602</v>
      </c>
      <c r="K542" t="s">
        <v>603</v>
      </c>
      <c r="L542">
        <v>1368</v>
      </c>
      <c r="N542">
        <v>1011</v>
      </c>
      <c r="O542" t="s">
        <v>444</v>
      </c>
      <c r="P542" t="s">
        <v>444</v>
      </c>
      <c r="Q542">
        <v>1</v>
      </c>
      <c r="X542">
        <v>1.66</v>
      </c>
      <c r="Y542">
        <v>0</v>
      </c>
      <c r="Z542">
        <v>120.32</v>
      </c>
      <c r="AA542">
        <v>12.62</v>
      </c>
      <c r="AB542">
        <v>0</v>
      </c>
      <c r="AC542">
        <v>0</v>
      </c>
      <c r="AD542">
        <v>1</v>
      </c>
      <c r="AE542">
        <v>0</v>
      </c>
      <c r="AF542" t="s">
        <v>22</v>
      </c>
      <c r="AG542">
        <v>1.8260000000000001</v>
      </c>
      <c r="AH542">
        <v>3</v>
      </c>
      <c r="AI542">
        <v>-1</v>
      </c>
      <c r="AJ542" t="s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ROW(Source!A362)</f>
        <v>362</v>
      </c>
      <c r="B543">
        <v>56612404</v>
      </c>
      <c r="C543">
        <v>56612400</v>
      </c>
      <c r="D543">
        <v>47766660</v>
      </c>
      <c r="E543">
        <v>1</v>
      </c>
      <c r="F543">
        <v>1</v>
      </c>
      <c r="G543">
        <v>27786564</v>
      </c>
      <c r="H543">
        <v>2</v>
      </c>
      <c r="I543" t="s">
        <v>604</v>
      </c>
      <c r="J543" t="s">
        <v>605</v>
      </c>
      <c r="K543" t="s">
        <v>606</v>
      </c>
      <c r="L543">
        <v>1368</v>
      </c>
      <c r="N543">
        <v>1011</v>
      </c>
      <c r="O543" t="s">
        <v>444</v>
      </c>
      <c r="P543" t="s">
        <v>444</v>
      </c>
      <c r="Q543">
        <v>1</v>
      </c>
      <c r="X543">
        <v>1.66</v>
      </c>
      <c r="Y543">
        <v>0</v>
      </c>
      <c r="Z543">
        <v>281.32</v>
      </c>
      <c r="AA543">
        <v>16.93</v>
      </c>
      <c r="AB543">
        <v>0</v>
      </c>
      <c r="AC543">
        <v>0</v>
      </c>
      <c r="AD543">
        <v>1</v>
      </c>
      <c r="AE543">
        <v>0</v>
      </c>
      <c r="AF543" t="s">
        <v>22</v>
      </c>
      <c r="AG543">
        <v>1.8260000000000001</v>
      </c>
      <c r="AH543">
        <v>3</v>
      </c>
      <c r="AI543">
        <v>-1</v>
      </c>
      <c r="AJ543" t="s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ROW(Source!A362)</f>
        <v>362</v>
      </c>
      <c r="B544">
        <v>56612405</v>
      </c>
      <c r="C544">
        <v>56612400</v>
      </c>
      <c r="D544">
        <v>47766605</v>
      </c>
      <c r="E544">
        <v>1</v>
      </c>
      <c r="F544">
        <v>1</v>
      </c>
      <c r="G544">
        <v>27786564</v>
      </c>
      <c r="H544">
        <v>2</v>
      </c>
      <c r="I544" t="s">
        <v>607</v>
      </c>
      <c r="J544" t="s">
        <v>608</v>
      </c>
      <c r="K544" t="s">
        <v>609</v>
      </c>
      <c r="L544">
        <v>1368</v>
      </c>
      <c r="N544">
        <v>1011</v>
      </c>
      <c r="O544" t="s">
        <v>444</v>
      </c>
      <c r="P544" t="s">
        <v>444</v>
      </c>
      <c r="Q544">
        <v>1</v>
      </c>
      <c r="X544">
        <v>0.65</v>
      </c>
      <c r="Y544">
        <v>0</v>
      </c>
      <c r="Z544">
        <v>140.38</v>
      </c>
      <c r="AA544">
        <v>12.62</v>
      </c>
      <c r="AB544">
        <v>0</v>
      </c>
      <c r="AC544">
        <v>0</v>
      </c>
      <c r="AD544">
        <v>1</v>
      </c>
      <c r="AE544">
        <v>0</v>
      </c>
      <c r="AF544" t="s">
        <v>22</v>
      </c>
      <c r="AG544">
        <v>0.71500000000000008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ROW(Source!A362)</f>
        <v>362</v>
      </c>
      <c r="B545">
        <v>56612406</v>
      </c>
      <c r="C545">
        <v>56612400</v>
      </c>
      <c r="D545">
        <v>47766620</v>
      </c>
      <c r="E545">
        <v>1</v>
      </c>
      <c r="F545">
        <v>1</v>
      </c>
      <c r="G545">
        <v>27786564</v>
      </c>
      <c r="H545">
        <v>2</v>
      </c>
      <c r="I545" t="s">
        <v>595</v>
      </c>
      <c r="J545" t="s">
        <v>596</v>
      </c>
      <c r="K545" t="s">
        <v>597</v>
      </c>
      <c r="L545">
        <v>1368</v>
      </c>
      <c r="N545">
        <v>1011</v>
      </c>
      <c r="O545" t="s">
        <v>444</v>
      </c>
      <c r="P545" t="s">
        <v>444</v>
      </c>
      <c r="Q545">
        <v>1</v>
      </c>
      <c r="X545">
        <v>1.55</v>
      </c>
      <c r="Y545">
        <v>0</v>
      </c>
      <c r="Z545">
        <v>219.56</v>
      </c>
      <c r="AA545">
        <v>18.62</v>
      </c>
      <c r="AB545">
        <v>0</v>
      </c>
      <c r="AC545">
        <v>0</v>
      </c>
      <c r="AD545">
        <v>1</v>
      </c>
      <c r="AE545">
        <v>0</v>
      </c>
      <c r="AF545" t="s">
        <v>22</v>
      </c>
      <c r="AG545">
        <v>1.7050000000000003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ROW(Source!A362)</f>
        <v>362</v>
      </c>
      <c r="B546">
        <v>56612407</v>
      </c>
      <c r="C546">
        <v>56612400</v>
      </c>
      <c r="D546">
        <v>47766599</v>
      </c>
      <c r="E546">
        <v>1</v>
      </c>
      <c r="F546">
        <v>1</v>
      </c>
      <c r="G546">
        <v>27786564</v>
      </c>
      <c r="H546">
        <v>2</v>
      </c>
      <c r="I546" t="s">
        <v>610</v>
      </c>
      <c r="J546" t="s">
        <v>611</v>
      </c>
      <c r="K546" t="s">
        <v>612</v>
      </c>
      <c r="L546">
        <v>1368</v>
      </c>
      <c r="N546">
        <v>1011</v>
      </c>
      <c r="O546" t="s">
        <v>444</v>
      </c>
      <c r="P546" t="s">
        <v>444</v>
      </c>
      <c r="Q546">
        <v>1</v>
      </c>
      <c r="X546">
        <v>0.52</v>
      </c>
      <c r="Y546">
        <v>0</v>
      </c>
      <c r="Z546">
        <v>180.35</v>
      </c>
      <c r="AA546">
        <v>16.93</v>
      </c>
      <c r="AB546">
        <v>0</v>
      </c>
      <c r="AC546">
        <v>0</v>
      </c>
      <c r="AD546">
        <v>1</v>
      </c>
      <c r="AE546">
        <v>0</v>
      </c>
      <c r="AF546" t="s">
        <v>22</v>
      </c>
      <c r="AG546">
        <v>0.57200000000000006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ROW(Source!A362)</f>
        <v>362</v>
      </c>
      <c r="B547">
        <v>56612408</v>
      </c>
      <c r="C547">
        <v>56612400</v>
      </c>
      <c r="D547">
        <v>30390465</v>
      </c>
      <c r="E547">
        <v>1</v>
      </c>
      <c r="F547">
        <v>1</v>
      </c>
      <c r="G547">
        <v>27786564</v>
      </c>
      <c r="H547">
        <v>3</v>
      </c>
      <c r="I547" t="s">
        <v>584</v>
      </c>
      <c r="J547" t="s">
        <v>585</v>
      </c>
      <c r="K547" t="s">
        <v>586</v>
      </c>
      <c r="L547">
        <v>1339</v>
      </c>
      <c r="N547">
        <v>1007</v>
      </c>
      <c r="O547" t="s">
        <v>88</v>
      </c>
      <c r="P547" t="s">
        <v>88</v>
      </c>
      <c r="Q547">
        <v>1</v>
      </c>
      <c r="X547">
        <v>5</v>
      </c>
      <c r="Y547">
        <v>7.07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3</v>
      </c>
      <c r="AG547">
        <v>5</v>
      </c>
      <c r="AH547">
        <v>3</v>
      </c>
      <c r="AI547">
        <v>-1</v>
      </c>
      <c r="AJ547" t="s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ROW(Source!A362)</f>
        <v>362</v>
      </c>
      <c r="B548">
        <v>56612409</v>
      </c>
      <c r="C548">
        <v>56612400</v>
      </c>
      <c r="D548">
        <v>30384156</v>
      </c>
      <c r="E548">
        <v>27786564</v>
      </c>
      <c r="F548">
        <v>1</v>
      </c>
      <c r="G548">
        <v>27786564</v>
      </c>
      <c r="H548">
        <v>3</v>
      </c>
      <c r="I548" t="s">
        <v>613</v>
      </c>
      <c r="J548" t="s">
        <v>3</v>
      </c>
      <c r="K548" t="s">
        <v>614</v>
      </c>
      <c r="L548">
        <v>1339</v>
      </c>
      <c r="N548">
        <v>1007</v>
      </c>
      <c r="O548" t="s">
        <v>88</v>
      </c>
      <c r="P548" t="s">
        <v>88</v>
      </c>
      <c r="Q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3</v>
      </c>
      <c r="AG548">
        <v>0</v>
      </c>
      <c r="AH548">
        <v>3</v>
      </c>
      <c r="AI548">
        <v>-1</v>
      </c>
      <c r="AJ548" t="s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ROW(Source!A365)</f>
        <v>365</v>
      </c>
      <c r="B549">
        <v>56612413</v>
      </c>
      <c r="C549">
        <v>56612411</v>
      </c>
      <c r="D549">
        <v>47634407</v>
      </c>
      <c r="E549">
        <v>27786564</v>
      </c>
      <c r="F549">
        <v>1</v>
      </c>
      <c r="G549">
        <v>27786564</v>
      </c>
      <c r="H549">
        <v>1</v>
      </c>
      <c r="I549" t="s">
        <v>438</v>
      </c>
      <c r="J549" t="s">
        <v>3</v>
      </c>
      <c r="K549" t="s">
        <v>439</v>
      </c>
      <c r="L549">
        <v>1191</v>
      </c>
      <c r="N549">
        <v>1013</v>
      </c>
      <c r="O549" t="s">
        <v>440</v>
      </c>
      <c r="P549" t="s">
        <v>440</v>
      </c>
      <c r="Q549">
        <v>1</v>
      </c>
      <c r="X549">
        <v>267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 t="s">
        <v>22</v>
      </c>
      <c r="AG549">
        <v>293.70000000000005</v>
      </c>
      <c r="AH549">
        <v>3</v>
      </c>
      <c r="AI549">
        <v>-1</v>
      </c>
      <c r="AJ549" t="s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ROW(Source!A365)</f>
        <v>365</v>
      </c>
      <c r="B550">
        <v>56612414</v>
      </c>
      <c r="C550">
        <v>56612411</v>
      </c>
      <c r="D550">
        <v>47767106</v>
      </c>
      <c r="E550">
        <v>1</v>
      </c>
      <c r="F550">
        <v>1</v>
      </c>
      <c r="G550">
        <v>27786564</v>
      </c>
      <c r="H550">
        <v>2</v>
      </c>
      <c r="I550" t="s">
        <v>460</v>
      </c>
      <c r="J550" t="s">
        <v>461</v>
      </c>
      <c r="K550" t="s">
        <v>462</v>
      </c>
      <c r="L550">
        <v>1368</v>
      </c>
      <c r="N550">
        <v>1011</v>
      </c>
      <c r="O550" t="s">
        <v>444</v>
      </c>
      <c r="P550" t="s">
        <v>444</v>
      </c>
      <c r="Q550">
        <v>1</v>
      </c>
      <c r="X550">
        <v>0.59</v>
      </c>
      <c r="Y550">
        <v>0</v>
      </c>
      <c r="Z550">
        <v>83.1</v>
      </c>
      <c r="AA550">
        <v>12.62</v>
      </c>
      <c r="AB550">
        <v>0</v>
      </c>
      <c r="AC550">
        <v>0</v>
      </c>
      <c r="AD550">
        <v>1</v>
      </c>
      <c r="AE550">
        <v>0</v>
      </c>
      <c r="AF550" t="s">
        <v>22</v>
      </c>
      <c r="AG550">
        <v>0.64900000000000002</v>
      </c>
      <c r="AH550">
        <v>3</v>
      </c>
      <c r="AI550">
        <v>-1</v>
      </c>
      <c r="AJ550" t="s">
        <v>3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ROW(Source!A365)</f>
        <v>365</v>
      </c>
      <c r="B551">
        <v>56612415</v>
      </c>
      <c r="C551">
        <v>56612411</v>
      </c>
      <c r="D551">
        <v>47766454</v>
      </c>
      <c r="E551">
        <v>1</v>
      </c>
      <c r="F551">
        <v>1</v>
      </c>
      <c r="G551">
        <v>27786564</v>
      </c>
      <c r="H551">
        <v>2</v>
      </c>
      <c r="I551" t="s">
        <v>457</v>
      </c>
      <c r="J551" t="s">
        <v>458</v>
      </c>
      <c r="K551" t="s">
        <v>459</v>
      </c>
      <c r="L551">
        <v>1368</v>
      </c>
      <c r="N551">
        <v>1011</v>
      </c>
      <c r="O551" t="s">
        <v>444</v>
      </c>
      <c r="P551" t="s">
        <v>444</v>
      </c>
      <c r="Q551">
        <v>1</v>
      </c>
      <c r="X551">
        <v>0.45</v>
      </c>
      <c r="Y551">
        <v>0</v>
      </c>
      <c r="Z551">
        <v>179.17</v>
      </c>
      <c r="AA551">
        <v>16.93</v>
      </c>
      <c r="AB551">
        <v>0</v>
      </c>
      <c r="AC551">
        <v>0</v>
      </c>
      <c r="AD551">
        <v>1</v>
      </c>
      <c r="AE551">
        <v>0</v>
      </c>
      <c r="AF551" t="s">
        <v>22</v>
      </c>
      <c r="AG551">
        <v>0.49500000000000005</v>
      </c>
      <c r="AH551">
        <v>3</v>
      </c>
      <c r="AI551">
        <v>-1</v>
      </c>
      <c r="AJ551" t="s">
        <v>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ROW(Source!A365)</f>
        <v>365</v>
      </c>
      <c r="B552">
        <v>56612416</v>
      </c>
      <c r="C552">
        <v>56612411</v>
      </c>
      <c r="D552">
        <v>50545252</v>
      </c>
      <c r="E552">
        <v>1</v>
      </c>
      <c r="F552">
        <v>1</v>
      </c>
      <c r="G552">
        <v>27786564</v>
      </c>
      <c r="H552">
        <v>2</v>
      </c>
      <c r="I552" t="s">
        <v>607</v>
      </c>
      <c r="J552" t="s">
        <v>615</v>
      </c>
      <c r="K552" t="s">
        <v>609</v>
      </c>
      <c r="L552">
        <v>1368</v>
      </c>
      <c r="N552">
        <v>1011</v>
      </c>
      <c r="O552" t="s">
        <v>444</v>
      </c>
      <c r="P552" t="s">
        <v>444</v>
      </c>
      <c r="Q552">
        <v>1</v>
      </c>
      <c r="X552">
        <v>11.76</v>
      </c>
      <c r="Y552">
        <v>0</v>
      </c>
      <c r="Z552">
        <v>140.38</v>
      </c>
      <c r="AA552">
        <v>12.62</v>
      </c>
      <c r="AB552">
        <v>0</v>
      </c>
      <c r="AC552">
        <v>0</v>
      </c>
      <c r="AD552">
        <v>1</v>
      </c>
      <c r="AE552">
        <v>0</v>
      </c>
      <c r="AF552" t="s">
        <v>22</v>
      </c>
      <c r="AG552">
        <v>12.936</v>
      </c>
      <c r="AH552">
        <v>3</v>
      </c>
      <c r="AI552">
        <v>-1</v>
      </c>
      <c r="AJ552" t="s">
        <v>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ROW(Source!A365)</f>
        <v>365</v>
      </c>
      <c r="B553">
        <v>56612417</v>
      </c>
      <c r="C553">
        <v>56612411</v>
      </c>
      <c r="D553">
        <v>47766627</v>
      </c>
      <c r="E553">
        <v>1</v>
      </c>
      <c r="F553">
        <v>1</v>
      </c>
      <c r="G553">
        <v>27786564</v>
      </c>
      <c r="H553">
        <v>2</v>
      </c>
      <c r="I553" t="s">
        <v>616</v>
      </c>
      <c r="J553" t="s">
        <v>617</v>
      </c>
      <c r="K553" t="s">
        <v>618</v>
      </c>
      <c r="L553">
        <v>1368</v>
      </c>
      <c r="N553">
        <v>1011</v>
      </c>
      <c r="O553" t="s">
        <v>444</v>
      </c>
      <c r="P553" t="s">
        <v>444</v>
      </c>
      <c r="Q553">
        <v>1</v>
      </c>
      <c r="X553">
        <v>10.8</v>
      </c>
      <c r="Y553">
        <v>0</v>
      </c>
      <c r="Z553">
        <v>20.51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22</v>
      </c>
      <c r="AG553">
        <v>11.880000000000003</v>
      </c>
      <c r="AH553">
        <v>3</v>
      </c>
      <c r="AI553">
        <v>-1</v>
      </c>
      <c r="AJ553" t="s">
        <v>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ROW(Source!A365)</f>
        <v>365</v>
      </c>
      <c r="B554">
        <v>56612418</v>
      </c>
      <c r="C554">
        <v>56612411</v>
      </c>
      <c r="D554">
        <v>47766687</v>
      </c>
      <c r="E554">
        <v>1</v>
      </c>
      <c r="F554">
        <v>1</v>
      </c>
      <c r="G554">
        <v>27786564</v>
      </c>
      <c r="H554">
        <v>2</v>
      </c>
      <c r="I554" t="s">
        <v>619</v>
      </c>
      <c r="J554" t="s">
        <v>620</v>
      </c>
      <c r="K554" t="s">
        <v>621</v>
      </c>
      <c r="L554">
        <v>1368</v>
      </c>
      <c r="N554">
        <v>1011</v>
      </c>
      <c r="O554" t="s">
        <v>444</v>
      </c>
      <c r="P554" t="s">
        <v>444</v>
      </c>
      <c r="Q554">
        <v>1</v>
      </c>
      <c r="X554">
        <v>17.399999999999999</v>
      </c>
      <c r="Y554">
        <v>0</v>
      </c>
      <c r="Z554">
        <v>0.23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22</v>
      </c>
      <c r="AG554">
        <v>19.14</v>
      </c>
      <c r="AH554">
        <v>3</v>
      </c>
      <c r="AI554">
        <v>-1</v>
      </c>
      <c r="AJ554" t="s">
        <v>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ROW(Source!A365)</f>
        <v>365</v>
      </c>
      <c r="B555">
        <v>56612419</v>
      </c>
      <c r="C555">
        <v>56612411</v>
      </c>
      <c r="D555">
        <v>49868265</v>
      </c>
      <c r="E555">
        <v>1</v>
      </c>
      <c r="F555">
        <v>1</v>
      </c>
      <c r="G555">
        <v>27786564</v>
      </c>
      <c r="H555">
        <v>3</v>
      </c>
      <c r="I555" t="s">
        <v>622</v>
      </c>
      <c r="J555" t="s">
        <v>623</v>
      </c>
      <c r="K555" t="s">
        <v>624</v>
      </c>
      <c r="L555">
        <v>1327</v>
      </c>
      <c r="N555">
        <v>1005</v>
      </c>
      <c r="O555" t="s">
        <v>510</v>
      </c>
      <c r="P555" t="s">
        <v>510</v>
      </c>
      <c r="Q555">
        <v>1</v>
      </c>
      <c r="X555">
        <v>12</v>
      </c>
      <c r="Y555">
        <v>5.04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3</v>
      </c>
      <c r="AG555">
        <v>12</v>
      </c>
      <c r="AH555">
        <v>3</v>
      </c>
      <c r="AI555">
        <v>-1</v>
      </c>
      <c r="AJ555" t="s">
        <v>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ROW(Source!A365)</f>
        <v>365</v>
      </c>
      <c r="B556">
        <v>56612420</v>
      </c>
      <c r="C556">
        <v>56612411</v>
      </c>
      <c r="D556">
        <v>30390465</v>
      </c>
      <c r="E556">
        <v>1</v>
      </c>
      <c r="F556">
        <v>1</v>
      </c>
      <c r="G556">
        <v>27786564</v>
      </c>
      <c r="H556">
        <v>3</v>
      </c>
      <c r="I556" t="s">
        <v>584</v>
      </c>
      <c r="J556" t="s">
        <v>585</v>
      </c>
      <c r="K556" t="s">
        <v>586</v>
      </c>
      <c r="L556">
        <v>1339</v>
      </c>
      <c r="N556">
        <v>1007</v>
      </c>
      <c r="O556" t="s">
        <v>88</v>
      </c>
      <c r="P556" t="s">
        <v>88</v>
      </c>
      <c r="Q556">
        <v>1</v>
      </c>
      <c r="X556">
        <v>178</v>
      </c>
      <c r="Y556">
        <v>7.07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3</v>
      </c>
      <c r="AG556">
        <v>178</v>
      </c>
      <c r="AH556">
        <v>3</v>
      </c>
      <c r="AI556">
        <v>-1</v>
      </c>
      <c r="AJ556" t="s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ROW(Source!A365)</f>
        <v>365</v>
      </c>
      <c r="B557">
        <v>56612421</v>
      </c>
      <c r="C557">
        <v>56612411</v>
      </c>
      <c r="D557">
        <v>49868167</v>
      </c>
      <c r="E557">
        <v>1</v>
      </c>
      <c r="F557">
        <v>1</v>
      </c>
      <c r="G557">
        <v>27786564</v>
      </c>
      <c r="H557">
        <v>3</v>
      </c>
      <c r="I557" t="s">
        <v>625</v>
      </c>
      <c r="J557" t="s">
        <v>626</v>
      </c>
      <c r="K557" t="s">
        <v>627</v>
      </c>
      <c r="L557">
        <v>1348</v>
      </c>
      <c r="N557">
        <v>1009</v>
      </c>
      <c r="O557" t="s">
        <v>330</v>
      </c>
      <c r="P557" t="s">
        <v>330</v>
      </c>
      <c r="Q557">
        <v>1000</v>
      </c>
      <c r="X557">
        <v>0.09</v>
      </c>
      <c r="Y557">
        <v>3386.07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3</v>
      </c>
      <c r="AG557">
        <v>0.09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ROW(Source!A365)</f>
        <v>365</v>
      </c>
      <c r="B558">
        <v>56612422</v>
      </c>
      <c r="C558">
        <v>56612411</v>
      </c>
      <c r="D558">
        <v>49108184</v>
      </c>
      <c r="E558">
        <v>1</v>
      </c>
      <c r="F558">
        <v>1</v>
      </c>
      <c r="G558">
        <v>27786564</v>
      </c>
      <c r="H558">
        <v>3</v>
      </c>
      <c r="I558" t="s">
        <v>86</v>
      </c>
      <c r="J558" t="s">
        <v>89</v>
      </c>
      <c r="K558" t="s">
        <v>87</v>
      </c>
      <c r="L558">
        <v>1339</v>
      </c>
      <c r="N558">
        <v>1007</v>
      </c>
      <c r="O558" t="s">
        <v>88</v>
      </c>
      <c r="P558" t="s">
        <v>88</v>
      </c>
      <c r="Q558">
        <v>1</v>
      </c>
      <c r="X558">
        <v>40</v>
      </c>
      <c r="Y558">
        <v>104.99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3</v>
      </c>
      <c r="AG558">
        <v>40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ROW(Source!A365)</f>
        <v>365</v>
      </c>
      <c r="B559">
        <v>56612423</v>
      </c>
      <c r="C559">
        <v>56612411</v>
      </c>
      <c r="D559">
        <v>46727938</v>
      </c>
      <c r="E559">
        <v>1</v>
      </c>
      <c r="F559">
        <v>1</v>
      </c>
      <c r="G559">
        <v>27786564</v>
      </c>
      <c r="H559">
        <v>3</v>
      </c>
      <c r="I559" t="s">
        <v>628</v>
      </c>
      <c r="J559" t="s">
        <v>629</v>
      </c>
      <c r="K559" t="s">
        <v>630</v>
      </c>
      <c r="L559">
        <v>1327</v>
      </c>
      <c r="N559">
        <v>1005</v>
      </c>
      <c r="O559" t="s">
        <v>510</v>
      </c>
      <c r="P559" t="s">
        <v>510</v>
      </c>
      <c r="Q559">
        <v>1</v>
      </c>
      <c r="X559">
        <v>10.199999999999999</v>
      </c>
      <c r="Y559">
        <v>90.15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3</v>
      </c>
      <c r="AG559">
        <v>10.199999999999999</v>
      </c>
      <c r="AH559">
        <v>3</v>
      </c>
      <c r="AI559">
        <v>-1</v>
      </c>
      <c r="AJ559" t="s">
        <v>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ROW(Source!A365)</f>
        <v>365</v>
      </c>
      <c r="B560">
        <v>56612424</v>
      </c>
      <c r="C560">
        <v>56612411</v>
      </c>
      <c r="D560">
        <v>30385148</v>
      </c>
      <c r="E560">
        <v>27786564</v>
      </c>
      <c r="F560">
        <v>1</v>
      </c>
      <c r="G560">
        <v>27786564</v>
      </c>
      <c r="H560">
        <v>3</v>
      </c>
      <c r="I560" t="s">
        <v>631</v>
      </c>
      <c r="J560" t="s">
        <v>3</v>
      </c>
      <c r="K560" t="s">
        <v>632</v>
      </c>
      <c r="L560">
        <v>1339</v>
      </c>
      <c r="N560">
        <v>1007</v>
      </c>
      <c r="O560" t="s">
        <v>88</v>
      </c>
      <c r="P560" t="s">
        <v>88</v>
      </c>
      <c r="Q560">
        <v>1</v>
      </c>
      <c r="X560">
        <v>162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3</v>
      </c>
      <c r="AG560">
        <v>162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ROW(Source!A366)</f>
        <v>366</v>
      </c>
      <c r="B561">
        <v>56612413</v>
      </c>
      <c r="C561">
        <v>56612411</v>
      </c>
      <c r="D561">
        <v>47634407</v>
      </c>
      <c r="E561">
        <v>27786564</v>
      </c>
      <c r="F561">
        <v>1</v>
      </c>
      <c r="G561">
        <v>27786564</v>
      </c>
      <c r="H561">
        <v>1</v>
      </c>
      <c r="I561" t="s">
        <v>438</v>
      </c>
      <c r="J561" t="s">
        <v>3</v>
      </c>
      <c r="K561" t="s">
        <v>439</v>
      </c>
      <c r="L561">
        <v>1191</v>
      </c>
      <c r="N561">
        <v>1013</v>
      </c>
      <c r="O561" t="s">
        <v>440</v>
      </c>
      <c r="P561" t="s">
        <v>440</v>
      </c>
      <c r="Q561">
        <v>1</v>
      </c>
      <c r="X561">
        <v>267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22</v>
      </c>
      <c r="AG561">
        <v>293.70000000000005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ROW(Source!A366)</f>
        <v>366</v>
      </c>
      <c r="B562">
        <v>56612414</v>
      </c>
      <c r="C562">
        <v>56612411</v>
      </c>
      <c r="D562">
        <v>47767106</v>
      </c>
      <c r="E562">
        <v>1</v>
      </c>
      <c r="F562">
        <v>1</v>
      </c>
      <c r="G562">
        <v>27786564</v>
      </c>
      <c r="H562">
        <v>2</v>
      </c>
      <c r="I562" t="s">
        <v>460</v>
      </c>
      <c r="J562" t="s">
        <v>461</v>
      </c>
      <c r="K562" t="s">
        <v>462</v>
      </c>
      <c r="L562">
        <v>1368</v>
      </c>
      <c r="N562">
        <v>1011</v>
      </c>
      <c r="O562" t="s">
        <v>444</v>
      </c>
      <c r="P562" t="s">
        <v>444</v>
      </c>
      <c r="Q562">
        <v>1</v>
      </c>
      <c r="X562">
        <v>0.59</v>
      </c>
      <c r="Y562">
        <v>0</v>
      </c>
      <c r="Z562">
        <v>83.1</v>
      </c>
      <c r="AA562">
        <v>12.62</v>
      </c>
      <c r="AB562">
        <v>0</v>
      </c>
      <c r="AC562">
        <v>0</v>
      </c>
      <c r="AD562">
        <v>1</v>
      </c>
      <c r="AE562">
        <v>0</v>
      </c>
      <c r="AF562" t="s">
        <v>22</v>
      </c>
      <c r="AG562">
        <v>0.64900000000000002</v>
      </c>
      <c r="AH562">
        <v>3</v>
      </c>
      <c r="AI562">
        <v>-1</v>
      </c>
      <c r="AJ562" t="s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ROW(Source!A366)</f>
        <v>366</v>
      </c>
      <c r="B563">
        <v>56612415</v>
      </c>
      <c r="C563">
        <v>56612411</v>
      </c>
      <c r="D563">
        <v>47766454</v>
      </c>
      <c r="E563">
        <v>1</v>
      </c>
      <c r="F563">
        <v>1</v>
      </c>
      <c r="G563">
        <v>27786564</v>
      </c>
      <c r="H563">
        <v>2</v>
      </c>
      <c r="I563" t="s">
        <v>457</v>
      </c>
      <c r="J563" t="s">
        <v>458</v>
      </c>
      <c r="K563" t="s">
        <v>459</v>
      </c>
      <c r="L563">
        <v>1368</v>
      </c>
      <c r="N563">
        <v>1011</v>
      </c>
      <c r="O563" t="s">
        <v>444</v>
      </c>
      <c r="P563" t="s">
        <v>444</v>
      </c>
      <c r="Q563">
        <v>1</v>
      </c>
      <c r="X563">
        <v>0.45</v>
      </c>
      <c r="Y563">
        <v>0</v>
      </c>
      <c r="Z563">
        <v>179.17</v>
      </c>
      <c r="AA563">
        <v>16.93</v>
      </c>
      <c r="AB563">
        <v>0</v>
      </c>
      <c r="AC563">
        <v>0</v>
      </c>
      <c r="AD563">
        <v>1</v>
      </c>
      <c r="AE563">
        <v>0</v>
      </c>
      <c r="AF563" t="s">
        <v>22</v>
      </c>
      <c r="AG563">
        <v>0.49500000000000005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ROW(Source!A366)</f>
        <v>366</v>
      </c>
      <c r="B564">
        <v>56612416</v>
      </c>
      <c r="C564">
        <v>56612411</v>
      </c>
      <c r="D564">
        <v>50545252</v>
      </c>
      <c r="E564">
        <v>1</v>
      </c>
      <c r="F564">
        <v>1</v>
      </c>
      <c r="G564">
        <v>27786564</v>
      </c>
      <c r="H564">
        <v>2</v>
      </c>
      <c r="I564" t="s">
        <v>607</v>
      </c>
      <c r="J564" t="s">
        <v>615</v>
      </c>
      <c r="K564" t="s">
        <v>609</v>
      </c>
      <c r="L564">
        <v>1368</v>
      </c>
      <c r="N564">
        <v>1011</v>
      </c>
      <c r="O564" t="s">
        <v>444</v>
      </c>
      <c r="P564" t="s">
        <v>444</v>
      </c>
      <c r="Q564">
        <v>1</v>
      </c>
      <c r="X564">
        <v>11.76</v>
      </c>
      <c r="Y564">
        <v>0</v>
      </c>
      <c r="Z564">
        <v>140.38</v>
      </c>
      <c r="AA564">
        <v>12.62</v>
      </c>
      <c r="AB564">
        <v>0</v>
      </c>
      <c r="AC564">
        <v>0</v>
      </c>
      <c r="AD564">
        <v>1</v>
      </c>
      <c r="AE564">
        <v>0</v>
      </c>
      <c r="AF564" t="s">
        <v>22</v>
      </c>
      <c r="AG564">
        <v>12.936</v>
      </c>
      <c r="AH564">
        <v>3</v>
      </c>
      <c r="AI564">
        <v>-1</v>
      </c>
      <c r="AJ564" t="s">
        <v>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ROW(Source!A366)</f>
        <v>366</v>
      </c>
      <c r="B565">
        <v>56612417</v>
      </c>
      <c r="C565">
        <v>56612411</v>
      </c>
      <c r="D565">
        <v>47766627</v>
      </c>
      <c r="E565">
        <v>1</v>
      </c>
      <c r="F565">
        <v>1</v>
      </c>
      <c r="G565">
        <v>27786564</v>
      </c>
      <c r="H565">
        <v>2</v>
      </c>
      <c r="I565" t="s">
        <v>616</v>
      </c>
      <c r="J565" t="s">
        <v>617</v>
      </c>
      <c r="K565" t="s">
        <v>618</v>
      </c>
      <c r="L565">
        <v>1368</v>
      </c>
      <c r="N565">
        <v>1011</v>
      </c>
      <c r="O565" t="s">
        <v>444</v>
      </c>
      <c r="P565" t="s">
        <v>444</v>
      </c>
      <c r="Q565">
        <v>1</v>
      </c>
      <c r="X565">
        <v>10.8</v>
      </c>
      <c r="Y565">
        <v>0</v>
      </c>
      <c r="Z565">
        <v>20.51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22</v>
      </c>
      <c r="AG565">
        <v>11.880000000000003</v>
      </c>
      <c r="AH565">
        <v>3</v>
      </c>
      <c r="AI565">
        <v>-1</v>
      </c>
      <c r="AJ565" t="s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ROW(Source!A366)</f>
        <v>366</v>
      </c>
      <c r="B566">
        <v>56612418</v>
      </c>
      <c r="C566">
        <v>56612411</v>
      </c>
      <c r="D566">
        <v>47766687</v>
      </c>
      <c r="E566">
        <v>1</v>
      </c>
      <c r="F566">
        <v>1</v>
      </c>
      <c r="G566">
        <v>27786564</v>
      </c>
      <c r="H566">
        <v>2</v>
      </c>
      <c r="I566" t="s">
        <v>619</v>
      </c>
      <c r="J566" t="s">
        <v>620</v>
      </c>
      <c r="K566" t="s">
        <v>621</v>
      </c>
      <c r="L566">
        <v>1368</v>
      </c>
      <c r="N566">
        <v>1011</v>
      </c>
      <c r="O566" t="s">
        <v>444</v>
      </c>
      <c r="P566" t="s">
        <v>444</v>
      </c>
      <c r="Q566">
        <v>1</v>
      </c>
      <c r="X566">
        <v>17.399999999999999</v>
      </c>
      <c r="Y566">
        <v>0</v>
      </c>
      <c r="Z566">
        <v>0.23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22</v>
      </c>
      <c r="AG566">
        <v>19.14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ROW(Source!A366)</f>
        <v>366</v>
      </c>
      <c r="B567">
        <v>56612419</v>
      </c>
      <c r="C567">
        <v>56612411</v>
      </c>
      <c r="D567">
        <v>49868265</v>
      </c>
      <c r="E567">
        <v>1</v>
      </c>
      <c r="F567">
        <v>1</v>
      </c>
      <c r="G567">
        <v>27786564</v>
      </c>
      <c r="H567">
        <v>3</v>
      </c>
      <c r="I567" t="s">
        <v>622</v>
      </c>
      <c r="J567" t="s">
        <v>623</v>
      </c>
      <c r="K567" t="s">
        <v>624</v>
      </c>
      <c r="L567">
        <v>1327</v>
      </c>
      <c r="N567">
        <v>1005</v>
      </c>
      <c r="O567" t="s">
        <v>510</v>
      </c>
      <c r="P567" t="s">
        <v>510</v>
      </c>
      <c r="Q567">
        <v>1</v>
      </c>
      <c r="X567">
        <v>12</v>
      </c>
      <c r="Y567">
        <v>5.04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3</v>
      </c>
      <c r="AG567">
        <v>12</v>
      </c>
      <c r="AH567">
        <v>3</v>
      </c>
      <c r="AI567">
        <v>-1</v>
      </c>
      <c r="AJ567" t="s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ROW(Source!A366)</f>
        <v>366</v>
      </c>
      <c r="B568">
        <v>56612420</v>
      </c>
      <c r="C568">
        <v>56612411</v>
      </c>
      <c r="D568">
        <v>30390465</v>
      </c>
      <c r="E568">
        <v>1</v>
      </c>
      <c r="F568">
        <v>1</v>
      </c>
      <c r="G568">
        <v>27786564</v>
      </c>
      <c r="H568">
        <v>3</v>
      </c>
      <c r="I568" t="s">
        <v>584</v>
      </c>
      <c r="J568" t="s">
        <v>585</v>
      </c>
      <c r="K568" t="s">
        <v>586</v>
      </c>
      <c r="L568">
        <v>1339</v>
      </c>
      <c r="N568">
        <v>1007</v>
      </c>
      <c r="O568" t="s">
        <v>88</v>
      </c>
      <c r="P568" t="s">
        <v>88</v>
      </c>
      <c r="Q568">
        <v>1</v>
      </c>
      <c r="X568">
        <v>178</v>
      </c>
      <c r="Y568">
        <v>7.07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3</v>
      </c>
      <c r="AG568">
        <v>178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ROW(Source!A366)</f>
        <v>366</v>
      </c>
      <c r="B569">
        <v>56612421</v>
      </c>
      <c r="C569">
        <v>56612411</v>
      </c>
      <c r="D569">
        <v>49868167</v>
      </c>
      <c r="E569">
        <v>1</v>
      </c>
      <c r="F569">
        <v>1</v>
      </c>
      <c r="G569">
        <v>27786564</v>
      </c>
      <c r="H569">
        <v>3</v>
      </c>
      <c r="I569" t="s">
        <v>625</v>
      </c>
      <c r="J569" t="s">
        <v>626</v>
      </c>
      <c r="K569" t="s">
        <v>627</v>
      </c>
      <c r="L569">
        <v>1348</v>
      </c>
      <c r="N569">
        <v>1009</v>
      </c>
      <c r="O569" t="s">
        <v>330</v>
      </c>
      <c r="P569" t="s">
        <v>330</v>
      </c>
      <c r="Q569">
        <v>1000</v>
      </c>
      <c r="X569">
        <v>0.09</v>
      </c>
      <c r="Y569">
        <v>3386.07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3</v>
      </c>
      <c r="AG569">
        <v>0.09</v>
      </c>
      <c r="AH569">
        <v>3</v>
      </c>
      <c r="AI569">
        <v>-1</v>
      </c>
      <c r="AJ569" t="s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ROW(Source!A366)</f>
        <v>366</v>
      </c>
      <c r="B570">
        <v>56612422</v>
      </c>
      <c r="C570">
        <v>56612411</v>
      </c>
      <c r="D570">
        <v>49108184</v>
      </c>
      <c r="E570">
        <v>1</v>
      </c>
      <c r="F570">
        <v>1</v>
      </c>
      <c r="G570">
        <v>27786564</v>
      </c>
      <c r="H570">
        <v>3</v>
      </c>
      <c r="I570" t="s">
        <v>86</v>
      </c>
      <c r="J570" t="s">
        <v>89</v>
      </c>
      <c r="K570" t="s">
        <v>87</v>
      </c>
      <c r="L570">
        <v>1339</v>
      </c>
      <c r="N570">
        <v>1007</v>
      </c>
      <c r="O570" t="s">
        <v>88</v>
      </c>
      <c r="P570" t="s">
        <v>88</v>
      </c>
      <c r="Q570">
        <v>1</v>
      </c>
      <c r="X570">
        <v>40</v>
      </c>
      <c r="Y570">
        <v>104.99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3</v>
      </c>
      <c r="AG570">
        <v>40</v>
      </c>
      <c r="AH570">
        <v>3</v>
      </c>
      <c r="AI570">
        <v>-1</v>
      </c>
      <c r="AJ570" t="s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ROW(Source!A366)</f>
        <v>366</v>
      </c>
      <c r="B571">
        <v>56612423</v>
      </c>
      <c r="C571">
        <v>56612411</v>
      </c>
      <c r="D571">
        <v>46727938</v>
      </c>
      <c r="E571">
        <v>1</v>
      </c>
      <c r="F571">
        <v>1</v>
      </c>
      <c r="G571">
        <v>27786564</v>
      </c>
      <c r="H571">
        <v>3</v>
      </c>
      <c r="I571" t="s">
        <v>628</v>
      </c>
      <c r="J571" t="s">
        <v>629</v>
      </c>
      <c r="K571" t="s">
        <v>630</v>
      </c>
      <c r="L571">
        <v>1327</v>
      </c>
      <c r="N571">
        <v>1005</v>
      </c>
      <c r="O571" t="s">
        <v>510</v>
      </c>
      <c r="P571" t="s">
        <v>510</v>
      </c>
      <c r="Q571">
        <v>1</v>
      </c>
      <c r="X571">
        <v>10.199999999999999</v>
      </c>
      <c r="Y571">
        <v>90.15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</v>
      </c>
      <c r="AG571">
        <v>10.199999999999999</v>
      </c>
      <c r="AH571">
        <v>3</v>
      </c>
      <c r="AI571">
        <v>-1</v>
      </c>
      <c r="AJ571" t="s">
        <v>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ROW(Source!A366)</f>
        <v>366</v>
      </c>
      <c r="B572">
        <v>56612424</v>
      </c>
      <c r="C572">
        <v>56612411</v>
      </c>
      <c r="D572">
        <v>30385148</v>
      </c>
      <c r="E572">
        <v>27786564</v>
      </c>
      <c r="F572">
        <v>1</v>
      </c>
      <c r="G572">
        <v>27786564</v>
      </c>
      <c r="H572">
        <v>3</v>
      </c>
      <c r="I572" t="s">
        <v>631</v>
      </c>
      <c r="J572" t="s">
        <v>3</v>
      </c>
      <c r="K572" t="s">
        <v>632</v>
      </c>
      <c r="L572">
        <v>1339</v>
      </c>
      <c r="N572">
        <v>1007</v>
      </c>
      <c r="O572" t="s">
        <v>88</v>
      </c>
      <c r="P572" t="s">
        <v>88</v>
      </c>
      <c r="Q572">
        <v>1</v>
      </c>
      <c r="X572">
        <v>162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3</v>
      </c>
      <c r="AG572">
        <v>162</v>
      </c>
      <c r="AH572">
        <v>3</v>
      </c>
      <c r="AI572">
        <v>-1</v>
      </c>
      <c r="AJ572" t="s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ROW(Source!A369)</f>
        <v>369</v>
      </c>
      <c r="B573">
        <v>56612428</v>
      </c>
      <c r="C573">
        <v>56612426</v>
      </c>
      <c r="D573">
        <v>47634407</v>
      </c>
      <c r="E573">
        <v>27786564</v>
      </c>
      <c r="F573">
        <v>1</v>
      </c>
      <c r="G573">
        <v>27786564</v>
      </c>
      <c r="H573">
        <v>1</v>
      </c>
      <c r="I573" t="s">
        <v>438</v>
      </c>
      <c r="J573" t="s">
        <v>3</v>
      </c>
      <c r="K573" t="s">
        <v>439</v>
      </c>
      <c r="L573">
        <v>1191</v>
      </c>
      <c r="N573">
        <v>1013</v>
      </c>
      <c r="O573" t="s">
        <v>440</v>
      </c>
      <c r="P573" t="s">
        <v>440</v>
      </c>
      <c r="Q573">
        <v>1</v>
      </c>
      <c r="X573">
        <v>5.17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1</v>
      </c>
      <c r="AF573" t="s">
        <v>413</v>
      </c>
      <c r="AG573">
        <v>73.930999999999997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ROW(Source!A369)</f>
        <v>369</v>
      </c>
      <c r="B574">
        <v>56612429</v>
      </c>
      <c r="C574">
        <v>56612426</v>
      </c>
      <c r="D574">
        <v>30414261</v>
      </c>
      <c r="E574">
        <v>1</v>
      </c>
      <c r="F574">
        <v>1</v>
      </c>
      <c r="G574">
        <v>27786564</v>
      </c>
      <c r="H574">
        <v>3</v>
      </c>
      <c r="I574" t="s">
        <v>628</v>
      </c>
      <c r="J574" t="s">
        <v>633</v>
      </c>
      <c r="K574" t="s">
        <v>634</v>
      </c>
      <c r="L574">
        <v>1327</v>
      </c>
      <c r="N574">
        <v>1005</v>
      </c>
      <c r="O574" t="s">
        <v>510</v>
      </c>
      <c r="P574" t="s">
        <v>510</v>
      </c>
      <c r="Q574">
        <v>1</v>
      </c>
      <c r="X574">
        <v>0.65</v>
      </c>
      <c r="Y574">
        <v>90.15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</v>
      </c>
      <c r="AG574">
        <v>0.65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ROW(Source!A369)</f>
        <v>369</v>
      </c>
      <c r="B575">
        <v>56612430</v>
      </c>
      <c r="C575">
        <v>56612426</v>
      </c>
      <c r="D575">
        <v>30385148</v>
      </c>
      <c r="E575">
        <v>27786564</v>
      </c>
      <c r="F575">
        <v>1</v>
      </c>
      <c r="G575">
        <v>27786564</v>
      </c>
      <c r="H575">
        <v>3</v>
      </c>
      <c r="I575" t="s">
        <v>631</v>
      </c>
      <c r="J575" t="s">
        <v>3</v>
      </c>
      <c r="K575" t="s">
        <v>632</v>
      </c>
      <c r="L575">
        <v>1339</v>
      </c>
      <c r="N575">
        <v>1007</v>
      </c>
      <c r="O575" t="s">
        <v>88</v>
      </c>
      <c r="P575" t="s">
        <v>88</v>
      </c>
      <c r="Q575">
        <v>1</v>
      </c>
      <c r="X575">
        <v>10.199999999999999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3</v>
      </c>
      <c r="AG575">
        <v>10.199999999999999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ROW(Source!A370)</f>
        <v>370</v>
      </c>
      <c r="B576">
        <v>56612428</v>
      </c>
      <c r="C576">
        <v>56612426</v>
      </c>
      <c r="D576">
        <v>47634407</v>
      </c>
      <c r="E576">
        <v>27786564</v>
      </c>
      <c r="F576">
        <v>1</v>
      </c>
      <c r="G576">
        <v>27786564</v>
      </c>
      <c r="H576">
        <v>1</v>
      </c>
      <c r="I576" t="s">
        <v>438</v>
      </c>
      <c r="J576" t="s">
        <v>3</v>
      </c>
      <c r="K576" t="s">
        <v>439</v>
      </c>
      <c r="L576">
        <v>1191</v>
      </c>
      <c r="N576">
        <v>1013</v>
      </c>
      <c r="O576" t="s">
        <v>440</v>
      </c>
      <c r="P576" t="s">
        <v>440</v>
      </c>
      <c r="Q576">
        <v>1</v>
      </c>
      <c r="X576">
        <v>5.17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 t="s">
        <v>413</v>
      </c>
      <c r="AG576">
        <v>73.930999999999997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ROW(Source!A370)</f>
        <v>370</v>
      </c>
      <c r="B577">
        <v>56612429</v>
      </c>
      <c r="C577">
        <v>56612426</v>
      </c>
      <c r="D577">
        <v>30414261</v>
      </c>
      <c r="E577">
        <v>1</v>
      </c>
      <c r="F577">
        <v>1</v>
      </c>
      <c r="G577">
        <v>27786564</v>
      </c>
      <c r="H577">
        <v>3</v>
      </c>
      <c r="I577" t="s">
        <v>628</v>
      </c>
      <c r="J577" t="s">
        <v>633</v>
      </c>
      <c r="K577" t="s">
        <v>634</v>
      </c>
      <c r="L577">
        <v>1327</v>
      </c>
      <c r="N577">
        <v>1005</v>
      </c>
      <c r="O577" t="s">
        <v>510</v>
      </c>
      <c r="P577" t="s">
        <v>510</v>
      </c>
      <c r="Q577">
        <v>1</v>
      </c>
      <c r="X577">
        <v>0.65</v>
      </c>
      <c r="Y577">
        <v>90.15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 t="s">
        <v>3</v>
      </c>
      <c r="AG577">
        <v>0.65</v>
      </c>
      <c r="AH577">
        <v>3</v>
      </c>
      <c r="AI577">
        <v>-1</v>
      </c>
      <c r="AJ577" t="s">
        <v>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ROW(Source!A370)</f>
        <v>370</v>
      </c>
      <c r="B578">
        <v>56612430</v>
      </c>
      <c r="C578">
        <v>56612426</v>
      </c>
      <c r="D578">
        <v>30385148</v>
      </c>
      <c r="E578">
        <v>27786564</v>
      </c>
      <c r="F578">
        <v>1</v>
      </c>
      <c r="G578">
        <v>27786564</v>
      </c>
      <c r="H578">
        <v>3</v>
      </c>
      <c r="I578" t="s">
        <v>631</v>
      </c>
      <c r="J578" t="s">
        <v>3</v>
      </c>
      <c r="K578" t="s">
        <v>632</v>
      </c>
      <c r="L578">
        <v>1339</v>
      </c>
      <c r="N578">
        <v>1007</v>
      </c>
      <c r="O578" t="s">
        <v>88</v>
      </c>
      <c r="P578" t="s">
        <v>88</v>
      </c>
      <c r="Q578">
        <v>1</v>
      </c>
      <c r="X578">
        <v>10.199999999999999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</v>
      </c>
      <c r="AG578">
        <v>10.199999999999999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ROW(Source!A373)</f>
        <v>373</v>
      </c>
      <c r="B579">
        <v>56612434</v>
      </c>
      <c r="C579">
        <v>56612432</v>
      </c>
      <c r="D579">
        <v>47634407</v>
      </c>
      <c r="E579">
        <v>27786564</v>
      </c>
      <c r="F579">
        <v>1</v>
      </c>
      <c r="G579">
        <v>27786564</v>
      </c>
      <c r="H579">
        <v>1</v>
      </c>
      <c r="I579" t="s">
        <v>438</v>
      </c>
      <c r="J579" t="s">
        <v>3</v>
      </c>
      <c r="K579" t="s">
        <v>439</v>
      </c>
      <c r="L579">
        <v>1191</v>
      </c>
      <c r="N579">
        <v>1013</v>
      </c>
      <c r="O579" t="s">
        <v>440</v>
      </c>
      <c r="P579" t="s">
        <v>440</v>
      </c>
      <c r="Q579">
        <v>1</v>
      </c>
      <c r="X579">
        <v>21.6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22</v>
      </c>
      <c r="AG579">
        <v>23.760000000000005</v>
      </c>
      <c r="AH579">
        <v>3</v>
      </c>
      <c r="AI579">
        <v>-1</v>
      </c>
      <c r="AJ579" t="s">
        <v>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ROW(Source!A373)</f>
        <v>373</v>
      </c>
      <c r="B580">
        <v>56612435</v>
      </c>
      <c r="C580">
        <v>56612432</v>
      </c>
      <c r="D580">
        <v>47766400</v>
      </c>
      <c r="E580">
        <v>1</v>
      </c>
      <c r="F580">
        <v>1</v>
      </c>
      <c r="G580">
        <v>27786564</v>
      </c>
      <c r="H580">
        <v>2</v>
      </c>
      <c r="I580" t="s">
        <v>445</v>
      </c>
      <c r="J580" t="s">
        <v>446</v>
      </c>
      <c r="K580" t="s">
        <v>447</v>
      </c>
      <c r="L580">
        <v>1368</v>
      </c>
      <c r="N580">
        <v>1011</v>
      </c>
      <c r="O580" t="s">
        <v>444</v>
      </c>
      <c r="P580" t="s">
        <v>444</v>
      </c>
      <c r="Q580">
        <v>1</v>
      </c>
      <c r="X580">
        <v>2.35</v>
      </c>
      <c r="Y580">
        <v>0</v>
      </c>
      <c r="Z580">
        <v>145.59</v>
      </c>
      <c r="AA580">
        <v>14.54</v>
      </c>
      <c r="AB580">
        <v>0</v>
      </c>
      <c r="AC580">
        <v>0</v>
      </c>
      <c r="AD580">
        <v>1</v>
      </c>
      <c r="AE580">
        <v>0</v>
      </c>
      <c r="AF580" t="s">
        <v>22</v>
      </c>
      <c r="AG580">
        <v>2.5850000000000004</v>
      </c>
      <c r="AH580">
        <v>3</v>
      </c>
      <c r="AI580">
        <v>-1</v>
      </c>
      <c r="AJ580" t="s">
        <v>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ROW(Source!A373)</f>
        <v>373</v>
      </c>
      <c r="B581">
        <v>56612436</v>
      </c>
      <c r="C581">
        <v>56612432</v>
      </c>
      <c r="D581">
        <v>47766605</v>
      </c>
      <c r="E581">
        <v>1</v>
      </c>
      <c r="F581">
        <v>1</v>
      </c>
      <c r="G581">
        <v>27786564</v>
      </c>
      <c r="H581">
        <v>2</v>
      </c>
      <c r="I581" t="s">
        <v>607</v>
      </c>
      <c r="J581" t="s">
        <v>608</v>
      </c>
      <c r="K581" t="s">
        <v>609</v>
      </c>
      <c r="L581">
        <v>1368</v>
      </c>
      <c r="N581">
        <v>1011</v>
      </c>
      <c r="O581" t="s">
        <v>444</v>
      </c>
      <c r="P581" t="s">
        <v>444</v>
      </c>
      <c r="Q581">
        <v>1</v>
      </c>
      <c r="X581">
        <v>0.91</v>
      </c>
      <c r="Y581">
        <v>0</v>
      </c>
      <c r="Z581">
        <v>140.38</v>
      </c>
      <c r="AA581">
        <v>12.62</v>
      </c>
      <c r="AB581">
        <v>0</v>
      </c>
      <c r="AC581">
        <v>0</v>
      </c>
      <c r="AD581">
        <v>1</v>
      </c>
      <c r="AE581">
        <v>0</v>
      </c>
      <c r="AF581" t="s">
        <v>22</v>
      </c>
      <c r="AG581">
        <v>1.0010000000000001</v>
      </c>
      <c r="AH581">
        <v>3</v>
      </c>
      <c r="AI581">
        <v>-1</v>
      </c>
      <c r="AJ581" t="s">
        <v>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ROW(Source!A373)</f>
        <v>373</v>
      </c>
      <c r="B582">
        <v>56612437</v>
      </c>
      <c r="C582">
        <v>56612432</v>
      </c>
      <c r="D582">
        <v>47766595</v>
      </c>
      <c r="E582">
        <v>1</v>
      </c>
      <c r="F582">
        <v>1</v>
      </c>
      <c r="G582">
        <v>27786564</v>
      </c>
      <c r="H582">
        <v>2</v>
      </c>
      <c r="I582" t="s">
        <v>641</v>
      </c>
      <c r="J582" t="s">
        <v>642</v>
      </c>
      <c r="K582" t="s">
        <v>643</v>
      </c>
      <c r="L582">
        <v>1368</v>
      </c>
      <c r="N582">
        <v>1011</v>
      </c>
      <c r="O582" t="s">
        <v>444</v>
      </c>
      <c r="P582" t="s">
        <v>444</v>
      </c>
      <c r="Q582">
        <v>1</v>
      </c>
      <c r="X582">
        <v>7.17</v>
      </c>
      <c r="Y582">
        <v>0</v>
      </c>
      <c r="Z582">
        <v>163.81</v>
      </c>
      <c r="AA582">
        <v>14.54</v>
      </c>
      <c r="AB582">
        <v>0</v>
      </c>
      <c r="AC582">
        <v>0</v>
      </c>
      <c r="AD582">
        <v>1</v>
      </c>
      <c r="AE582">
        <v>0</v>
      </c>
      <c r="AF582" t="s">
        <v>22</v>
      </c>
      <c r="AG582">
        <v>7.8870000000000005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ROW(Source!A373)</f>
        <v>373</v>
      </c>
      <c r="B583">
        <v>56612438</v>
      </c>
      <c r="C583">
        <v>56612432</v>
      </c>
      <c r="D583">
        <v>47766596</v>
      </c>
      <c r="E583">
        <v>1</v>
      </c>
      <c r="F583">
        <v>1</v>
      </c>
      <c r="G583">
        <v>27786564</v>
      </c>
      <c r="H583">
        <v>2</v>
      </c>
      <c r="I583" t="s">
        <v>676</v>
      </c>
      <c r="J583" t="s">
        <v>677</v>
      </c>
      <c r="K583" t="s">
        <v>678</v>
      </c>
      <c r="L583">
        <v>1368</v>
      </c>
      <c r="N583">
        <v>1011</v>
      </c>
      <c r="O583" t="s">
        <v>444</v>
      </c>
      <c r="P583" t="s">
        <v>444</v>
      </c>
      <c r="Q583">
        <v>1</v>
      </c>
      <c r="X583">
        <v>14.6</v>
      </c>
      <c r="Y583">
        <v>0</v>
      </c>
      <c r="Z583">
        <v>223.17</v>
      </c>
      <c r="AA583">
        <v>14.54</v>
      </c>
      <c r="AB583">
        <v>0</v>
      </c>
      <c r="AC583">
        <v>0</v>
      </c>
      <c r="AD583">
        <v>1</v>
      </c>
      <c r="AE583">
        <v>0</v>
      </c>
      <c r="AF583" t="s">
        <v>22</v>
      </c>
      <c r="AG583">
        <v>16.060000000000002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ROW(Source!A373)</f>
        <v>373</v>
      </c>
      <c r="B584">
        <v>56612439</v>
      </c>
      <c r="C584">
        <v>56612432</v>
      </c>
      <c r="D584">
        <v>47766620</v>
      </c>
      <c r="E584">
        <v>1</v>
      </c>
      <c r="F584">
        <v>1</v>
      </c>
      <c r="G584">
        <v>27786564</v>
      </c>
      <c r="H584">
        <v>2</v>
      </c>
      <c r="I584" t="s">
        <v>595</v>
      </c>
      <c r="J584" t="s">
        <v>596</v>
      </c>
      <c r="K584" t="s">
        <v>597</v>
      </c>
      <c r="L584">
        <v>1368</v>
      </c>
      <c r="N584">
        <v>1011</v>
      </c>
      <c r="O584" t="s">
        <v>444</v>
      </c>
      <c r="P584" t="s">
        <v>444</v>
      </c>
      <c r="Q584">
        <v>1</v>
      </c>
      <c r="X584">
        <v>1.79</v>
      </c>
      <c r="Y584">
        <v>0</v>
      </c>
      <c r="Z584">
        <v>219.56</v>
      </c>
      <c r="AA584">
        <v>18.62</v>
      </c>
      <c r="AB584">
        <v>0</v>
      </c>
      <c r="AC584">
        <v>0</v>
      </c>
      <c r="AD584">
        <v>1</v>
      </c>
      <c r="AE584">
        <v>0</v>
      </c>
      <c r="AF584" t="s">
        <v>22</v>
      </c>
      <c r="AG584">
        <v>1.9690000000000003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ROW(Source!A373)</f>
        <v>373</v>
      </c>
      <c r="B585">
        <v>56612440</v>
      </c>
      <c r="C585">
        <v>56612432</v>
      </c>
      <c r="D585">
        <v>47766599</v>
      </c>
      <c r="E585">
        <v>1</v>
      </c>
      <c r="F585">
        <v>1</v>
      </c>
      <c r="G585">
        <v>27786564</v>
      </c>
      <c r="H585">
        <v>2</v>
      </c>
      <c r="I585" t="s">
        <v>610</v>
      </c>
      <c r="J585" t="s">
        <v>611</v>
      </c>
      <c r="K585" t="s">
        <v>612</v>
      </c>
      <c r="L585">
        <v>1368</v>
      </c>
      <c r="N585">
        <v>1011</v>
      </c>
      <c r="O585" t="s">
        <v>444</v>
      </c>
      <c r="P585" t="s">
        <v>444</v>
      </c>
      <c r="Q585">
        <v>1</v>
      </c>
      <c r="X585">
        <v>0.52</v>
      </c>
      <c r="Y585">
        <v>0</v>
      </c>
      <c r="Z585">
        <v>180.35</v>
      </c>
      <c r="AA585">
        <v>16.93</v>
      </c>
      <c r="AB585">
        <v>0</v>
      </c>
      <c r="AC585">
        <v>0</v>
      </c>
      <c r="AD585">
        <v>1</v>
      </c>
      <c r="AE585">
        <v>0</v>
      </c>
      <c r="AF585" t="s">
        <v>22</v>
      </c>
      <c r="AG585">
        <v>0.57200000000000006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ROW(Source!A373)</f>
        <v>373</v>
      </c>
      <c r="B586">
        <v>56612441</v>
      </c>
      <c r="C586">
        <v>56612432</v>
      </c>
      <c r="D586">
        <v>30390465</v>
      </c>
      <c r="E586">
        <v>1</v>
      </c>
      <c r="F586">
        <v>1</v>
      </c>
      <c r="G586">
        <v>27786564</v>
      </c>
      <c r="H586">
        <v>3</v>
      </c>
      <c r="I586" t="s">
        <v>584</v>
      </c>
      <c r="J586" t="s">
        <v>585</v>
      </c>
      <c r="K586" t="s">
        <v>586</v>
      </c>
      <c r="L586">
        <v>1339</v>
      </c>
      <c r="N586">
        <v>1007</v>
      </c>
      <c r="O586" t="s">
        <v>88</v>
      </c>
      <c r="P586" t="s">
        <v>88</v>
      </c>
      <c r="Q586">
        <v>1</v>
      </c>
      <c r="X586">
        <v>7</v>
      </c>
      <c r="Y586">
        <v>7.07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3</v>
      </c>
      <c r="AG586">
        <v>7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ROW(Source!A373)</f>
        <v>373</v>
      </c>
      <c r="B587">
        <v>56612442</v>
      </c>
      <c r="C587">
        <v>56612432</v>
      </c>
      <c r="D587">
        <v>49719688</v>
      </c>
      <c r="E587">
        <v>27786564</v>
      </c>
      <c r="F587">
        <v>1</v>
      </c>
      <c r="G587">
        <v>27786564</v>
      </c>
      <c r="H587">
        <v>3</v>
      </c>
      <c r="I587" t="s">
        <v>679</v>
      </c>
      <c r="J587" t="s">
        <v>3</v>
      </c>
      <c r="K587" t="s">
        <v>680</v>
      </c>
      <c r="L587">
        <v>1339</v>
      </c>
      <c r="N587">
        <v>1007</v>
      </c>
      <c r="O587" t="s">
        <v>88</v>
      </c>
      <c r="P587" t="s">
        <v>88</v>
      </c>
      <c r="Q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3</v>
      </c>
      <c r="AG587">
        <v>0</v>
      </c>
      <c r="AH587">
        <v>3</v>
      </c>
      <c r="AI587">
        <v>-1</v>
      </c>
      <c r="AJ587" t="s">
        <v>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ROW(Source!A374)</f>
        <v>374</v>
      </c>
      <c r="B588">
        <v>56612434</v>
      </c>
      <c r="C588">
        <v>56612432</v>
      </c>
      <c r="D588">
        <v>47634407</v>
      </c>
      <c r="E588">
        <v>27786564</v>
      </c>
      <c r="F588">
        <v>1</v>
      </c>
      <c r="G588">
        <v>27786564</v>
      </c>
      <c r="H588">
        <v>1</v>
      </c>
      <c r="I588" t="s">
        <v>438</v>
      </c>
      <c r="J588" t="s">
        <v>3</v>
      </c>
      <c r="K588" t="s">
        <v>439</v>
      </c>
      <c r="L588">
        <v>1191</v>
      </c>
      <c r="N588">
        <v>1013</v>
      </c>
      <c r="O588" t="s">
        <v>440</v>
      </c>
      <c r="P588" t="s">
        <v>440</v>
      </c>
      <c r="Q588">
        <v>1</v>
      </c>
      <c r="X588">
        <v>21.6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 t="s">
        <v>22</v>
      </c>
      <c r="AG588">
        <v>23.760000000000005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ROW(Source!A374)</f>
        <v>374</v>
      </c>
      <c r="B589">
        <v>56612435</v>
      </c>
      <c r="C589">
        <v>56612432</v>
      </c>
      <c r="D589">
        <v>47766400</v>
      </c>
      <c r="E589">
        <v>1</v>
      </c>
      <c r="F589">
        <v>1</v>
      </c>
      <c r="G589">
        <v>27786564</v>
      </c>
      <c r="H589">
        <v>2</v>
      </c>
      <c r="I589" t="s">
        <v>445</v>
      </c>
      <c r="J589" t="s">
        <v>446</v>
      </c>
      <c r="K589" t="s">
        <v>447</v>
      </c>
      <c r="L589">
        <v>1368</v>
      </c>
      <c r="N589">
        <v>1011</v>
      </c>
      <c r="O589" t="s">
        <v>444</v>
      </c>
      <c r="P589" t="s">
        <v>444</v>
      </c>
      <c r="Q589">
        <v>1</v>
      </c>
      <c r="X589">
        <v>2.35</v>
      </c>
      <c r="Y589">
        <v>0</v>
      </c>
      <c r="Z589">
        <v>145.59</v>
      </c>
      <c r="AA589">
        <v>14.54</v>
      </c>
      <c r="AB589">
        <v>0</v>
      </c>
      <c r="AC589">
        <v>0</v>
      </c>
      <c r="AD589">
        <v>1</v>
      </c>
      <c r="AE589">
        <v>0</v>
      </c>
      <c r="AF589" t="s">
        <v>22</v>
      </c>
      <c r="AG589">
        <v>2.5850000000000004</v>
      </c>
      <c r="AH589">
        <v>3</v>
      </c>
      <c r="AI589">
        <v>-1</v>
      </c>
      <c r="AJ589" t="s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ROW(Source!A374)</f>
        <v>374</v>
      </c>
      <c r="B590">
        <v>56612436</v>
      </c>
      <c r="C590">
        <v>56612432</v>
      </c>
      <c r="D590">
        <v>47766605</v>
      </c>
      <c r="E590">
        <v>1</v>
      </c>
      <c r="F590">
        <v>1</v>
      </c>
      <c r="G590">
        <v>27786564</v>
      </c>
      <c r="H590">
        <v>2</v>
      </c>
      <c r="I590" t="s">
        <v>607</v>
      </c>
      <c r="J590" t="s">
        <v>608</v>
      </c>
      <c r="K590" t="s">
        <v>609</v>
      </c>
      <c r="L590">
        <v>1368</v>
      </c>
      <c r="N590">
        <v>1011</v>
      </c>
      <c r="O590" t="s">
        <v>444</v>
      </c>
      <c r="P590" t="s">
        <v>444</v>
      </c>
      <c r="Q590">
        <v>1</v>
      </c>
      <c r="X590">
        <v>0.91</v>
      </c>
      <c r="Y590">
        <v>0</v>
      </c>
      <c r="Z590">
        <v>140.38</v>
      </c>
      <c r="AA590">
        <v>12.62</v>
      </c>
      <c r="AB590">
        <v>0</v>
      </c>
      <c r="AC590">
        <v>0</v>
      </c>
      <c r="AD590">
        <v>1</v>
      </c>
      <c r="AE590">
        <v>0</v>
      </c>
      <c r="AF590" t="s">
        <v>22</v>
      </c>
      <c r="AG590">
        <v>1.0010000000000001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ROW(Source!A374)</f>
        <v>374</v>
      </c>
      <c r="B591">
        <v>56612437</v>
      </c>
      <c r="C591">
        <v>56612432</v>
      </c>
      <c r="D591">
        <v>47766595</v>
      </c>
      <c r="E591">
        <v>1</v>
      </c>
      <c r="F591">
        <v>1</v>
      </c>
      <c r="G591">
        <v>27786564</v>
      </c>
      <c r="H591">
        <v>2</v>
      </c>
      <c r="I591" t="s">
        <v>641</v>
      </c>
      <c r="J591" t="s">
        <v>642</v>
      </c>
      <c r="K591" t="s">
        <v>643</v>
      </c>
      <c r="L591">
        <v>1368</v>
      </c>
      <c r="N591">
        <v>1011</v>
      </c>
      <c r="O591" t="s">
        <v>444</v>
      </c>
      <c r="P591" t="s">
        <v>444</v>
      </c>
      <c r="Q591">
        <v>1</v>
      </c>
      <c r="X591">
        <v>7.17</v>
      </c>
      <c r="Y591">
        <v>0</v>
      </c>
      <c r="Z591">
        <v>163.81</v>
      </c>
      <c r="AA591">
        <v>14.54</v>
      </c>
      <c r="AB591">
        <v>0</v>
      </c>
      <c r="AC591">
        <v>0</v>
      </c>
      <c r="AD591">
        <v>1</v>
      </c>
      <c r="AE591">
        <v>0</v>
      </c>
      <c r="AF591" t="s">
        <v>22</v>
      </c>
      <c r="AG591">
        <v>7.8870000000000005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ROW(Source!A374)</f>
        <v>374</v>
      </c>
      <c r="B592">
        <v>56612438</v>
      </c>
      <c r="C592">
        <v>56612432</v>
      </c>
      <c r="D592">
        <v>47766596</v>
      </c>
      <c r="E592">
        <v>1</v>
      </c>
      <c r="F592">
        <v>1</v>
      </c>
      <c r="G592">
        <v>27786564</v>
      </c>
      <c r="H592">
        <v>2</v>
      </c>
      <c r="I592" t="s">
        <v>676</v>
      </c>
      <c r="J592" t="s">
        <v>677</v>
      </c>
      <c r="K592" t="s">
        <v>678</v>
      </c>
      <c r="L592">
        <v>1368</v>
      </c>
      <c r="N592">
        <v>1011</v>
      </c>
      <c r="O592" t="s">
        <v>444</v>
      </c>
      <c r="P592" t="s">
        <v>444</v>
      </c>
      <c r="Q592">
        <v>1</v>
      </c>
      <c r="X592">
        <v>14.6</v>
      </c>
      <c r="Y592">
        <v>0</v>
      </c>
      <c r="Z592">
        <v>223.17</v>
      </c>
      <c r="AA592">
        <v>14.54</v>
      </c>
      <c r="AB592">
        <v>0</v>
      </c>
      <c r="AC592">
        <v>0</v>
      </c>
      <c r="AD592">
        <v>1</v>
      </c>
      <c r="AE592">
        <v>0</v>
      </c>
      <c r="AF592" t="s">
        <v>22</v>
      </c>
      <c r="AG592">
        <v>16.060000000000002</v>
      </c>
      <c r="AH592">
        <v>3</v>
      </c>
      <c r="AI592">
        <v>-1</v>
      </c>
      <c r="AJ592" t="s">
        <v>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ROW(Source!A374)</f>
        <v>374</v>
      </c>
      <c r="B593">
        <v>56612439</v>
      </c>
      <c r="C593">
        <v>56612432</v>
      </c>
      <c r="D593">
        <v>47766620</v>
      </c>
      <c r="E593">
        <v>1</v>
      </c>
      <c r="F593">
        <v>1</v>
      </c>
      <c r="G593">
        <v>27786564</v>
      </c>
      <c r="H593">
        <v>2</v>
      </c>
      <c r="I593" t="s">
        <v>595</v>
      </c>
      <c r="J593" t="s">
        <v>596</v>
      </c>
      <c r="K593" t="s">
        <v>597</v>
      </c>
      <c r="L593">
        <v>1368</v>
      </c>
      <c r="N593">
        <v>1011</v>
      </c>
      <c r="O593" t="s">
        <v>444</v>
      </c>
      <c r="P593" t="s">
        <v>444</v>
      </c>
      <c r="Q593">
        <v>1</v>
      </c>
      <c r="X593">
        <v>1.79</v>
      </c>
      <c r="Y593">
        <v>0</v>
      </c>
      <c r="Z593">
        <v>219.56</v>
      </c>
      <c r="AA593">
        <v>18.62</v>
      </c>
      <c r="AB593">
        <v>0</v>
      </c>
      <c r="AC593">
        <v>0</v>
      </c>
      <c r="AD593">
        <v>1</v>
      </c>
      <c r="AE593">
        <v>0</v>
      </c>
      <c r="AF593" t="s">
        <v>22</v>
      </c>
      <c r="AG593">
        <v>1.9690000000000003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ROW(Source!A374)</f>
        <v>374</v>
      </c>
      <c r="B594">
        <v>56612440</v>
      </c>
      <c r="C594">
        <v>56612432</v>
      </c>
      <c r="D594">
        <v>47766599</v>
      </c>
      <c r="E594">
        <v>1</v>
      </c>
      <c r="F594">
        <v>1</v>
      </c>
      <c r="G594">
        <v>27786564</v>
      </c>
      <c r="H594">
        <v>2</v>
      </c>
      <c r="I594" t="s">
        <v>610</v>
      </c>
      <c r="J594" t="s">
        <v>611</v>
      </c>
      <c r="K594" t="s">
        <v>612</v>
      </c>
      <c r="L594">
        <v>1368</v>
      </c>
      <c r="N594">
        <v>1011</v>
      </c>
      <c r="O594" t="s">
        <v>444</v>
      </c>
      <c r="P594" t="s">
        <v>444</v>
      </c>
      <c r="Q594">
        <v>1</v>
      </c>
      <c r="X594">
        <v>0.52</v>
      </c>
      <c r="Y594">
        <v>0</v>
      </c>
      <c r="Z594">
        <v>180.35</v>
      </c>
      <c r="AA594">
        <v>16.93</v>
      </c>
      <c r="AB594">
        <v>0</v>
      </c>
      <c r="AC594">
        <v>0</v>
      </c>
      <c r="AD594">
        <v>1</v>
      </c>
      <c r="AE594">
        <v>0</v>
      </c>
      <c r="AF594" t="s">
        <v>22</v>
      </c>
      <c r="AG594">
        <v>0.57200000000000006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ROW(Source!A374)</f>
        <v>374</v>
      </c>
      <c r="B595">
        <v>56612441</v>
      </c>
      <c r="C595">
        <v>56612432</v>
      </c>
      <c r="D595">
        <v>30390465</v>
      </c>
      <c r="E595">
        <v>1</v>
      </c>
      <c r="F595">
        <v>1</v>
      </c>
      <c r="G595">
        <v>27786564</v>
      </c>
      <c r="H595">
        <v>3</v>
      </c>
      <c r="I595" t="s">
        <v>584</v>
      </c>
      <c r="J595" t="s">
        <v>585</v>
      </c>
      <c r="K595" t="s">
        <v>586</v>
      </c>
      <c r="L595">
        <v>1339</v>
      </c>
      <c r="N595">
        <v>1007</v>
      </c>
      <c r="O595" t="s">
        <v>88</v>
      </c>
      <c r="P595" t="s">
        <v>88</v>
      </c>
      <c r="Q595">
        <v>1</v>
      </c>
      <c r="X595">
        <v>7</v>
      </c>
      <c r="Y595">
        <v>7.07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3</v>
      </c>
      <c r="AG595">
        <v>7</v>
      </c>
      <c r="AH595">
        <v>3</v>
      </c>
      <c r="AI595">
        <v>-1</v>
      </c>
      <c r="AJ595" t="s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ROW(Source!A374)</f>
        <v>374</v>
      </c>
      <c r="B596">
        <v>56612442</v>
      </c>
      <c r="C596">
        <v>56612432</v>
      </c>
      <c r="D596">
        <v>49719688</v>
      </c>
      <c r="E596">
        <v>27786564</v>
      </c>
      <c r="F596">
        <v>1</v>
      </c>
      <c r="G596">
        <v>27786564</v>
      </c>
      <c r="H596">
        <v>3</v>
      </c>
      <c r="I596" t="s">
        <v>679</v>
      </c>
      <c r="J596" t="s">
        <v>3</v>
      </c>
      <c r="K596" t="s">
        <v>680</v>
      </c>
      <c r="L596">
        <v>1339</v>
      </c>
      <c r="N596">
        <v>1007</v>
      </c>
      <c r="O596" t="s">
        <v>88</v>
      </c>
      <c r="P596" t="s">
        <v>88</v>
      </c>
      <c r="Q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3</v>
      </c>
      <c r="AG596">
        <v>0</v>
      </c>
      <c r="AH596">
        <v>3</v>
      </c>
      <c r="AI596">
        <v>-1</v>
      </c>
      <c r="AJ596" t="s">
        <v>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ROW(Source!A377)</f>
        <v>377</v>
      </c>
      <c r="B597">
        <v>56612445</v>
      </c>
      <c r="C597">
        <v>56612444</v>
      </c>
      <c r="D597">
        <v>47634407</v>
      </c>
      <c r="E597">
        <v>27786564</v>
      </c>
      <c r="F597">
        <v>1</v>
      </c>
      <c r="G597">
        <v>27786564</v>
      </c>
      <c r="H597">
        <v>1</v>
      </c>
      <c r="I597" t="s">
        <v>438</v>
      </c>
      <c r="J597" t="s">
        <v>3</v>
      </c>
      <c r="K597" t="s">
        <v>439</v>
      </c>
      <c r="L597">
        <v>1191</v>
      </c>
      <c r="N597">
        <v>1013</v>
      </c>
      <c r="O597" t="s">
        <v>440</v>
      </c>
      <c r="P597" t="s">
        <v>440</v>
      </c>
      <c r="Q597">
        <v>1</v>
      </c>
      <c r="X597">
        <v>45.8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 t="s">
        <v>22</v>
      </c>
      <c r="AG597">
        <v>50.38</v>
      </c>
      <c r="AH597">
        <v>3</v>
      </c>
      <c r="AI597">
        <v>-1</v>
      </c>
      <c r="AJ597" t="s">
        <v>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ROW(Source!A377)</f>
        <v>377</v>
      </c>
      <c r="B598">
        <v>56612446</v>
      </c>
      <c r="C598">
        <v>56612444</v>
      </c>
      <c r="D598">
        <v>47767001</v>
      </c>
      <c r="E598">
        <v>1</v>
      </c>
      <c r="F598">
        <v>1</v>
      </c>
      <c r="G598">
        <v>27786564</v>
      </c>
      <c r="H598">
        <v>2</v>
      </c>
      <c r="I598" t="s">
        <v>681</v>
      </c>
      <c r="J598" t="s">
        <v>682</v>
      </c>
      <c r="K598" t="s">
        <v>683</v>
      </c>
      <c r="L598">
        <v>1368</v>
      </c>
      <c r="N598">
        <v>1011</v>
      </c>
      <c r="O598" t="s">
        <v>444</v>
      </c>
      <c r="P598" t="s">
        <v>444</v>
      </c>
      <c r="Q598">
        <v>1</v>
      </c>
      <c r="X598">
        <v>5.62</v>
      </c>
      <c r="Y598">
        <v>0</v>
      </c>
      <c r="Z598">
        <v>9.8800000000000008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22</v>
      </c>
      <c r="AG598">
        <v>6.1820000000000004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ROW(Source!A377)</f>
        <v>377</v>
      </c>
      <c r="B599">
        <v>56612447</v>
      </c>
      <c r="C599">
        <v>56612444</v>
      </c>
      <c r="D599">
        <v>47767106</v>
      </c>
      <c r="E599">
        <v>1</v>
      </c>
      <c r="F599">
        <v>1</v>
      </c>
      <c r="G599">
        <v>27786564</v>
      </c>
      <c r="H599">
        <v>2</v>
      </c>
      <c r="I599" t="s">
        <v>460</v>
      </c>
      <c r="J599" t="s">
        <v>461</v>
      </c>
      <c r="K599" t="s">
        <v>462</v>
      </c>
      <c r="L599">
        <v>1368</v>
      </c>
      <c r="N599">
        <v>1011</v>
      </c>
      <c r="O599" t="s">
        <v>444</v>
      </c>
      <c r="P599" t="s">
        <v>444</v>
      </c>
      <c r="Q599">
        <v>1</v>
      </c>
      <c r="X599">
        <v>0.51</v>
      </c>
      <c r="Y599">
        <v>0</v>
      </c>
      <c r="Z599">
        <v>83.1</v>
      </c>
      <c r="AA599">
        <v>12.62</v>
      </c>
      <c r="AB599">
        <v>0</v>
      </c>
      <c r="AC599">
        <v>0</v>
      </c>
      <c r="AD599">
        <v>1</v>
      </c>
      <c r="AE599">
        <v>0</v>
      </c>
      <c r="AF599" t="s">
        <v>22</v>
      </c>
      <c r="AG599">
        <v>0.56100000000000005</v>
      </c>
      <c r="AH599">
        <v>3</v>
      </c>
      <c r="AI599">
        <v>-1</v>
      </c>
      <c r="AJ599" t="s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ROW(Source!A377)</f>
        <v>377</v>
      </c>
      <c r="B600">
        <v>56612448</v>
      </c>
      <c r="C600">
        <v>56612444</v>
      </c>
      <c r="D600">
        <v>47766454</v>
      </c>
      <c r="E600">
        <v>1</v>
      </c>
      <c r="F600">
        <v>1</v>
      </c>
      <c r="G600">
        <v>27786564</v>
      </c>
      <c r="H600">
        <v>2</v>
      </c>
      <c r="I600" t="s">
        <v>457</v>
      </c>
      <c r="J600" t="s">
        <v>458</v>
      </c>
      <c r="K600" t="s">
        <v>459</v>
      </c>
      <c r="L600">
        <v>1368</v>
      </c>
      <c r="N600">
        <v>1011</v>
      </c>
      <c r="O600" t="s">
        <v>444</v>
      </c>
      <c r="P600" t="s">
        <v>444</v>
      </c>
      <c r="Q600">
        <v>1</v>
      </c>
      <c r="X600">
        <v>0.38</v>
      </c>
      <c r="Y600">
        <v>0</v>
      </c>
      <c r="Z600">
        <v>179.17</v>
      </c>
      <c r="AA600">
        <v>16.93</v>
      </c>
      <c r="AB600">
        <v>0</v>
      </c>
      <c r="AC600">
        <v>0</v>
      </c>
      <c r="AD600">
        <v>1</v>
      </c>
      <c r="AE600">
        <v>0</v>
      </c>
      <c r="AF600" t="s">
        <v>22</v>
      </c>
      <c r="AG600">
        <v>0.41800000000000004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ROW(Source!A377)</f>
        <v>377</v>
      </c>
      <c r="B601">
        <v>56612449</v>
      </c>
      <c r="C601">
        <v>56612444</v>
      </c>
      <c r="D601">
        <v>46725872</v>
      </c>
      <c r="E601">
        <v>1</v>
      </c>
      <c r="F601">
        <v>1</v>
      </c>
      <c r="G601">
        <v>27786564</v>
      </c>
      <c r="H601">
        <v>3</v>
      </c>
      <c r="I601" t="s">
        <v>684</v>
      </c>
      <c r="J601" t="s">
        <v>685</v>
      </c>
      <c r="K601" t="s">
        <v>686</v>
      </c>
      <c r="L601">
        <v>1339</v>
      </c>
      <c r="N601">
        <v>1007</v>
      </c>
      <c r="O601" t="s">
        <v>88</v>
      </c>
      <c r="P601" t="s">
        <v>88</v>
      </c>
      <c r="Q601">
        <v>1</v>
      </c>
      <c r="X601">
        <v>0.05</v>
      </c>
      <c r="Y601">
        <v>477.64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</v>
      </c>
      <c r="AG601">
        <v>0.05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ROW(Source!A377)</f>
        <v>377</v>
      </c>
      <c r="B602">
        <v>56612450</v>
      </c>
      <c r="C602">
        <v>56612444</v>
      </c>
      <c r="D602">
        <v>30388172</v>
      </c>
      <c r="E602">
        <v>27786564</v>
      </c>
      <c r="F602">
        <v>1</v>
      </c>
      <c r="G602">
        <v>27786564</v>
      </c>
      <c r="H602">
        <v>3</v>
      </c>
      <c r="I602" t="s">
        <v>687</v>
      </c>
      <c r="J602" t="s">
        <v>3</v>
      </c>
      <c r="K602" t="s">
        <v>688</v>
      </c>
      <c r="L602">
        <v>1327</v>
      </c>
      <c r="N602">
        <v>1005</v>
      </c>
      <c r="O602" t="s">
        <v>510</v>
      </c>
      <c r="P602" t="s">
        <v>510</v>
      </c>
      <c r="Q602">
        <v>1</v>
      </c>
      <c r="X602">
        <v>100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3</v>
      </c>
      <c r="AG602">
        <v>100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ROW(Source!A378)</f>
        <v>378</v>
      </c>
      <c r="B603">
        <v>56612445</v>
      </c>
      <c r="C603">
        <v>56612444</v>
      </c>
      <c r="D603">
        <v>47634407</v>
      </c>
      <c r="E603">
        <v>27786564</v>
      </c>
      <c r="F603">
        <v>1</v>
      </c>
      <c r="G603">
        <v>27786564</v>
      </c>
      <c r="H603">
        <v>1</v>
      </c>
      <c r="I603" t="s">
        <v>438</v>
      </c>
      <c r="J603" t="s">
        <v>3</v>
      </c>
      <c r="K603" t="s">
        <v>439</v>
      </c>
      <c r="L603">
        <v>1191</v>
      </c>
      <c r="N603">
        <v>1013</v>
      </c>
      <c r="O603" t="s">
        <v>440</v>
      </c>
      <c r="P603" t="s">
        <v>440</v>
      </c>
      <c r="Q603">
        <v>1</v>
      </c>
      <c r="X603">
        <v>45.8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1</v>
      </c>
      <c r="AF603" t="s">
        <v>22</v>
      </c>
      <c r="AG603">
        <v>50.38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ROW(Source!A378)</f>
        <v>378</v>
      </c>
      <c r="B604">
        <v>56612446</v>
      </c>
      <c r="C604">
        <v>56612444</v>
      </c>
      <c r="D604">
        <v>47767001</v>
      </c>
      <c r="E604">
        <v>1</v>
      </c>
      <c r="F604">
        <v>1</v>
      </c>
      <c r="G604">
        <v>27786564</v>
      </c>
      <c r="H604">
        <v>2</v>
      </c>
      <c r="I604" t="s">
        <v>681</v>
      </c>
      <c r="J604" t="s">
        <v>682</v>
      </c>
      <c r="K604" t="s">
        <v>683</v>
      </c>
      <c r="L604">
        <v>1368</v>
      </c>
      <c r="N604">
        <v>1011</v>
      </c>
      <c r="O604" t="s">
        <v>444</v>
      </c>
      <c r="P604" t="s">
        <v>444</v>
      </c>
      <c r="Q604">
        <v>1</v>
      </c>
      <c r="X604">
        <v>5.62</v>
      </c>
      <c r="Y604">
        <v>0</v>
      </c>
      <c r="Z604">
        <v>9.8800000000000008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22</v>
      </c>
      <c r="AG604">
        <v>6.1820000000000004</v>
      </c>
      <c r="AH604">
        <v>3</v>
      </c>
      <c r="AI604">
        <v>-1</v>
      </c>
      <c r="AJ604" t="s">
        <v>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ROW(Source!A378)</f>
        <v>378</v>
      </c>
      <c r="B605">
        <v>56612447</v>
      </c>
      <c r="C605">
        <v>56612444</v>
      </c>
      <c r="D605">
        <v>47767106</v>
      </c>
      <c r="E605">
        <v>1</v>
      </c>
      <c r="F605">
        <v>1</v>
      </c>
      <c r="G605">
        <v>27786564</v>
      </c>
      <c r="H605">
        <v>2</v>
      </c>
      <c r="I605" t="s">
        <v>460</v>
      </c>
      <c r="J605" t="s">
        <v>461</v>
      </c>
      <c r="K605" t="s">
        <v>462</v>
      </c>
      <c r="L605">
        <v>1368</v>
      </c>
      <c r="N605">
        <v>1011</v>
      </c>
      <c r="O605" t="s">
        <v>444</v>
      </c>
      <c r="P605" t="s">
        <v>444</v>
      </c>
      <c r="Q605">
        <v>1</v>
      </c>
      <c r="X605">
        <v>0.51</v>
      </c>
      <c r="Y605">
        <v>0</v>
      </c>
      <c r="Z605">
        <v>83.1</v>
      </c>
      <c r="AA605">
        <v>12.62</v>
      </c>
      <c r="AB605">
        <v>0</v>
      </c>
      <c r="AC605">
        <v>0</v>
      </c>
      <c r="AD605">
        <v>1</v>
      </c>
      <c r="AE605">
        <v>0</v>
      </c>
      <c r="AF605" t="s">
        <v>22</v>
      </c>
      <c r="AG605">
        <v>0.56100000000000005</v>
      </c>
      <c r="AH605">
        <v>3</v>
      </c>
      <c r="AI605">
        <v>-1</v>
      </c>
      <c r="AJ605" t="s">
        <v>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ROW(Source!A378)</f>
        <v>378</v>
      </c>
      <c r="B606">
        <v>56612448</v>
      </c>
      <c r="C606">
        <v>56612444</v>
      </c>
      <c r="D606">
        <v>47766454</v>
      </c>
      <c r="E606">
        <v>1</v>
      </c>
      <c r="F606">
        <v>1</v>
      </c>
      <c r="G606">
        <v>27786564</v>
      </c>
      <c r="H606">
        <v>2</v>
      </c>
      <c r="I606" t="s">
        <v>457</v>
      </c>
      <c r="J606" t="s">
        <v>458</v>
      </c>
      <c r="K606" t="s">
        <v>459</v>
      </c>
      <c r="L606">
        <v>1368</v>
      </c>
      <c r="N606">
        <v>1011</v>
      </c>
      <c r="O606" t="s">
        <v>444</v>
      </c>
      <c r="P606" t="s">
        <v>444</v>
      </c>
      <c r="Q606">
        <v>1</v>
      </c>
      <c r="X606">
        <v>0.38</v>
      </c>
      <c r="Y606">
        <v>0</v>
      </c>
      <c r="Z606">
        <v>179.17</v>
      </c>
      <c r="AA606">
        <v>16.93</v>
      </c>
      <c r="AB606">
        <v>0</v>
      </c>
      <c r="AC606">
        <v>0</v>
      </c>
      <c r="AD606">
        <v>1</v>
      </c>
      <c r="AE606">
        <v>0</v>
      </c>
      <c r="AF606" t="s">
        <v>22</v>
      </c>
      <c r="AG606">
        <v>0.41800000000000004</v>
      </c>
      <c r="AH606">
        <v>3</v>
      </c>
      <c r="AI606">
        <v>-1</v>
      </c>
      <c r="AJ606" t="s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ROW(Source!A378)</f>
        <v>378</v>
      </c>
      <c r="B607">
        <v>56612449</v>
      </c>
      <c r="C607">
        <v>56612444</v>
      </c>
      <c r="D607">
        <v>46725872</v>
      </c>
      <c r="E607">
        <v>1</v>
      </c>
      <c r="F607">
        <v>1</v>
      </c>
      <c r="G607">
        <v>27786564</v>
      </c>
      <c r="H607">
        <v>3</v>
      </c>
      <c r="I607" t="s">
        <v>684</v>
      </c>
      <c r="J607" t="s">
        <v>685</v>
      </c>
      <c r="K607" t="s">
        <v>686</v>
      </c>
      <c r="L607">
        <v>1339</v>
      </c>
      <c r="N607">
        <v>1007</v>
      </c>
      <c r="O607" t="s">
        <v>88</v>
      </c>
      <c r="P607" t="s">
        <v>88</v>
      </c>
      <c r="Q607">
        <v>1</v>
      </c>
      <c r="X607">
        <v>0.05</v>
      </c>
      <c r="Y607">
        <v>477.64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</v>
      </c>
      <c r="AG607">
        <v>0.05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ROW(Source!A378)</f>
        <v>378</v>
      </c>
      <c r="B608">
        <v>56612450</v>
      </c>
      <c r="C608">
        <v>56612444</v>
      </c>
      <c r="D608">
        <v>30388172</v>
      </c>
      <c r="E608">
        <v>27786564</v>
      </c>
      <c r="F608">
        <v>1</v>
      </c>
      <c r="G608">
        <v>27786564</v>
      </c>
      <c r="H608">
        <v>3</v>
      </c>
      <c r="I608" t="s">
        <v>687</v>
      </c>
      <c r="J608" t="s">
        <v>3</v>
      </c>
      <c r="K608" t="s">
        <v>688</v>
      </c>
      <c r="L608">
        <v>1327</v>
      </c>
      <c r="N608">
        <v>1005</v>
      </c>
      <c r="O608" t="s">
        <v>510</v>
      </c>
      <c r="P608" t="s">
        <v>510</v>
      </c>
      <c r="Q608">
        <v>1</v>
      </c>
      <c r="X608">
        <v>100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</v>
      </c>
      <c r="AG608">
        <v>100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D303-9003-4C33-BC1C-C02F223CC828}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37C4-FF75-4B85-AE25-0FD326A69B16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03" x14ac:dyDescent="0.2">
      <c r="F12" t="str">
        <f>Source!F12</f>
        <v>02-01-02 КЛ - 10 кВ труба</v>
      </c>
      <c r="G12" t="str">
        <f>Source!G12</f>
        <v>02-01-02 Строительство КЛ - 10 кВ труба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доп.43</vt:lpstr>
      <vt:lpstr>Source</vt:lpstr>
      <vt:lpstr>SourceObSm</vt:lpstr>
      <vt:lpstr>SmtRes</vt:lpstr>
      <vt:lpstr>EtalonRes</vt:lpstr>
      <vt:lpstr>SrcPoprs</vt:lpstr>
      <vt:lpstr>SrcKA</vt:lpstr>
      <vt:lpstr>'Смета по ТСН-2001(с доп.43'!Заголовки_для_печати</vt:lpstr>
      <vt:lpstr>'Смета по ТСН-2001(с доп.43'!Область_печати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2025-10-13T12:46:01Z</dcterms:created>
  <dcterms:modified xsi:type="dcterms:W3CDTF">2025-10-13T12:47:39Z</dcterms:modified>
</cp:coreProperties>
</file>