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59032\МОИ ДОКУМЕНТЫ\СТРОЙМОНТАЖКОМПЛЕКС\МОЭСК\ССР\Договор № 290729-ПС-22 Феодосийская зу 7\Для сдачи в МКС\"/>
    </mc:Choice>
  </mc:AlternateContent>
  <bookViews>
    <workbookView xWindow="0" yWindow="0" windowWidth="28800" windowHeight="12330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externalReferences>
    <externalReference r:id="rId8"/>
  </externalReferences>
  <definedNames>
    <definedName name="_xlnm.Print_Titles" localSheetId="0">'Смета по ТСН-2001(с доп.67'!$27:$27</definedName>
    <definedName name="_xlnm.Print_Area" localSheetId="0">'Смета по ТСН-2001(с доп.67'!$A$1:$K$75</definedName>
  </definedNames>
  <calcPr calcId="162913" iterate="1"/>
</workbook>
</file>

<file path=xl/calcChain.xml><?xml version="1.0" encoding="utf-8"?>
<calcChain xmlns="http://schemas.openxmlformats.org/spreadsheetml/2006/main">
  <c r="A11" i="7" l="1"/>
  <c r="AP6" i="7"/>
  <c r="A1" i="7"/>
  <c r="H73" i="7" l="1"/>
  <c r="H70" i="7"/>
  <c r="C73" i="7"/>
  <c r="C70" i="7"/>
  <c r="J22" i="7"/>
  <c r="J19" i="7"/>
  <c r="J18" i="7"/>
  <c r="J14" i="7" s="1"/>
  <c r="J17" i="7"/>
  <c r="J16" i="7"/>
  <c r="J15" i="7"/>
  <c r="I22" i="7"/>
  <c r="I16" i="7"/>
  <c r="H67" i="7"/>
  <c r="J67" i="7"/>
  <c r="H66" i="7"/>
  <c r="J66" i="7"/>
  <c r="AQ65" i="7"/>
  <c r="A65" i="7"/>
  <c r="H63" i="7"/>
  <c r="J63" i="7"/>
  <c r="H62" i="7"/>
  <c r="J62" i="7"/>
  <c r="A61" i="7"/>
  <c r="H59" i="7"/>
  <c r="J59" i="7"/>
  <c r="H58" i="7"/>
  <c r="J58" i="7"/>
  <c r="A57" i="7"/>
  <c r="AA54" i="7"/>
  <c r="Z54" i="7"/>
  <c r="Y54" i="7"/>
  <c r="J53" i="7"/>
  <c r="E53" i="7"/>
  <c r="K52" i="7"/>
  <c r="J52" i="7"/>
  <c r="I52" i="7"/>
  <c r="W52" i="7" s="1"/>
  <c r="H52" i="7"/>
  <c r="G52" i="7"/>
  <c r="F52" i="7"/>
  <c r="K51" i="7"/>
  <c r="J51" i="7"/>
  <c r="I51" i="7"/>
  <c r="O54" i="7" s="1"/>
  <c r="H51" i="7"/>
  <c r="G51" i="7"/>
  <c r="F51" i="7"/>
  <c r="V50" i="7"/>
  <c r="K53" i="7" s="1"/>
  <c r="T50" i="7"/>
  <c r="R50" i="7"/>
  <c r="U50" i="7"/>
  <c r="I53" i="7" s="1"/>
  <c r="S50" i="7"/>
  <c r="Q50" i="7"/>
  <c r="E50" i="7"/>
  <c r="D50" i="7"/>
  <c r="B50" i="7"/>
  <c r="Z48" i="7"/>
  <c r="Y48" i="7"/>
  <c r="X48" i="7"/>
  <c r="H47" i="7"/>
  <c r="J47" i="7"/>
  <c r="I45" i="7"/>
  <c r="AB45" i="7" s="1"/>
  <c r="H45" i="7"/>
  <c r="G45" i="7"/>
  <c r="E45" i="7"/>
  <c r="J44" i="7"/>
  <c r="E44" i="7"/>
  <c r="K43" i="7"/>
  <c r="J43" i="7"/>
  <c r="I43" i="7"/>
  <c r="E43" i="7"/>
  <c r="K42" i="7"/>
  <c r="P48" i="7" s="1"/>
  <c r="J42" i="7"/>
  <c r="I42" i="7"/>
  <c r="AA48" i="7" s="1"/>
  <c r="H42" i="7"/>
  <c r="G42" i="7"/>
  <c r="F42" i="7"/>
  <c r="V41" i="7"/>
  <c r="T41" i="7"/>
  <c r="K44" i="7" s="1"/>
  <c r="R41" i="7"/>
  <c r="U41" i="7"/>
  <c r="S41" i="7"/>
  <c r="I44" i="7" s="1"/>
  <c r="H46" i="7" s="1"/>
  <c r="Q41" i="7"/>
  <c r="E41" i="7"/>
  <c r="D41" i="7"/>
  <c r="Z39" i="7"/>
  <c r="I17" i="7" s="1"/>
  <c r="Y39" i="7"/>
  <c r="X39" i="7"/>
  <c r="H38" i="7"/>
  <c r="J38" i="7"/>
  <c r="AB36" i="7"/>
  <c r="I20" i="7" s="1"/>
  <c r="I36" i="7"/>
  <c r="H36" i="7"/>
  <c r="G36" i="7"/>
  <c r="E36" i="7"/>
  <c r="J35" i="7"/>
  <c r="I35" i="7"/>
  <c r="AA39" i="7" s="1"/>
  <c r="I18" i="7" s="1"/>
  <c r="E35" i="7"/>
  <c r="J34" i="7"/>
  <c r="I34" i="7"/>
  <c r="O39" i="7" s="1"/>
  <c r="E34" i="7"/>
  <c r="K33" i="7"/>
  <c r="J33" i="7"/>
  <c r="W33" i="7"/>
  <c r="I33" i="7"/>
  <c r="H33" i="7"/>
  <c r="G33" i="7"/>
  <c r="F33" i="7"/>
  <c r="V32" i="7"/>
  <c r="T32" i="7"/>
  <c r="K35" i="7" s="1"/>
  <c r="R32" i="7"/>
  <c r="K34" i="7" s="1"/>
  <c r="J37" i="7" s="1"/>
  <c r="U32" i="7"/>
  <c r="S32" i="7"/>
  <c r="Q32" i="7"/>
  <c r="E32" i="7"/>
  <c r="D32" i="7"/>
  <c r="A31" i="7"/>
  <c r="A29" i="7"/>
  <c r="J54" i="7" l="1"/>
  <c r="P54" i="7"/>
  <c r="P39" i="7"/>
  <c r="H57" i="7"/>
  <c r="H61" i="7"/>
  <c r="H65" i="7"/>
  <c r="I19" i="7"/>
  <c r="H37" i="7"/>
  <c r="O48" i="7"/>
  <c r="W42" i="7"/>
  <c r="J46" i="7"/>
  <c r="X54" i="7"/>
  <c r="I15" i="7" s="1"/>
  <c r="I14" i="7" s="1"/>
  <c r="H54" i="7"/>
  <c r="A1" i="4"/>
  <c r="A2" i="4"/>
  <c r="A3" i="4"/>
  <c r="A4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S28" i="1"/>
  <c r="CZ28" i="1" s="1"/>
  <c r="Y28" i="1" s="1"/>
  <c r="U28" i="1"/>
  <c r="V28" i="1"/>
  <c r="AC28" i="1"/>
  <c r="P28" i="1" s="1"/>
  <c r="AE28" i="1"/>
  <c r="Q28" i="1" s="1"/>
  <c r="AF28" i="1"/>
  <c r="CT28" i="1" s="1"/>
  <c r="AG28" i="1"/>
  <c r="CU28" i="1" s="1"/>
  <c r="T28" i="1" s="1"/>
  <c r="AH28" i="1"/>
  <c r="AI28" i="1"/>
  <c r="AJ28" i="1"/>
  <c r="CR28" i="1"/>
  <c r="CS28" i="1"/>
  <c r="CV28" i="1"/>
  <c r="CW28" i="1"/>
  <c r="CX28" i="1"/>
  <c r="W28" i="1" s="1"/>
  <c r="GL28" i="1"/>
  <c r="GN28" i="1"/>
  <c r="GO28" i="1"/>
  <c r="GV28" i="1"/>
  <c r="HC28" i="1"/>
  <c r="GX28" i="1" s="1"/>
  <c r="D29" i="1"/>
  <c r="P29" i="1"/>
  <c r="R29" i="1"/>
  <c r="GK29" i="1" s="1"/>
  <c r="T29" i="1"/>
  <c r="U29" i="1"/>
  <c r="AC29" i="1"/>
  <c r="AE29" i="1"/>
  <c r="AD29" i="1" s="1"/>
  <c r="AB29" i="1" s="1"/>
  <c r="AF29" i="1"/>
  <c r="CT29" i="1" s="1"/>
  <c r="AG29" i="1"/>
  <c r="AH29" i="1"/>
  <c r="AI29" i="1"/>
  <c r="AJ29" i="1"/>
  <c r="CX29" i="1" s="1"/>
  <c r="W29" i="1" s="1"/>
  <c r="CQ29" i="1"/>
  <c r="CR29" i="1"/>
  <c r="CS29" i="1"/>
  <c r="CU29" i="1"/>
  <c r="CV29" i="1"/>
  <c r="CW29" i="1"/>
  <c r="V29" i="1" s="1"/>
  <c r="AI36" i="1" s="1"/>
  <c r="GL29" i="1"/>
  <c r="GN29" i="1"/>
  <c r="GO29" i="1"/>
  <c r="GV29" i="1"/>
  <c r="GX29" i="1"/>
  <c r="HC29" i="1"/>
  <c r="D30" i="1"/>
  <c r="Q30" i="1"/>
  <c r="S30" i="1"/>
  <c r="T30" i="1"/>
  <c r="Y30" i="1"/>
  <c r="AC30" i="1"/>
  <c r="P30" i="1" s="1"/>
  <c r="CP30" i="1" s="1"/>
  <c r="O30" i="1" s="1"/>
  <c r="AD30" i="1"/>
  <c r="AE30" i="1"/>
  <c r="CS30" i="1" s="1"/>
  <c r="AF30" i="1"/>
  <c r="CT30" i="1" s="1"/>
  <c r="AG30" i="1"/>
  <c r="AH30" i="1"/>
  <c r="AI30" i="1"/>
  <c r="CW30" i="1" s="1"/>
  <c r="V30" i="1" s="1"/>
  <c r="AJ30" i="1"/>
  <c r="CQ30" i="1"/>
  <c r="CR30" i="1"/>
  <c r="CU30" i="1"/>
  <c r="CV30" i="1"/>
  <c r="U30" i="1" s="1"/>
  <c r="CX30" i="1"/>
  <c r="W30" i="1" s="1"/>
  <c r="CY30" i="1"/>
  <c r="X30" i="1" s="1"/>
  <c r="CZ30" i="1"/>
  <c r="GL30" i="1"/>
  <c r="GN30" i="1"/>
  <c r="GO30" i="1"/>
  <c r="GV30" i="1"/>
  <c r="HC30" i="1" s="1"/>
  <c r="GX30" i="1" s="1"/>
  <c r="D31" i="1"/>
  <c r="P31" i="1"/>
  <c r="CP31" i="1" s="1"/>
  <c r="O31" i="1" s="1"/>
  <c r="R31" i="1"/>
  <c r="GK31" i="1" s="1"/>
  <c r="S31" i="1"/>
  <c r="CY31" i="1" s="1"/>
  <c r="X31" i="1" s="1"/>
  <c r="AC31" i="1"/>
  <c r="AB31" i="1" s="1"/>
  <c r="AD31" i="1"/>
  <c r="AE31" i="1"/>
  <c r="Q31" i="1" s="1"/>
  <c r="AF31" i="1"/>
  <c r="CT31" i="1" s="1"/>
  <c r="AG31" i="1"/>
  <c r="AH31" i="1"/>
  <c r="CV31" i="1" s="1"/>
  <c r="U31" i="1" s="1"/>
  <c r="AI31" i="1"/>
  <c r="AJ31" i="1"/>
  <c r="CR31" i="1"/>
  <c r="CS31" i="1"/>
  <c r="CU31" i="1"/>
  <c r="T31" i="1" s="1"/>
  <c r="CW31" i="1"/>
  <c r="V31" i="1" s="1"/>
  <c r="CX31" i="1"/>
  <c r="W31" i="1" s="1"/>
  <c r="GL31" i="1"/>
  <c r="GN31" i="1"/>
  <c r="GO31" i="1"/>
  <c r="GV31" i="1"/>
  <c r="HC31" i="1" s="1"/>
  <c r="GX31" i="1" s="1"/>
  <c r="P32" i="1"/>
  <c r="CP32" i="1" s="1"/>
  <c r="O32" i="1" s="1"/>
  <c r="R32" i="1"/>
  <c r="GK32" i="1" s="1"/>
  <c r="S32" i="1"/>
  <c r="CY32" i="1" s="1"/>
  <c r="X32" i="1" s="1"/>
  <c r="AC32" i="1"/>
  <c r="AB32" i="1" s="1"/>
  <c r="AD32" i="1"/>
  <c r="AE32" i="1"/>
  <c r="Q32" i="1" s="1"/>
  <c r="AF32" i="1"/>
  <c r="CT32" i="1" s="1"/>
  <c r="AG32" i="1"/>
  <c r="AH32" i="1"/>
  <c r="CV32" i="1" s="1"/>
  <c r="U32" i="1" s="1"/>
  <c r="AI32" i="1"/>
  <c r="AJ32" i="1"/>
  <c r="CR32" i="1"/>
  <c r="CS32" i="1"/>
  <c r="CU32" i="1"/>
  <c r="T32" i="1" s="1"/>
  <c r="CW32" i="1"/>
  <c r="V32" i="1" s="1"/>
  <c r="CX32" i="1"/>
  <c r="W32" i="1" s="1"/>
  <c r="GL32" i="1"/>
  <c r="GN32" i="1"/>
  <c r="GO32" i="1"/>
  <c r="GV32" i="1"/>
  <c r="HC32" i="1" s="1"/>
  <c r="GX32" i="1" s="1"/>
  <c r="P33" i="1"/>
  <c r="CP33" i="1" s="1"/>
  <c r="O33" i="1" s="1"/>
  <c r="R33" i="1"/>
  <c r="GK33" i="1" s="1"/>
  <c r="S33" i="1"/>
  <c r="CY33" i="1" s="1"/>
  <c r="X33" i="1" s="1"/>
  <c r="AC33" i="1"/>
  <c r="AB33" i="1" s="1"/>
  <c r="AD33" i="1"/>
  <c r="AE33" i="1"/>
  <c r="Q33" i="1" s="1"/>
  <c r="AF33" i="1"/>
  <c r="CT33" i="1" s="1"/>
  <c r="AG33" i="1"/>
  <c r="AH33" i="1"/>
  <c r="CV33" i="1" s="1"/>
  <c r="U33" i="1" s="1"/>
  <c r="AI33" i="1"/>
  <c r="AJ33" i="1"/>
  <c r="CR33" i="1"/>
  <c r="CS33" i="1"/>
  <c r="CU33" i="1"/>
  <c r="T33" i="1" s="1"/>
  <c r="CW33" i="1"/>
  <c r="V33" i="1" s="1"/>
  <c r="CX33" i="1"/>
  <c r="W33" i="1" s="1"/>
  <c r="GL33" i="1"/>
  <c r="GN33" i="1"/>
  <c r="GO33" i="1"/>
  <c r="GV33" i="1"/>
  <c r="HC33" i="1" s="1"/>
  <c r="GX33" i="1" s="1"/>
  <c r="P34" i="1"/>
  <c r="CP34" i="1" s="1"/>
  <c r="O34" i="1" s="1"/>
  <c r="R34" i="1"/>
  <c r="S34" i="1"/>
  <c r="CY34" i="1" s="1"/>
  <c r="X34" i="1" s="1"/>
  <c r="AC34" i="1"/>
  <c r="AB34" i="1" s="1"/>
  <c r="AD34" i="1"/>
  <c r="AE34" i="1"/>
  <c r="Q34" i="1" s="1"/>
  <c r="AF34" i="1"/>
  <c r="CT34" i="1" s="1"/>
  <c r="AG34" i="1"/>
  <c r="AH34" i="1"/>
  <c r="CV34" i="1" s="1"/>
  <c r="U34" i="1" s="1"/>
  <c r="AI34" i="1"/>
  <c r="AJ34" i="1"/>
  <c r="CR34" i="1"/>
  <c r="CS34" i="1"/>
  <c r="CU34" i="1"/>
  <c r="T34" i="1" s="1"/>
  <c r="CW34" i="1"/>
  <c r="V34" i="1" s="1"/>
  <c r="CX34" i="1"/>
  <c r="W34" i="1" s="1"/>
  <c r="GK34" i="1"/>
  <c r="GL34" i="1"/>
  <c r="GO34" i="1"/>
  <c r="GP34" i="1"/>
  <c r="GV34" i="1"/>
  <c r="HC34" i="1"/>
  <c r="GX34" i="1" s="1"/>
  <c r="B36" i="1"/>
  <c r="B26" i="1" s="1"/>
  <c r="C36" i="1"/>
  <c r="C26" i="1" s="1"/>
  <c r="D36" i="1"/>
  <c r="D26" i="1" s="1"/>
  <c r="F36" i="1"/>
  <c r="F26" i="1" s="1"/>
  <c r="G36" i="1"/>
  <c r="G26" i="1" s="1"/>
  <c r="BX36" i="1"/>
  <c r="AO36" i="1" s="1"/>
  <c r="BY36" i="1"/>
  <c r="AP36" i="1" s="1"/>
  <c r="BZ36" i="1"/>
  <c r="BZ26" i="1" s="1"/>
  <c r="CC36" i="1"/>
  <c r="CC26" i="1" s="1"/>
  <c r="CG36" i="1"/>
  <c r="AX36" i="1" s="1"/>
  <c r="CK36" i="1"/>
  <c r="CK26" i="1" s="1"/>
  <c r="CL36" i="1"/>
  <c r="CL26" i="1" s="1"/>
  <c r="CM36" i="1"/>
  <c r="CM26" i="1" s="1"/>
  <c r="B66" i="1"/>
  <c r="B22" i="1" s="1"/>
  <c r="C66" i="1"/>
  <c r="C22" i="1" s="1"/>
  <c r="D66" i="1"/>
  <c r="D22" i="1" s="1"/>
  <c r="F66" i="1"/>
  <c r="F22" i="1" s="1"/>
  <c r="G66" i="1"/>
  <c r="G22" i="1" s="1"/>
  <c r="B96" i="1"/>
  <c r="B18" i="1" s="1"/>
  <c r="C96" i="1"/>
  <c r="C18" i="1" s="1"/>
  <c r="D96" i="1"/>
  <c r="D18" i="1" s="1"/>
  <c r="F96" i="1"/>
  <c r="F18" i="1" s="1"/>
  <c r="G96" i="1"/>
  <c r="G18" i="1" s="1"/>
  <c r="F12" i="6"/>
  <c r="G12" i="6"/>
  <c r="CY12" i="6"/>
  <c r="J65" i="7" l="1"/>
  <c r="J57" i="7"/>
  <c r="J61" i="7"/>
  <c r="GM33" i="1"/>
  <c r="GP33" i="1" s="1"/>
  <c r="AX26" i="1"/>
  <c r="AX66" i="1"/>
  <c r="F43" i="1"/>
  <c r="AP26" i="1"/>
  <c r="AP66" i="1"/>
  <c r="F45" i="1"/>
  <c r="AJ36" i="1"/>
  <c r="AG36" i="1"/>
  <c r="F40" i="1"/>
  <c r="AO26" i="1"/>
  <c r="AO66" i="1"/>
  <c r="AH36" i="1"/>
  <c r="V36" i="1"/>
  <c r="AI26" i="1"/>
  <c r="CJ36" i="1"/>
  <c r="CP28" i="1"/>
  <c r="O28" i="1" s="1"/>
  <c r="AC36" i="1"/>
  <c r="GM31" i="1"/>
  <c r="GP31" i="1" s="1"/>
  <c r="BD36" i="1"/>
  <c r="AB30" i="1"/>
  <c r="R30" i="1"/>
  <c r="GK30" i="1" s="1"/>
  <c r="GM30" i="1" s="1"/>
  <c r="GP30" i="1" s="1"/>
  <c r="S29" i="1"/>
  <c r="CY28" i="1"/>
  <c r="X28" i="1" s="1"/>
  <c r="CQ28" i="1"/>
  <c r="AD28" i="1"/>
  <c r="CG26" i="1"/>
  <c r="BY26" i="1"/>
  <c r="BC36" i="1"/>
  <c r="BX26" i="1"/>
  <c r="BB36" i="1"/>
  <c r="AT36" i="1"/>
  <c r="Q29" i="1"/>
  <c r="AD36" i="1" s="1"/>
  <c r="AB28" i="1"/>
  <c r="R28" i="1"/>
  <c r="CI36" i="1"/>
  <c r="CZ34" i="1"/>
  <c r="Y34" i="1" s="1"/>
  <c r="GM34" i="1" s="1"/>
  <c r="GN34" i="1" s="1"/>
  <c r="CB36" i="1" s="1"/>
  <c r="CZ33" i="1"/>
  <c r="Y33" i="1" s="1"/>
  <c r="CZ32" i="1"/>
  <c r="Y32" i="1" s="1"/>
  <c r="GM32" i="1" s="1"/>
  <c r="GP32" i="1" s="1"/>
  <c r="CZ31" i="1"/>
  <c r="Y31" i="1" s="1"/>
  <c r="AQ36" i="1"/>
  <c r="CQ34" i="1"/>
  <c r="CQ33" i="1"/>
  <c r="CQ32" i="1"/>
  <c r="CQ31" i="1"/>
  <c r="AD26" i="1" l="1"/>
  <c r="Q36" i="1"/>
  <c r="CB26" i="1"/>
  <c r="AS36" i="1"/>
  <c r="CF36" i="1"/>
  <c r="CH36" i="1"/>
  <c r="P36" i="1"/>
  <c r="AC26" i="1"/>
  <c r="CE36" i="1"/>
  <c r="AO22" i="1"/>
  <c r="F70" i="1"/>
  <c r="AO96" i="1"/>
  <c r="F46" i="1"/>
  <c r="AQ26" i="1"/>
  <c r="AQ66" i="1"/>
  <c r="AB36" i="1"/>
  <c r="CJ26" i="1"/>
  <c r="BA36" i="1"/>
  <c r="U36" i="1"/>
  <c r="AH26" i="1"/>
  <c r="AG26" i="1"/>
  <c r="T36" i="1"/>
  <c r="W36" i="1"/>
  <c r="AJ26" i="1"/>
  <c r="F73" i="1"/>
  <c r="AX22" i="1"/>
  <c r="AX96" i="1"/>
  <c r="AE36" i="1"/>
  <c r="GK28" i="1"/>
  <c r="GM28" i="1" s="1"/>
  <c r="F75" i="1"/>
  <c r="G16" i="2" s="1"/>
  <c r="AP22" i="1"/>
  <c r="AP96" i="1"/>
  <c r="AT26" i="1"/>
  <c r="F54" i="1"/>
  <c r="AT66" i="1"/>
  <c r="BB26" i="1"/>
  <c r="BB66" i="1"/>
  <c r="F49" i="1"/>
  <c r="BC26" i="1"/>
  <c r="BC66" i="1"/>
  <c r="F52" i="1"/>
  <c r="V26" i="1"/>
  <c r="F59" i="1"/>
  <c r="V66" i="1"/>
  <c r="CY29" i="1"/>
  <c r="X29" i="1" s="1"/>
  <c r="AK36" i="1" s="1"/>
  <c r="CZ29" i="1"/>
  <c r="Y29" i="1" s="1"/>
  <c r="AL36" i="1" s="1"/>
  <c r="AF36" i="1"/>
  <c r="CP29" i="1"/>
  <c r="O29" i="1" s="1"/>
  <c r="CI26" i="1"/>
  <c r="AZ36" i="1"/>
  <c r="BD26" i="1"/>
  <c r="BD66" i="1"/>
  <c r="F61" i="1"/>
  <c r="X36" i="1" l="1"/>
  <c r="AK26" i="1"/>
  <c r="GP28" i="1"/>
  <c r="W66" i="1"/>
  <c r="W26" i="1"/>
  <c r="F60" i="1"/>
  <c r="F57" i="1"/>
  <c r="T66" i="1"/>
  <c r="T26" i="1"/>
  <c r="AQ96" i="1"/>
  <c r="F76" i="1"/>
  <c r="AQ22" i="1"/>
  <c r="F39" i="1"/>
  <c r="P66" i="1"/>
  <c r="P26" i="1"/>
  <c r="AF26" i="1"/>
  <c r="S36" i="1"/>
  <c r="CE26" i="1"/>
  <c r="AV36" i="1"/>
  <c r="AE26" i="1"/>
  <c r="R36" i="1"/>
  <c r="CH26" i="1"/>
  <c r="AY36" i="1"/>
  <c r="AL26" i="1"/>
  <c r="Y36" i="1"/>
  <c r="F91" i="1"/>
  <c r="BD22" i="1"/>
  <c r="BD96" i="1"/>
  <c r="F103" i="1"/>
  <c r="AX18" i="1"/>
  <c r="F47" i="1"/>
  <c r="AZ26" i="1"/>
  <c r="AZ66" i="1"/>
  <c r="F56" i="1"/>
  <c r="BA26" i="1"/>
  <c r="BA66" i="1"/>
  <c r="F100" i="1"/>
  <c r="AO18" i="1"/>
  <c r="AS26" i="1"/>
  <c r="F53" i="1"/>
  <c r="AS66" i="1"/>
  <c r="O36" i="1"/>
  <c r="AB26" i="1"/>
  <c r="F89" i="1"/>
  <c r="V22" i="1"/>
  <c r="V96" i="1"/>
  <c r="AT22" i="1"/>
  <c r="F84" i="1"/>
  <c r="F16" i="2" s="1"/>
  <c r="AT96" i="1"/>
  <c r="F58" i="1"/>
  <c r="U66" i="1"/>
  <c r="U26" i="1"/>
  <c r="AW36" i="1"/>
  <c r="CF26" i="1"/>
  <c r="BB22" i="1"/>
  <c r="BB96" i="1"/>
  <c r="F79" i="1"/>
  <c r="GM29" i="1"/>
  <c r="GP29" i="1" s="1"/>
  <c r="F82" i="1"/>
  <c r="BC22" i="1"/>
  <c r="BC96" i="1"/>
  <c r="F105" i="1"/>
  <c r="AP18" i="1"/>
  <c r="F48" i="1"/>
  <c r="Q66" i="1"/>
  <c r="Q26" i="1"/>
  <c r="F62" i="1" l="1"/>
  <c r="X66" i="1"/>
  <c r="X26" i="1"/>
  <c r="AY26" i="1"/>
  <c r="AY66" i="1"/>
  <c r="F44" i="1"/>
  <c r="F109" i="1"/>
  <c r="BB18" i="1"/>
  <c r="T96" i="1"/>
  <c r="F87" i="1"/>
  <c r="T22" i="1"/>
  <c r="V18" i="1"/>
  <c r="F119" i="1"/>
  <c r="P22" i="1"/>
  <c r="F69" i="1"/>
  <c r="P96" i="1"/>
  <c r="BC18" i="1"/>
  <c r="F112" i="1"/>
  <c r="AW26" i="1"/>
  <c r="AW66" i="1"/>
  <c r="F42" i="1"/>
  <c r="R66" i="1"/>
  <c r="R26" i="1"/>
  <c r="F50" i="1"/>
  <c r="BA22" i="1"/>
  <c r="BA96" i="1"/>
  <c r="F86" i="1"/>
  <c r="U22" i="1"/>
  <c r="U96" i="1"/>
  <c r="F88" i="1"/>
  <c r="AV26" i="1"/>
  <c r="AV66" i="1"/>
  <c r="F41" i="1"/>
  <c r="CD36" i="1"/>
  <c r="BD18" i="1"/>
  <c r="F121" i="1"/>
  <c r="F38" i="1"/>
  <c r="O66" i="1"/>
  <c r="O26" i="1"/>
  <c r="F106" i="1"/>
  <c r="AQ18" i="1"/>
  <c r="CA36" i="1"/>
  <c r="F90" i="1"/>
  <c r="W22" i="1"/>
  <c r="W96" i="1"/>
  <c r="Q22" i="1"/>
  <c r="F78" i="1"/>
  <c r="Q96" i="1"/>
  <c r="AT18" i="1"/>
  <c r="F114" i="1"/>
  <c r="AS22" i="1"/>
  <c r="F83" i="1"/>
  <c r="E16" i="2" s="1"/>
  <c r="AS96" i="1"/>
  <c r="AZ96" i="1"/>
  <c r="F77" i="1"/>
  <c r="AZ22" i="1"/>
  <c r="F63" i="1"/>
  <c r="Y66" i="1"/>
  <c r="Y26" i="1"/>
  <c r="S66" i="1"/>
  <c r="S26" i="1"/>
  <c r="F51" i="1"/>
  <c r="T18" i="1" l="1"/>
  <c r="F117" i="1"/>
  <c r="F108" i="1"/>
  <c r="Q18" i="1"/>
  <c r="AV22" i="1"/>
  <c r="AV96" i="1"/>
  <c r="F71" i="1"/>
  <c r="P18" i="1"/>
  <c r="F99" i="1"/>
  <c r="AZ18" i="1"/>
  <c r="F107" i="1"/>
  <c r="O22" i="1"/>
  <c r="F68" i="1"/>
  <c r="O96" i="1"/>
  <c r="R22" i="1"/>
  <c r="R96" i="1"/>
  <c r="F80" i="1"/>
  <c r="AS18" i="1"/>
  <c r="F113" i="1"/>
  <c r="W18" i="1"/>
  <c r="F120" i="1"/>
  <c r="AW22" i="1"/>
  <c r="AW96" i="1"/>
  <c r="F72" i="1"/>
  <c r="U18" i="1"/>
  <c r="F118" i="1"/>
  <c r="AY96" i="1"/>
  <c r="F74" i="1"/>
  <c r="AY22" i="1"/>
  <c r="F81" i="1"/>
  <c r="S22" i="1"/>
  <c r="S96" i="1"/>
  <c r="Y22" i="1"/>
  <c r="F93" i="1"/>
  <c r="Y96" i="1"/>
  <c r="CA26" i="1"/>
  <c r="AR36" i="1"/>
  <c r="CD26" i="1"/>
  <c r="AU36" i="1"/>
  <c r="F116" i="1"/>
  <c r="BA18" i="1"/>
  <c r="X22" i="1"/>
  <c r="F92" i="1"/>
  <c r="X96" i="1"/>
  <c r="AU26" i="1" l="1"/>
  <c r="F55" i="1"/>
  <c r="AU66" i="1"/>
  <c r="F102" i="1"/>
  <c r="AW18" i="1"/>
  <c r="F110" i="1"/>
  <c r="R18" i="1"/>
  <c r="J16" i="2"/>
  <c r="O18" i="1"/>
  <c r="F98" i="1"/>
  <c r="F101" i="1"/>
  <c r="AV18" i="1"/>
  <c r="F64" i="1"/>
  <c r="AR26" i="1"/>
  <c r="AR66" i="1"/>
  <c r="Y18" i="1"/>
  <c r="F123" i="1"/>
  <c r="F104" i="1"/>
  <c r="AY18" i="1"/>
  <c r="F111" i="1"/>
  <c r="S18" i="1"/>
  <c r="X18" i="1"/>
  <c r="F122" i="1"/>
  <c r="AR96" i="1" l="1"/>
  <c r="F94" i="1"/>
  <c r="AR22" i="1"/>
  <c r="AU22" i="1"/>
  <c r="F85" i="1"/>
  <c r="H16" i="2" s="1"/>
  <c r="I16" i="2" s="1"/>
  <c r="N16" i="2" s="1"/>
  <c r="AU96" i="1"/>
  <c r="AU18" i="1" l="1"/>
  <c r="F115" i="1"/>
  <c r="AR18" i="1"/>
  <c r="F124" i="1"/>
</calcChain>
</file>

<file path=xl/sharedStrings.xml><?xml version="1.0" encoding="utf-8"?>
<sst xmlns="http://schemas.openxmlformats.org/spreadsheetml/2006/main" count="993" uniqueCount="177">
  <si>
    <t>Smeta.RU  (495) 974-1589</t>
  </si>
  <si>
    <t>_PS_</t>
  </si>
  <si>
    <t>Smeta.RU</t>
  </si>
  <si>
    <t/>
  </si>
  <si>
    <t>(ТСН-2001 (Мосгосэкспертиза)) (ТСН-2001 (Мосгосэкспертиза)) (ТСН-2001 (Мосгосэкспертиза))</t>
  </si>
  <si>
    <t>09-01-02 ПНР КЛ 10 кВ (ТСН-2001 (Мосгосэкспертиза)) (ТСН-2001 (Мосгосэкспертиза))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</si>
  <si>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</si>
  <si>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</si>
  <si>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</si>
  <si>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</si>
  <si>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16.04.2024 г. доп.72</t>
  </si>
  <si>
    <t>Территориальные сметные нормативы для Москвы (ТСН-2001)</t>
  </si>
  <si>
    <t>ТЕР</t>
  </si>
  <si>
    <t>Новая локальная смета</t>
  </si>
  <si>
    <t>Новый раздел</t>
  </si>
  <si>
    <t>Пусконаладочные работы</t>
  </si>
  <si>
    <t>1</t>
  </si>
  <si>
    <t>5.10-35-1</t>
  </si>
  <si>
    <t>Кабельные линии высокого или низкого напряжения</t>
  </si>
  <si>
    <t>кабельная линия</t>
  </si>
  <si>
    <t>ТСН-2001.5 Доп. 57, Сб. 10, т. 35, поз. 1</t>
  </si>
  <si>
    <t>Поправка: Гл.5.Прил.2.2.п.2.2.23_05.00.01.37.001 Наименование: При выполнении монтажных и пусконаладочных работ по какому-либо оборудованию одним и тем же звеном (бригадой)</t>
  </si>
  <si>
    <t>*0,8</t>
  </si>
  <si>
    <t>ТСН-2001.5-10. 10-4...10-44</t>
  </si>
  <si>
    <t>ТСН-2001.5-10-1</t>
  </si>
  <si>
    <t>Поправка: Гл.5.Прил.2.2.п.2.2.23_05.00.01.37.001</t>
  </si>
  <si>
    <t>2</t>
  </si>
  <si>
    <t>5.10-44-1</t>
  </si>
  <si>
    <t>Кабельные линии, испытание оболочек из сшитого полиэтилена каждой строительной длины силовых кабелей на напряжение 10 кВ</t>
  </si>
  <si>
    <t>1 испытание</t>
  </si>
  <si>
    <t>ТСН-2001.5. Доп. 1-42. Сб. 10, т. 44, поз. 1</t>
  </si>
  <si>
    <t>3</t>
  </si>
  <si>
    <t>5.1-162-1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</si>
  <si>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</si>
  <si>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измерение</t>
  </si>
  <si>
    <t>ТСН-2001.5. Доп. 1-42. Сб. 1, т. 162, поз. 1</t>
  </si>
  <si>
    <t>ТСН-2001.5-1. 1-1...1-189</t>
  </si>
  <si>
    <t>ТСН-2001.5-1-1</t>
  </si>
  <si>
    <t>4</t>
  </si>
  <si>
    <t>5.1-158-1</t>
  </si>
  <si>
    <t>Фазировка электрической линии или трансформатора с сетью напряжением до 1 кВ</t>
  </si>
  <si>
    <t>фазировка</t>
  </si>
  <si>
    <t>ТСН-2001.5. Доп. 1-42. Сб. 1, т. 158, поз. 1</t>
  </si>
  <si>
    <t>5</t>
  </si>
  <si>
    <t>Калькуляция</t>
  </si>
  <si>
    <t>Поиск и определение кабеля в пучке 1 кабель</t>
  </si>
  <si>
    <t>кабель</t>
  </si>
  <si>
    <t>=393,19</t>
  </si>
  <si>
    <t>Прочие работы</t>
  </si>
  <si>
    <t>МЦЦС</t>
  </si>
  <si>
    <t>6</t>
  </si>
  <si>
    <t>Поиск и определение кабеля в пучке последующий</t>
  </si>
  <si>
    <t>=322,25</t>
  </si>
  <si>
    <t>7</t>
  </si>
  <si>
    <t>2.1-8-3</t>
  </si>
  <si>
    <t>Автолаборатории</t>
  </si>
  <si>
    <t>маш.-ч</t>
  </si>
  <si>
    <t>ТСН-2001.2. Доп. 68. п.1-8-3 (085001)</t>
  </si>
  <si>
    <t>Механизмы</t>
  </si>
  <si>
    <t>ТСН-2001. Машины и механизмы</t>
  </si>
  <si>
    <t>ТСН-2001.2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</si>
  <si>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</si>
  <si>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</si>
  <si>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</si>
  <si>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</si>
  <si>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</si>
  <si>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</si>
  <si>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</si>
  <si>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</si>
  <si>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</si>
  <si>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</si>
  <si>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</si>
  <si>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</si>
  <si>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</si>
  <si>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</si>
  <si>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</si>
  <si>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</si>
  <si>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</si>
  <si>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</si>
  <si>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</si>
  <si>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</si>
  <si>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</si>
  <si>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</si>
  <si>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</si>
  <si>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</si>
  <si>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</si>
  <si>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</si>
  <si>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</si>
  <si>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</si>
  <si>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</si>
  <si>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</si>
  <si>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</si>
  <si>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</si>
  <si>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</si>
  <si>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</si>
  <si>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</si>
  <si>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</si>
  <si>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</si>
  <si>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</si>
  <si>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</si>
  <si>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</si>
  <si>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</si>
  <si>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</si>
  <si>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</si>
  <si>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</si>
  <si>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</si>
  <si>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</si>
  <si>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</si>
  <si>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</si>
  <si>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</si>
  <si>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</si>
  <si>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</si>
  <si>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</si>
  <si>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</si>
  <si>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</si>
  <si>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Инд_исп.Сводный</t>
  </si>
  <si>
    <t>Используется Индекс "по сводному"</t>
  </si>
  <si>
    <t>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</si>
  <si>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</si>
  <si>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</si>
  <si>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</si>
  <si>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</si>
  <si>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</si>
  <si>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</si>
  <si>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</si>
  <si>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Гл.5.Прил.2.2.п.2.2.23_05.00.01.37.001</t>
  </si>
  <si>
    <t>При выполнении монтажных и пусконаладочных работ по какому-либо оборудованию одним и тем же звеном (бригадой)</t>
  </si>
  <si>
    <t>Глава 5</t>
  </si>
  <si>
    <t>(наименование стройки и/или объекта)</t>
  </si>
  <si>
    <t>(наименование работ и затрат)</t>
  </si>
  <si>
    <t>В базисном уровне цен</t>
  </si>
  <si>
    <t>В текущем уровне 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</si>
  <si>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</si>
  <si>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</si>
  <si>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</si>
  <si>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</si>
  <si>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</si>
  <si>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</si>
  <si>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</si>
  <si>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</si>
  <si>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</si>
  <si>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</si>
  <si>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</si>
  <si>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</si>
  <si>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</si>
  <si>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</si>
  <si>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</si>
  <si>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</si>
  <si>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
затрат в
базисном
уровне цен,
руб.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</si>
  <si>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</si>
  <si>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</si>
  <si>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</si>
  <si>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</si>
  <si>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</si>
  <si>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r>
      <t>5.10-35-1</t>
    </r>
    <r>
      <rPr>
        <i/>
        <sz val="10"/>
        <rFont val="Arial"/>
        <family val="2"/>
        <charset val="204"/>
      </rPr>
      <t xml:space="preserve">
Поправка: Гл.5.Прил.2.2.п.2.2.23_05.00.01.37.001</t>
    </r>
  </si>
  <si>
    <t>ЗП</t>
  </si>
  <si>
    <t>НР от ЗП</t>
  </si>
  <si>
    <t>%</t>
  </si>
  <si>
    <t>СП от ЗП</t>
  </si>
  <si>
    <t>ЗТР</t>
  </si>
  <si>
    <t>чел-ч</t>
  </si>
  <si>
    <t>ВСЕГО работ по позиции:</t>
  </si>
  <si>
    <t>ВСЕГО оборудование по позиции:</t>
  </si>
  <si>
    <r>
      <t>5.10-44-1</t>
    </r>
    <r>
      <rPr>
        <i/>
        <sz val="10"/>
        <rFont val="Arial"/>
        <family val="2"/>
        <charset val="204"/>
      </rPr>
      <t xml:space="preserve">
Поправка: Гл.5.Прил.2.2.п.2.2.23_05.00.01.37.001</t>
    </r>
  </si>
  <si>
    <t>ЭМ</t>
  </si>
  <si>
    <t>в т.ч. ЗПМ</t>
  </si>
  <si>
    <t>НР и СП от ЗПМ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</si>
  <si>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</si>
  <si>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</si>
  <si>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</si>
  <si>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</si>
  <si>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</si>
  <si>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</si>
  <si>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</si>
  <si>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</si>
  <si>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09-01-02</t>
  </si>
  <si>
    <t>ПНР КЛ 10 кВ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</si>
</sst>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\-\ #,##0.00"/>
    <numFmt numFmtId="165" formatCode="General;\-General;"/>
  </numFmts>
  <fonts count="18" x14ac:knownFonts="1">
    <font>
      <sz val="10"/>
      <name val="Arial"/>
      <charset val="204"/>
    </font>
    <font>
      <b/>
      <sz val="10"/>
      <color indexed="12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Border="1" applyAlignment="1">
      <alignment horizontal="left" wrapText="1"/>
    </xf>
    <xf numFmtId="0" fontId="10" fillId="0" borderId="0" xfId="0" applyFont="1" applyAlignment="1">
      <alignment horizontal="center" vertical="top" wrapText="1"/>
    </xf>
    <xf numFmtId="164" fontId="14" fillId="0" borderId="0" xfId="0" applyNumberFormat="1" applyFont="1"/>
    <xf numFmtId="0" fontId="14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165" fontId="10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 wrapText="1"/>
    </xf>
    <xf numFmtId="164" fontId="16" fillId="0" borderId="0" xfId="0" applyNumberFormat="1" applyFont="1" applyAlignment="1">
      <alignment horizontal="right"/>
    </xf>
    <xf numFmtId="0" fontId="14" fillId="0" borderId="0" xfId="0" applyFont="1" applyAlignment="1">
      <alignment horizontal="left" wrapText="1"/>
    </xf>
    <xf numFmtId="0" fontId="10" fillId="0" borderId="1" xfId="0" applyFont="1" applyBorder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/>
    </xf>
    <xf numFmtId="0" fontId="9" fillId="0" borderId="2" xfId="0" applyFont="1" applyBorder="1" applyAlignment="1">
      <alignment horizontal="center"/>
    </xf>
    <xf numFmtId="164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164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0" fillId="0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0" fillId="0" borderId="1" xfId="0" applyFont="1" applyBorder="1" applyAlignment="1">
      <alignment horizontal="left" wrapText="1"/>
    </xf>
    <xf numFmtId="0" fontId="10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-01-01%20&#1057;&#1090;&#1088;&#1086;&#1080;&#1090;&#1077;&#1083;&#1100;&#1089;&#1090;&#1074;&#1086;%20&#1050;&#1051;%20-%2010%20&#1082;&#1042;%20&#1090;&#1088;&#1072;&#1085;&#1096;&#1077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(с доп.67"/>
      <sheetName val="Source"/>
      <sheetName val="SourceObSm"/>
      <sheetName val="SmtRes"/>
      <sheetName val="EtalonRes"/>
      <sheetName val="SrcPoprs"/>
      <sheetName val="SrcKA"/>
    </sheetNames>
    <sheetDataSet>
      <sheetData sheetId="0"/>
      <sheetData sheetId="1">
        <row r="1">
          <cell r="B1" t="str">
            <v>Smeta.RU  (495) 974-1589</v>
          </cell>
        </row>
        <row r="12">
          <cell r="F12" t="str">
            <v>(ТСН-2001 (Мосгосэкспертиза)) (ТСН-2001 (Мосгосэкспертиза)) (ТСН-2001 (Мосгосэкспертиза))</v>
          </cell>
          <cell r="J12" t="str">
            <v/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4"/>
  <sheetViews>
    <sheetView tabSelected="1" topLeftCell="A46" zoomScaleNormal="100" workbookViewId="0">
      <selection activeCell="H78" sqref="H78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11" max="11" width="11.28515625" bestFit="1" customWidth="1"/>
    <col min="14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8" t="str">
        <f>[1]Source!B1</f>
        <v>Smeta.RU  (495) 974-1589</v>
      </c>
    </row>
    <row r="2" spans="1:42" ht="14.25" x14ac:dyDescent="0.2">
      <c r="A2" s="9"/>
      <c r="B2" s="9"/>
      <c r="C2" s="9"/>
      <c r="D2" s="9"/>
      <c r="E2" s="9"/>
      <c r="F2" s="9"/>
      <c r="G2" s="9"/>
      <c r="H2" s="9"/>
      <c r="I2" s="9"/>
      <c r="J2" s="45" t="s">
        <v>151</v>
      </c>
      <c r="K2" s="45"/>
    </row>
    <row r="3" spans="1:42" ht="71.25" customHeight="1" x14ac:dyDescent="0.25">
      <c r="A3" s="47" t="s">
        <v>174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42" x14ac:dyDescent="0.2">
      <c r="A4" s="36" t="s">
        <v>128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42" ht="14.25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42" ht="31.5" x14ac:dyDescent="0.25">
      <c r="A6" s="47" t="s">
        <v>175</v>
      </c>
      <c r="B6" s="48"/>
      <c r="C6" s="48"/>
      <c r="D6" s="48"/>
      <c r="E6" s="48"/>
      <c r="F6" s="48"/>
      <c r="G6" s="48"/>
      <c r="H6" s="48"/>
      <c r="I6" s="48"/>
      <c r="J6" s="48"/>
      <c r="K6" s="48"/>
      <c r="AP6" s="18" t="str">
        <f>CONCATENATE( "ЛОКАЛЬНАЯ СМЕТА № ",IF([1]Source!F12&lt;&gt;"Новый объект", [1]Source!F12, ""))</f>
        <v>ЛОКАЛЬНАЯ СМЕТА № (ТСН-2001 (Мосгосэкспертиза)) (ТСН-2001 (Мосгосэкспертиза)) (ТСН-2001 (Мосгосэкспертиза))</v>
      </c>
    </row>
    <row r="7" spans="1:42" ht="14.25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42" ht="18" x14ac:dyDescent="0.25">
      <c r="A8" s="49" t="s">
        <v>176</v>
      </c>
      <c r="B8" s="49"/>
      <c r="C8" s="49"/>
      <c r="D8" s="49"/>
      <c r="E8" s="49"/>
      <c r="F8" s="49"/>
      <c r="G8" s="49"/>
      <c r="H8" s="49"/>
      <c r="I8" s="49"/>
      <c r="J8" s="49"/>
      <c r="K8" s="49"/>
    </row>
    <row r="9" spans="1:42" x14ac:dyDescent="0.2">
      <c r="A9" s="50" t="s">
        <v>129</v>
      </c>
      <c r="B9" s="51"/>
      <c r="C9" s="51"/>
      <c r="D9" s="51"/>
      <c r="E9" s="51"/>
      <c r="F9" s="51"/>
      <c r="G9" s="51"/>
      <c r="H9" s="51"/>
      <c r="I9" s="51"/>
      <c r="J9" s="51"/>
      <c r="K9" s="51"/>
    </row>
    <row r="10" spans="1:42" ht="14.2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42" ht="14.25" x14ac:dyDescent="0.2">
      <c r="A11" s="44" t="str">
        <f>CONCATENATE( "Основание: чертежи № ", [1]Source!J12)</f>
        <v xml:space="preserve">Основание: чертежи № 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</row>
    <row r="12" spans="1:42" ht="14.2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42" ht="71.25" x14ac:dyDescent="0.2">
      <c r="A13" s="9"/>
      <c r="B13" s="9"/>
      <c r="C13" s="9"/>
      <c r="D13" s="9"/>
      <c r="E13" s="9"/>
      <c r="F13" s="9"/>
      <c r="G13" s="9"/>
      <c r="H13" s="9"/>
      <c r="I13" s="11" t="s">
        <v>130</v>
      </c>
      <c r="J13" s="11" t="s">
        <v>131</v>
      </c>
      <c r="K13" s="9"/>
    </row>
    <row r="14" spans="1:42" ht="15" x14ac:dyDescent="0.25">
      <c r="A14" s="9"/>
      <c r="B14" s="9"/>
      <c r="C14" s="9"/>
      <c r="D14" s="9"/>
      <c r="E14" s="46" t="s">
        <v>132</v>
      </c>
      <c r="F14" s="46"/>
      <c r="G14" s="46"/>
      <c r="H14" s="46"/>
      <c r="I14" s="12">
        <f>I15+I16+I17+I18</f>
        <v>13.33</v>
      </c>
      <c r="J14" s="12">
        <f>J15+J16+J17+J18</f>
        <v>357.16999999999996</v>
      </c>
      <c r="K14" s="13" t="s">
        <v>170</v>
      </c>
    </row>
    <row r="15" spans="1:42" ht="14.25" x14ac:dyDescent="0.2">
      <c r="A15" s="9"/>
      <c r="B15" s="9"/>
      <c r="C15" s="9"/>
      <c r="D15" s="9"/>
      <c r="E15" s="35" t="s">
        <v>133</v>
      </c>
      <c r="F15" s="35"/>
      <c r="G15" s="35"/>
      <c r="H15" s="35"/>
      <c r="I15" s="14">
        <f>ROUND(SUM(X1:X67)/1000, 2)</f>
        <v>2.16</v>
      </c>
      <c r="J15" s="14">
        <f>ROUND((Source!F113)/1000, 2)</f>
        <v>25.15</v>
      </c>
      <c r="K15" s="9" t="s">
        <v>170</v>
      </c>
    </row>
    <row r="16" spans="1:42" ht="14.25" x14ac:dyDescent="0.2">
      <c r="A16" s="9"/>
      <c r="B16" s="9"/>
      <c r="C16" s="9"/>
      <c r="D16" s="9"/>
      <c r="E16" s="35" t="s">
        <v>134</v>
      </c>
      <c r="F16" s="35"/>
      <c r="G16" s="35"/>
      <c r="H16" s="35"/>
      <c r="I16" s="14">
        <f>ROUND(SUM(Y1:Y67)/1000, 2)</f>
        <v>0</v>
      </c>
      <c r="J16" s="14">
        <f>ROUND((Source!F114)/1000, 2)</f>
        <v>0</v>
      </c>
      <c r="K16" s="9" t="s">
        <v>170</v>
      </c>
    </row>
    <row r="17" spans="1:42" ht="14.25" x14ac:dyDescent="0.2">
      <c r="A17" s="9"/>
      <c r="B17" s="9"/>
      <c r="C17" s="9"/>
      <c r="D17" s="9"/>
      <c r="E17" s="35" t="s">
        <v>135</v>
      </c>
      <c r="F17" s="35"/>
      <c r="G17" s="35"/>
      <c r="H17" s="35"/>
      <c r="I17" s="14">
        <f>ROUND(SUM(Z1:Z67)/1000, 2)</f>
        <v>0</v>
      </c>
      <c r="J17" s="14">
        <f>ROUND((Source!F105)/1000, 2)</f>
        <v>0</v>
      </c>
      <c r="K17" s="9" t="s">
        <v>170</v>
      </c>
    </row>
    <row r="18" spans="1:42" ht="14.25" x14ac:dyDescent="0.2">
      <c r="A18" s="9"/>
      <c r="B18" s="9"/>
      <c r="C18" s="9"/>
      <c r="D18" s="9"/>
      <c r="E18" s="35" t="s">
        <v>136</v>
      </c>
      <c r="F18" s="35"/>
      <c r="G18" s="35"/>
      <c r="H18" s="35"/>
      <c r="I18" s="14">
        <f>ROUND(SUM(AA1:AA67)/1000, 2)</f>
        <v>11.17</v>
      </c>
      <c r="J18" s="14">
        <f>ROUND((Source!F115+Source!F116)/1000, 2)</f>
        <v>332.02</v>
      </c>
      <c r="K18" s="9" t="s">
        <v>170</v>
      </c>
    </row>
    <row r="19" spans="1:42" ht="14.25" x14ac:dyDescent="0.2">
      <c r="A19" s="9"/>
      <c r="B19" s="9"/>
      <c r="C19" s="9"/>
      <c r="D19" s="9"/>
      <c r="E19" s="35" t="s">
        <v>137</v>
      </c>
      <c r="F19" s="35"/>
      <c r="G19" s="35"/>
      <c r="H19" s="35"/>
      <c r="I19" s="14">
        <f>ROUND(SUM(W1:W67)/1000, 2)</f>
        <v>4.66</v>
      </c>
      <c r="J19" s="14">
        <f>(Source!F111+ Source!F110)/1000</f>
        <v>160.83765</v>
      </c>
      <c r="K19" s="9" t="s">
        <v>170</v>
      </c>
    </row>
    <row r="20" spans="1:42" ht="14.25" x14ac:dyDescent="0.2">
      <c r="A20" s="9"/>
      <c r="B20" s="9"/>
      <c r="C20" s="9"/>
      <c r="D20" s="9"/>
      <c r="E20" s="35" t="s">
        <v>138</v>
      </c>
      <c r="F20" s="35"/>
      <c r="G20" s="35"/>
      <c r="H20" s="35"/>
      <c r="I20" s="14">
        <f>SUM(AB1:AB67)</f>
        <v>296.416</v>
      </c>
      <c r="J20" s="14"/>
      <c r="K20" s="9" t="s">
        <v>124</v>
      </c>
    </row>
    <row r="21" spans="1:42" ht="14.25" hidden="1" x14ac:dyDescent="0.2">
      <c r="A21" s="9"/>
      <c r="B21" s="9"/>
      <c r="C21" s="9"/>
      <c r="D21" s="9"/>
      <c r="E21" s="42" t="s">
        <v>139</v>
      </c>
      <c r="F21" s="42"/>
      <c r="G21" s="42"/>
      <c r="H21" s="42"/>
      <c r="I21" s="14"/>
      <c r="J21" s="14"/>
      <c r="K21" s="9"/>
    </row>
    <row r="22" spans="1:42" ht="14.25" hidden="1" x14ac:dyDescent="0.2">
      <c r="A22" s="9"/>
      <c r="B22" s="9"/>
      <c r="C22" s="9"/>
      <c r="D22" s="9"/>
      <c r="E22" s="43" t="s">
        <v>100</v>
      </c>
      <c r="F22" s="43"/>
      <c r="G22" s="43"/>
      <c r="H22" s="43"/>
      <c r="I22" s="14">
        <f>ROUND(SUM(AE1:AE67)/1000, 2)</f>
        <v>0</v>
      </c>
      <c r="J22" s="14">
        <f>SUM(AF1:AF67)/1000</f>
        <v>0</v>
      </c>
      <c r="K22" s="9" t="s">
        <v>170</v>
      </c>
    </row>
    <row r="23" spans="1:42" ht="14.25" x14ac:dyDescent="0.2">
      <c r="A23" s="9"/>
      <c r="B23" s="9"/>
      <c r="C23" s="9"/>
      <c r="D23" s="9"/>
      <c r="E23" s="9"/>
      <c r="F23" s="15"/>
      <c r="G23" s="15"/>
      <c r="H23" s="15"/>
      <c r="I23" s="14"/>
      <c r="J23" s="14"/>
      <c r="K23" s="9"/>
    </row>
    <row r="24" spans="1:42" ht="14.25" x14ac:dyDescent="0.2">
      <c r="A24" s="9" t="s">
        <v>152</v>
      </c>
      <c r="B24" s="9"/>
      <c r="C24" s="9"/>
      <c r="D24" s="9"/>
      <c r="E24" s="9"/>
      <c r="F24" s="15"/>
      <c r="G24" s="15"/>
      <c r="H24" s="15"/>
      <c r="I24" s="14"/>
      <c r="J24" s="14"/>
      <c r="K24" s="9"/>
    </row>
    <row r="25" spans="1:42" ht="14.25" x14ac:dyDescent="0.2">
      <c r="A25" s="44" t="s">
        <v>153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AP25" s="19" t="s">
        <v>153</v>
      </c>
    </row>
    <row r="26" spans="1:42" ht="114" x14ac:dyDescent="0.2">
      <c r="A26" s="16" t="s">
        <v>140</v>
      </c>
      <c r="B26" s="16" t="s">
        <v>141</v>
      </c>
      <c r="C26" s="16" t="s">
        <v>142</v>
      </c>
      <c r="D26" s="16" t="s">
        <v>143</v>
      </c>
      <c r="E26" s="16" t="s">
        <v>144</v>
      </c>
      <c r="F26" s="16" t="s">
        <v>145</v>
      </c>
      <c r="G26" s="17" t="s">
        <v>146</v>
      </c>
      <c r="H26" s="17" t="s">
        <v>147</v>
      </c>
      <c r="I26" s="16" t="s">
        <v>148</v>
      </c>
      <c r="J26" s="16" t="s">
        <v>149</v>
      </c>
      <c r="K26" s="16" t="s">
        <v>150</v>
      </c>
    </row>
    <row r="27" spans="1:42" ht="14.25" x14ac:dyDescent="0.2">
      <c r="A27" s="16">
        <v>1</v>
      </c>
      <c r="B27" s="16">
        <v>2</v>
      </c>
      <c r="C27" s="16">
        <v>3</v>
      </c>
      <c r="D27" s="16">
        <v>4</v>
      </c>
      <c r="E27" s="16">
        <v>5</v>
      </c>
      <c r="F27" s="16">
        <v>6</v>
      </c>
      <c r="G27" s="16">
        <v>7</v>
      </c>
      <c r="H27" s="16">
        <v>8</v>
      </c>
      <c r="I27" s="16">
        <v>9</v>
      </c>
      <c r="J27" s="16">
        <v>10</v>
      </c>
      <c r="K27" s="16">
        <v>11</v>
      </c>
    </row>
    <row r="29" spans="1:42" ht="16.5" hidden="1" x14ac:dyDescent="0.25">
      <c r="A29" s="41" t="str">
        <f>CONCATENATE("Локальная смета: ",IF(Source!G20&lt;&gt;"Новая локальная смета", Source!G20, ""))</f>
        <v xml:space="preserve">Локальная смета: 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</row>
    <row r="30" spans="1:42" hidden="1" x14ac:dyDescent="0.2"/>
    <row r="31" spans="1:42" ht="16.5" x14ac:dyDescent="0.25">
      <c r="A31" s="41" t="str">
        <f>CONCATENATE("Раздел: ",IF(Source!G24&lt;&gt;"Новый раздел", Source!G24, ""))</f>
        <v>Раздел: Пусконаладочные работы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spans="1:42" ht="78" x14ac:dyDescent="0.2">
      <c r="A32" s="20">
        <v>1</v>
      </c>
      <c r="B32" s="20" t="s">
        <v>154</v>
      </c>
      <c r="C32" s="20" t="s">
        <v>18</v>
      </c>
      <c r="D32" s="22" t="str">
        <f>Source!H28</f>
        <v>кабельная линия</v>
      </c>
      <c r="E32" s="21">
        <f>Source!I28</f>
        <v>4</v>
      </c>
      <c r="F32" s="24"/>
      <c r="G32" s="23"/>
      <c r="H32" s="21"/>
      <c r="I32" s="24"/>
      <c r="J32" s="21"/>
      <c r="K32" s="24"/>
      <c r="Q32">
        <f>ROUND((Source!DN28/100)*ROUND((ROUND((Source!AF28*Source!AV28*Source!I28),2)),2), 2)</f>
        <v>2485.46</v>
      </c>
      <c r="R32">
        <f>Source!X28</f>
        <v>80055.09</v>
      </c>
      <c r="S32">
        <f>ROUND((Source!DO28/100)*ROUND((ROUND((Source!AF28*Source!AV28*Source!I28),2)),2), 2)</f>
        <v>2319.77</v>
      </c>
      <c r="T32">
        <f>Source!Y28</f>
        <v>46889.41</v>
      </c>
      <c r="U32">
        <f>ROUND((175/100)*ROUND((ROUND((Source!AE28*Source!AV28*Source!I28),2)),2), 2)</f>
        <v>0</v>
      </c>
      <c r="V32">
        <f>ROUND((160/100)*ROUND(ROUND((ROUND((Source!AE28*Source!AV28*Source!I28),2)*Source!BS28),2), 2), 2)</f>
        <v>0</v>
      </c>
      <c r="AI32">
        <v>0</v>
      </c>
    </row>
    <row r="33" spans="1:35" ht="14.25" x14ac:dyDescent="0.2">
      <c r="A33" s="20"/>
      <c r="B33" s="20"/>
      <c r="C33" s="20" t="s">
        <v>155</v>
      </c>
      <c r="D33" s="22"/>
      <c r="E33" s="21"/>
      <c r="F33" s="24">
        <f>Source!AO28</f>
        <v>1035.6099999999999</v>
      </c>
      <c r="G33" s="23" t="str">
        <f>Source!DG28</f>
        <v>*0,8</v>
      </c>
      <c r="H33" s="21">
        <f>Source!AV28</f>
        <v>1</v>
      </c>
      <c r="I33" s="24">
        <f>ROUND((ROUND((Source!AF28*Source!AV28*Source!I28),2)),2)</f>
        <v>3313.95</v>
      </c>
      <c r="J33" s="21">
        <f>IF(Source!BA28&lt;&gt; 0, Source!BA28, 1)</f>
        <v>34.51</v>
      </c>
      <c r="K33" s="24">
        <f>Source!S28</f>
        <v>114364.41</v>
      </c>
      <c r="W33">
        <f>I33</f>
        <v>3313.95</v>
      </c>
    </row>
    <row r="34" spans="1:35" ht="14.25" x14ac:dyDescent="0.2">
      <c r="A34" s="20"/>
      <c r="B34" s="20"/>
      <c r="C34" s="20" t="s">
        <v>156</v>
      </c>
      <c r="D34" s="22" t="s">
        <v>157</v>
      </c>
      <c r="E34" s="21">
        <f>Source!DN28</f>
        <v>75</v>
      </c>
      <c r="F34" s="24"/>
      <c r="G34" s="23"/>
      <c r="H34" s="21"/>
      <c r="I34" s="24">
        <f>SUM(Q32:Q33)</f>
        <v>2485.46</v>
      </c>
      <c r="J34" s="21">
        <f>Source!BZ28</f>
        <v>70</v>
      </c>
      <c r="K34" s="24">
        <f>SUM(R32:R33)</f>
        <v>80055.09</v>
      </c>
    </row>
    <row r="35" spans="1:35" ht="14.25" x14ac:dyDescent="0.2">
      <c r="A35" s="20"/>
      <c r="B35" s="20"/>
      <c r="C35" s="20" t="s">
        <v>158</v>
      </c>
      <c r="D35" s="22" t="s">
        <v>157</v>
      </c>
      <c r="E35" s="21">
        <f>Source!DO28</f>
        <v>70</v>
      </c>
      <c r="F35" s="24"/>
      <c r="G35" s="23"/>
      <c r="H35" s="21"/>
      <c r="I35" s="24">
        <f>SUM(S32:S34)</f>
        <v>2319.77</v>
      </c>
      <c r="J35" s="21">
        <f>Source!CA28</f>
        <v>41</v>
      </c>
      <c r="K35" s="24">
        <f>SUM(T32:T34)</f>
        <v>46889.41</v>
      </c>
    </row>
    <row r="36" spans="1:35" ht="14.25" x14ac:dyDescent="0.2">
      <c r="A36" s="26"/>
      <c r="B36" s="26"/>
      <c r="C36" s="26" t="s">
        <v>159</v>
      </c>
      <c r="D36" s="27" t="s">
        <v>160</v>
      </c>
      <c r="E36" s="28">
        <f>Source!AQ28</f>
        <v>65</v>
      </c>
      <c r="F36" s="29"/>
      <c r="G36" s="30" t="str">
        <f>Source!DI28</f>
        <v>*0,8</v>
      </c>
      <c r="H36" s="28">
        <f>Source!AV28</f>
        <v>1</v>
      </c>
      <c r="I36" s="29">
        <f>Source!U28</f>
        <v>208</v>
      </c>
      <c r="J36" s="28"/>
      <c r="K36" s="29"/>
      <c r="AB36" s="25">
        <f>I36</f>
        <v>208</v>
      </c>
    </row>
    <row r="37" spans="1:35" ht="15" x14ac:dyDescent="0.25">
      <c r="C37" s="13" t="s">
        <v>161</v>
      </c>
      <c r="H37" s="40">
        <f>I33+I34+I35+0-0-0</f>
        <v>8119.18</v>
      </c>
      <c r="I37" s="40"/>
      <c r="J37" s="40">
        <f>K33+K34+K35+0-0-0</f>
        <v>241308.91</v>
      </c>
      <c r="K37" s="40"/>
    </row>
    <row r="38" spans="1:35" ht="15" x14ac:dyDescent="0.25">
      <c r="C38" s="13" t="s">
        <v>162</v>
      </c>
      <c r="H38" s="37">
        <f>0+0</f>
        <v>0</v>
      </c>
      <c r="I38" s="37"/>
      <c r="J38" s="37">
        <f>0+0</f>
        <v>0</v>
      </c>
      <c r="K38" s="37"/>
    </row>
    <row r="39" spans="1:35" ht="15" x14ac:dyDescent="0.25">
      <c r="H39" s="37"/>
      <c r="I39" s="37"/>
      <c r="J39" s="37"/>
      <c r="K39" s="37"/>
      <c r="O39" s="25">
        <f>I33+I34+I35+0</f>
        <v>8119.18</v>
      </c>
      <c r="P39" s="25">
        <f>K33+K34+K35+0</f>
        <v>241308.91</v>
      </c>
      <c r="X39">
        <f>IF(Source!BI28&lt;=1,I33+I34+I35-0, 0)</f>
        <v>0</v>
      </c>
      <c r="Y39">
        <f>IF(Source!BI28=2,I33+I34+I35-0, 0)</f>
        <v>0</v>
      </c>
      <c r="Z39">
        <f>IF(Source!BI28=3,I33+I34+I35-0, 0)</f>
        <v>0</v>
      </c>
      <c r="AA39">
        <f>IF(Source!BI28=4,I33+I34+I35,0)</f>
        <v>8119.18</v>
      </c>
    </row>
    <row r="41" spans="1:35" ht="78" x14ac:dyDescent="0.2">
      <c r="A41" s="20">
        <v>2</v>
      </c>
      <c r="B41" s="20" t="s">
        <v>163</v>
      </c>
      <c r="C41" s="20" t="s">
        <v>28</v>
      </c>
      <c r="D41" s="22" t="str">
        <f>Source!H29</f>
        <v>1 испытание</v>
      </c>
      <c r="E41" s="21">
        <f>Source!I29</f>
        <v>12</v>
      </c>
      <c r="F41" s="24"/>
      <c r="G41" s="23"/>
      <c r="H41" s="21"/>
      <c r="I41" s="24"/>
      <c r="J41" s="21"/>
      <c r="K41" s="24"/>
      <c r="Q41">
        <f>ROUND((Source!DN29/100)*ROUND((ROUND((Source!AF29*Source!AV29*Source!I29),2)),2), 2)</f>
        <v>934.28</v>
      </c>
      <c r="R41">
        <f>Source!X29</f>
        <v>30092.38</v>
      </c>
      <c r="S41">
        <f>ROUND((Source!DO29/100)*ROUND((ROUND((Source!AF29*Source!AV29*Source!I29),2)),2), 2)</f>
        <v>871.99</v>
      </c>
      <c r="T41">
        <f>Source!Y29</f>
        <v>17625.54</v>
      </c>
      <c r="U41">
        <f>ROUND((175/100)*ROUND((ROUND((Source!AE29*Source!AV29*Source!I29),2)),2), 2)</f>
        <v>0</v>
      </c>
      <c r="V41">
        <f>ROUND((160/100)*ROUND(ROUND((ROUND((Source!AE29*Source!AV29*Source!I29),2)*Source!BS29),2), 2), 2)</f>
        <v>0</v>
      </c>
      <c r="AI41">
        <v>0</v>
      </c>
    </row>
    <row r="42" spans="1:35" ht="14.25" x14ac:dyDescent="0.2">
      <c r="A42" s="20"/>
      <c r="B42" s="20"/>
      <c r="C42" s="20" t="s">
        <v>155</v>
      </c>
      <c r="D42" s="22"/>
      <c r="E42" s="21"/>
      <c r="F42" s="24">
        <f>Source!AO29</f>
        <v>129.76</v>
      </c>
      <c r="G42" s="23" t="str">
        <f>Source!DG29</f>
        <v>*0,8</v>
      </c>
      <c r="H42" s="21">
        <f>Source!AV29</f>
        <v>1</v>
      </c>
      <c r="I42" s="24">
        <f>ROUND((ROUND((Source!AF29*Source!AV29*Source!I29),2)),2)</f>
        <v>1245.7</v>
      </c>
      <c r="J42" s="21">
        <f>IF(Source!BA29&lt;&gt; 0, Source!BA29, 1)</f>
        <v>34.51</v>
      </c>
      <c r="K42" s="24">
        <f>Source!S29</f>
        <v>42989.11</v>
      </c>
      <c r="W42">
        <f>I42</f>
        <v>1245.7</v>
      </c>
    </row>
    <row r="43" spans="1:35" ht="14.25" x14ac:dyDescent="0.2">
      <c r="A43" s="20"/>
      <c r="B43" s="20"/>
      <c r="C43" s="20" t="s">
        <v>156</v>
      </c>
      <c r="D43" s="22" t="s">
        <v>157</v>
      </c>
      <c r="E43" s="21">
        <f>Source!DN29</f>
        <v>75</v>
      </c>
      <c r="F43" s="24"/>
      <c r="G43" s="23"/>
      <c r="H43" s="21"/>
      <c r="I43" s="24">
        <f>SUM(Q41:Q42)</f>
        <v>934.28</v>
      </c>
      <c r="J43" s="21">
        <f>Source!BZ29</f>
        <v>70</v>
      </c>
      <c r="K43" s="24">
        <f>SUM(R41:R42)</f>
        <v>30092.38</v>
      </c>
    </row>
    <row r="44" spans="1:35" ht="14.25" x14ac:dyDescent="0.2">
      <c r="A44" s="20"/>
      <c r="B44" s="20"/>
      <c r="C44" s="20" t="s">
        <v>158</v>
      </c>
      <c r="D44" s="22" t="s">
        <v>157</v>
      </c>
      <c r="E44" s="21">
        <f>Source!DO29</f>
        <v>70</v>
      </c>
      <c r="F44" s="24"/>
      <c r="G44" s="23"/>
      <c r="H44" s="21"/>
      <c r="I44" s="24">
        <f>SUM(S41:S43)</f>
        <v>871.99</v>
      </c>
      <c r="J44" s="21">
        <f>Source!CA29</f>
        <v>41</v>
      </c>
      <c r="K44" s="24">
        <f>SUM(T41:T43)</f>
        <v>17625.54</v>
      </c>
    </row>
    <row r="45" spans="1:35" ht="14.25" x14ac:dyDescent="0.2">
      <c r="A45" s="26"/>
      <c r="B45" s="26"/>
      <c r="C45" s="26" t="s">
        <v>159</v>
      </c>
      <c r="D45" s="27" t="s">
        <v>160</v>
      </c>
      <c r="E45" s="28">
        <f>Source!AQ29</f>
        <v>9.2100000000000009</v>
      </c>
      <c r="F45" s="29"/>
      <c r="G45" s="30" t="str">
        <f>Source!DI29</f>
        <v>*0,8</v>
      </c>
      <c r="H45" s="28">
        <f>Source!AV29</f>
        <v>1</v>
      </c>
      <c r="I45" s="29">
        <f>Source!U29</f>
        <v>88.416000000000011</v>
      </c>
      <c r="J45" s="28"/>
      <c r="K45" s="29"/>
      <c r="AB45" s="25">
        <f>I45</f>
        <v>88.416000000000011</v>
      </c>
    </row>
    <row r="46" spans="1:35" ht="15" x14ac:dyDescent="0.25">
      <c r="C46" s="13" t="s">
        <v>161</v>
      </c>
      <c r="H46" s="40">
        <f>I42+I43+I44+0-0-0</f>
        <v>3051.9700000000003</v>
      </c>
      <c r="I46" s="40"/>
      <c r="J46" s="40">
        <f>K42+K43+K44+0-0-0</f>
        <v>90707.03</v>
      </c>
      <c r="K46" s="40"/>
    </row>
    <row r="47" spans="1:35" ht="15" x14ac:dyDescent="0.25">
      <c r="C47" s="13" t="s">
        <v>162</v>
      </c>
      <c r="H47" s="37">
        <f>0+0</f>
        <v>0</v>
      </c>
      <c r="I47" s="37"/>
      <c r="J47" s="37">
        <f>0+0</f>
        <v>0</v>
      </c>
      <c r="K47" s="37"/>
    </row>
    <row r="48" spans="1:35" ht="15" x14ac:dyDescent="0.25">
      <c r="H48" s="37"/>
      <c r="I48" s="37"/>
      <c r="J48" s="37"/>
      <c r="K48" s="37"/>
      <c r="O48" s="25">
        <f>I42+I43+I44+0</f>
        <v>3051.9700000000003</v>
      </c>
      <c r="P48" s="25">
        <f>K42+K43+K44+0</f>
        <v>90707.03</v>
      </c>
      <c r="X48">
        <f>IF(Source!BI29&lt;=1,I42+I43+I44-0, 0)</f>
        <v>0</v>
      </c>
      <c r="Y48">
        <f>IF(Source!BI29=2,I42+I43+I44-0, 0)</f>
        <v>0</v>
      </c>
      <c r="Z48">
        <f>IF(Source!BI29=3,I42+I43+I44-0, 0)</f>
        <v>0</v>
      </c>
      <c r="AA48">
        <f>IF(Source!BI29=4,I42+I43+I44,0)</f>
        <v>3051.9700000000003</v>
      </c>
    </row>
    <row r="50" spans="1:35" ht="14.25" x14ac:dyDescent="0.2">
      <c r="A50" s="20">
        <v>7</v>
      </c>
      <c r="B50" s="20" t="str">
        <f>Source!F34</f>
        <v>2.1-8-3</v>
      </c>
      <c r="C50" s="20" t="s">
        <v>55</v>
      </c>
      <c r="D50" s="22" t="str">
        <f>Source!H34</f>
        <v>маш.-ч</v>
      </c>
      <c r="E50" s="21">
        <f>Source!I34</f>
        <v>8</v>
      </c>
      <c r="F50" s="24"/>
      <c r="G50" s="23"/>
      <c r="H50" s="21"/>
      <c r="I50" s="24"/>
      <c r="J50" s="21"/>
      <c r="K50" s="24"/>
      <c r="Q50">
        <f>ROUND((Source!DN34/100)*ROUND((ROUND((Source!AF34*Source!AV34*Source!I34),2)),2), 2)</f>
        <v>0</v>
      </c>
      <c r="R50">
        <f>Source!X34</f>
        <v>0</v>
      </c>
      <c r="S50">
        <f>ROUND((Source!DO34/100)*ROUND((ROUND((Source!AF34*Source!AV34*Source!I34),2)),2), 2)</f>
        <v>0</v>
      </c>
      <c r="T50">
        <f>Source!Y34</f>
        <v>0</v>
      </c>
      <c r="U50">
        <f>ROUND((175/100)*ROUND((ROUND((Source!AE34*Source!AV34*Source!I34),2)),2), 2)</f>
        <v>176.68</v>
      </c>
      <c r="V50">
        <f>ROUND((160/100)*ROUND(ROUND((ROUND((Source!AE34*Source!AV34*Source!I34),2)*Source!BS34),2), 2), 2)</f>
        <v>5574.61</v>
      </c>
      <c r="AI50">
        <v>2</v>
      </c>
    </row>
    <row r="51" spans="1:35" ht="14.25" x14ac:dyDescent="0.2">
      <c r="A51" s="20"/>
      <c r="B51" s="20"/>
      <c r="C51" s="20" t="s">
        <v>164</v>
      </c>
      <c r="D51" s="22"/>
      <c r="E51" s="21"/>
      <c r="F51" s="24">
        <f>Source!AM34</f>
        <v>247.38</v>
      </c>
      <c r="G51" s="23" t="str">
        <f>Source!DE34</f>
        <v/>
      </c>
      <c r="H51" s="21">
        <f>Source!AV34</f>
        <v>1</v>
      </c>
      <c r="I51" s="24">
        <f>(ROUND((ROUND(((Source!ET34)*Source!AV34*Source!I34),2)),2)+ROUND((ROUND(((Source!AE34-(Source!EU34))*Source!AV34*Source!I34),2)),2))</f>
        <v>1979.04</v>
      </c>
      <c r="J51" s="21">
        <f>IF(Source!BB34&lt;&gt; 0, Source!BB34, 1)</f>
        <v>9.89</v>
      </c>
      <c r="K51" s="24">
        <f>Source!Q34</f>
        <v>19572.71</v>
      </c>
    </row>
    <row r="52" spans="1:35" ht="14.25" x14ac:dyDescent="0.2">
      <c r="A52" s="20"/>
      <c r="B52" s="20"/>
      <c r="C52" s="20" t="s">
        <v>165</v>
      </c>
      <c r="D52" s="22"/>
      <c r="E52" s="21"/>
      <c r="F52" s="24">
        <f>Source!AN34</f>
        <v>12.62</v>
      </c>
      <c r="G52" s="23" t="str">
        <f>Source!DF34</f>
        <v/>
      </c>
      <c r="H52" s="21">
        <f>Source!AV34</f>
        <v>1</v>
      </c>
      <c r="I52" s="31">
        <f>ROUND((ROUND((Source!AE34*Source!AV34*Source!I34),2)),2)</f>
        <v>100.96</v>
      </c>
      <c r="J52" s="21">
        <f>IF(Source!BS34&lt;&gt; 0, Source!BS34, 1)</f>
        <v>34.51</v>
      </c>
      <c r="K52" s="31">
        <f>Source!R34</f>
        <v>3484.13</v>
      </c>
      <c r="W52">
        <f>I52</f>
        <v>100.96</v>
      </c>
    </row>
    <row r="53" spans="1:35" ht="14.25" x14ac:dyDescent="0.2">
      <c r="A53" s="26"/>
      <c r="B53" s="26"/>
      <c r="C53" s="26" t="s">
        <v>166</v>
      </c>
      <c r="D53" s="27" t="s">
        <v>157</v>
      </c>
      <c r="E53" s="28">
        <f>175</f>
        <v>175</v>
      </c>
      <c r="F53" s="29"/>
      <c r="G53" s="30"/>
      <c r="H53" s="28"/>
      <c r="I53" s="29">
        <f>SUM(U50:U52)</f>
        <v>176.68</v>
      </c>
      <c r="J53" s="28">
        <f>160</f>
        <v>160</v>
      </c>
      <c r="K53" s="29">
        <f>SUM(V50:V52)</f>
        <v>5574.61</v>
      </c>
    </row>
    <row r="54" spans="1:35" ht="15" x14ac:dyDescent="0.25">
      <c r="C54" s="13" t="s">
        <v>167</v>
      </c>
      <c r="H54" s="40">
        <f>I51+I53+0</f>
        <v>2155.7199999999998</v>
      </c>
      <c r="I54" s="40"/>
      <c r="J54" s="40">
        <f>K51+K53+0</f>
        <v>25147.32</v>
      </c>
      <c r="K54" s="40"/>
      <c r="O54" s="25">
        <f>I51+I53+0</f>
        <v>2155.7199999999998</v>
      </c>
      <c r="P54" s="25">
        <f>K51+K53+0</f>
        <v>25147.32</v>
      </c>
      <c r="X54">
        <f>IF(Source!BI34&lt;=1,I51+I53-0, 0)</f>
        <v>2155.7199999999998</v>
      </c>
      <c r="Y54">
        <f>IF(Source!BI34=2,I51+I53-0, 0)</f>
        <v>0</v>
      </c>
      <c r="Z54">
        <f>IF(Source!BI34=3,I51+I53-0, 0)</f>
        <v>0</v>
      </c>
      <c r="AA54">
        <f>IF(Source!BI34=4,I51+I53,0)</f>
        <v>0</v>
      </c>
    </row>
    <row r="57" spans="1:35" ht="15" x14ac:dyDescent="0.25">
      <c r="A57" s="39" t="str">
        <f>CONCATENATE("Итого по разделу: ",IF(Source!G36&lt;&gt;"Новый раздел", Source!G36, ""))</f>
        <v>Итого по разделу: Пусконаладочные работы</v>
      </c>
      <c r="B57" s="39"/>
      <c r="C57" s="39"/>
      <c r="D57" s="39"/>
      <c r="E57" s="39"/>
      <c r="F57" s="39"/>
      <c r="G57" s="39"/>
      <c r="H57" s="37">
        <f>SUM(O31:O56)</f>
        <v>13326.87</v>
      </c>
      <c r="I57" s="38"/>
      <c r="J57" s="37">
        <f>SUM(P31:P56)</f>
        <v>357163.26</v>
      </c>
      <c r="K57" s="38"/>
    </row>
    <row r="58" spans="1:35" hidden="1" x14ac:dyDescent="0.2">
      <c r="A58" t="s">
        <v>168</v>
      </c>
      <c r="H58">
        <f>SUM(AC31:AC57)</f>
        <v>0</v>
      </c>
      <c r="J58">
        <f>SUM(AD31:AD57)</f>
        <v>0</v>
      </c>
    </row>
    <row r="59" spans="1:35" hidden="1" x14ac:dyDescent="0.2">
      <c r="A59" t="s">
        <v>169</v>
      </c>
      <c r="H59">
        <f>SUM(AE31:AE58)</f>
        <v>0</v>
      </c>
      <c r="J59">
        <f>SUM(AF31:AF58)</f>
        <v>0</v>
      </c>
    </row>
    <row r="61" spans="1:35" ht="15" x14ac:dyDescent="0.25">
      <c r="A61" s="39" t="str">
        <f>CONCATENATE("Итого по локальной смете: ",IF(Source!G66&lt;&gt;"Новая локальная смета", Source!G66, ""))</f>
        <v xml:space="preserve">Итого по локальной смете: </v>
      </c>
      <c r="B61" s="39"/>
      <c r="C61" s="39"/>
      <c r="D61" s="39"/>
      <c r="E61" s="39"/>
      <c r="F61" s="39"/>
      <c r="G61" s="39"/>
      <c r="H61" s="37">
        <f>SUM(O29:O60)</f>
        <v>13326.87</v>
      </c>
      <c r="I61" s="38"/>
      <c r="J61" s="37">
        <f>SUM(P29:P60)</f>
        <v>357163.26</v>
      </c>
      <c r="K61" s="38"/>
    </row>
    <row r="62" spans="1:35" hidden="1" x14ac:dyDescent="0.2">
      <c r="A62" t="s">
        <v>168</v>
      </c>
      <c r="H62">
        <f>SUM(AC29:AC61)</f>
        <v>0</v>
      </c>
      <c r="J62">
        <f>SUM(AD29:AD61)</f>
        <v>0</v>
      </c>
    </row>
    <row r="63" spans="1:35" hidden="1" x14ac:dyDescent="0.2">
      <c r="A63" t="s">
        <v>169</v>
      </c>
      <c r="H63">
        <f>SUM(AE29:AE62)</f>
        <v>0</v>
      </c>
      <c r="J63">
        <f>SUM(AF29:AF62)</f>
        <v>0</v>
      </c>
    </row>
    <row r="65" spans="1:43" ht="30" hidden="1" x14ac:dyDescent="0.25">
      <c r="A65" s="39" t="str">
        <f>CONCATENATE("Итого по смете: ",IF(Source!G96&lt;&gt;"Новый объект", Source!G96, ""))</f>
        <v>Итого по смете: 09-01-02 ПНР КЛ 10 кВ (ТСН-2001 (Мосгосэкспертиза)) (ТСН-2001 (Мосгосэкспертиза))</v>
      </c>
      <c r="B65" s="39"/>
      <c r="C65" s="39"/>
      <c r="D65" s="39"/>
      <c r="E65" s="39"/>
      <c r="F65" s="39"/>
      <c r="G65" s="39"/>
      <c r="H65" s="37">
        <f>SUM(O1:O64)</f>
        <v>13326.87</v>
      </c>
      <c r="I65" s="38"/>
      <c r="J65" s="37">
        <f>SUM(P1:P64)</f>
        <v>357163.26</v>
      </c>
      <c r="K65" s="38"/>
      <c r="AQ65" s="32" t="str">
        <f>CONCATENATE("Итого по смете: ",IF(Source!G96&lt;&gt;"Новый объект", Source!G96, ""))</f>
        <v>Итого по смете: 09-01-02 ПНР КЛ 10 кВ (ТСН-2001 (Мосгосэкспертиза)) (ТСН-2001 (Мосгосэкспертиза))</v>
      </c>
    </row>
    <row r="66" spans="1:43" hidden="1" x14ac:dyDescent="0.2">
      <c r="A66" t="s">
        <v>168</v>
      </c>
      <c r="H66">
        <f>SUM(AC1:AC65)</f>
        <v>0</v>
      </c>
      <c r="J66">
        <f>SUM(AD1:AD65)</f>
        <v>0</v>
      </c>
    </row>
    <row r="67" spans="1:43" hidden="1" x14ac:dyDescent="0.2">
      <c r="A67" t="s">
        <v>169</v>
      </c>
      <c r="H67">
        <f>SUM(AE1:AE66)</f>
        <v>0</v>
      </c>
      <c r="J67">
        <f>SUM(AF1:AF66)</f>
        <v>0</v>
      </c>
    </row>
    <row r="70" spans="1:43" ht="14.25" x14ac:dyDescent="0.2">
      <c r="A70" s="34" t="s">
        <v>171</v>
      </c>
      <c r="B70" s="34"/>
      <c r="C70" s="33" t="str">
        <f>IF(Source!AC12&lt;&gt;"", Source!AC12," ")</f>
        <v xml:space="preserve"> </v>
      </c>
      <c r="D70" s="33"/>
      <c r="E70" s="33"/>
      <c r="F70" s="33"/>
      <c r="G70" s="33"/>
      <c r="H70" s="35" t="str">
        <f>IF(Source!AB12&lt;&gt;"", Source!AB12," ")</f>
        <v xml:space="preserve"> </v>
      </c>
      <c r="I70" s="35"/>
      <c r="J70" s="35"/>
      <c r="K70" s="35"/>
    </row>
    <row r="71" spans="1:43" ht="14.25" x14ac:dyDescent="0.2">
      <c r="A71" s="9"/>
      <c r="B71" s="9"/>
      <c r="C71" s="36" t="s">
        <v>172</v>
      </c>
      <c r="D71" s="36"/>
      <c r="E71" s="36"/>
      <c r="F71" s="36"/>
      <c r="G71" s="36"/>
      <c r="H71" s="9"/>
      <c r="I71" s="9"/>
      <c r="J71" s="9"/>
      <c r="K71" s="9"/>
    </row>
    <row r="72" spans="1:43" ht="14.25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43" ht="14.25" x14ac:dyDescent="0.2">
      <c r="A73" s="34" t="s">
        <v>173</v>
      </c>
      <c r="B73" s="34"/>
      <c r="C73" s="33" t="str">
        <f>IF(Source!AE12&lt;&gt;"", Source!AE12," ")</f>
        <v xml:space="preserve"> </v>
      </c>
      <c r="D73" s="33"/>
      <c r="E73" s="33"/>
      <c r="F73" s="33"/>
      <c r="G73" s="33"/>
      <c r="H73" s="35" t="str">
        <f>IF(Source!AD12&lt;&gt;"", Source!AD12," ")</f>
        <v xml:space="preserve"> </v>
      </c>
      <c r="I73" s="35"/>
      <c r="J73" s="35"/>
      <c r="K73" s="35"/>
    </row>
    <row r="74" spans="1:43" ht="14.25" x14ac:dyDescent="0.2">
      <c r="A74" s="9"/>
      <c r="B74" s="9"/>
      <c r="C74" s="36" t="s">
        <v>172</v>
      </c>
      <c r="D74" s="36"/>
      <c r="E74" s="36"/>
      <c r="F74" s="36"/>
      <c r="G74" s="36"/>
      <c r="H74" s="9"/>
      <c r="I74" s="9"/>
      <c r="J74" s="9"/>
      <c r="K74" s="9"/>
    </row>
  </sheetData>
  <mergeCells count="48"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J39:K39"/>
    <mergeCell ref="H39:I39"/>
    <mergeCell ref="E20:H20"/>
    <mergeCell ref="E21:H21"/>
    <mergeCell ref="E22:H22"/>
    <mergeCell ref="A25:K25"/>
    <mergeCell ref="A31:K31"/>
    <mergeCell ref="H37:I37"/>
    <mergeCell ref="J37:K37"/>
    <mergeCell ref="H38:I38"/>
    <mergeCell ref="J38:K38"/>
    <mergeCell ref="J61:K61"/>
    <mergeCell ref="H61:I61"/>
    <mergeCell ref="A61:G61"/>
    <mergeCell ref="H46:I46"/>
    <mergeCell ref="J46:K46"/>
    <mergeCell ref="H47:I47"/>
    <mergeCell ref="J47:K47"/>
    <mergeCell ref="J48:K48"/>
    <mergeCell ref="H48:I48"/>
    <mergeCell ref="H54:I54"/>
    <mergeCell ref="J54:K54"/>
    <mergeCell ref="J57:K57"/>
    <mergeCell ref="H57:I57"/>
    <mergeCell ref="A57:G57"/>
    <mergeCell ref="A73:B73"/>
    <mergeCell ref="H73:K73"/>
    <mergeCell ref="C74:G74"/>
    <mergeCell ref="J65:K65"/>
    <mergeCell ref="H65:I65"/>
    <mergeCell ref="A65:G65"/>
    <mergeCell ref="A70:B70"/>
    <mergeCell ref="H70:K70"/>
    <mergeCell ref="C71:G71"/>
  </mergeCells>
  <pageMargins left="0.4" right="0.2" top="0.2" bottom="0.4" header="0.2" footer="0.2"/>
  <pageSetup paperSize="9" scale="73" fitToHeight="0" orientation="portrait" verticalDpi="0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139"/>
  <sheetViews>
    <sheetView workbookViewId="0">
      <selection activeCell="A135" sqref="A135:AX135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33" x14ac:dyDescent="0.2">
      <c r="A12" s="1">
        <v>1</v>
      </c>
      <c r="B12" s="1">
        <v>134</v>
      </c>
      <c r="C12" s="1">
        <v>0</v>
      </c>
      <c r="D12" s="1">
        <f>ROW(A96)</f>
        <v>96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B96</f>
        <v>134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(ТСН-2001 (Мосгосэкспертиза)) (ТСН-2001 (Мосгосэкспертиза)) (ТСН-2001 (Мосгосэкспертиза))</v>
      </c>
      <c r="G18" s="2" t="str">
        <f t="shared" si="0"/>
        <v>09-01-02 ПНР КЛ 10 кВ (ТСН-2001 (Мосгосэкспертиза)) (ТСН-2001 (Мосгосэкспертиза))</v>
      </c>
      <c r="H18" s="2"/>
      <c r="I18" s="2"/>
      <c r="J18" s="2"/>
      <c r="K18" s="2"/>
      <c r="L18" s="2"/>
      <c r="M18" s="2"/>
      <c r="N18" s="2"/>
      <c r="O18" s="2">
        <f t="shared" ref="O18:AT18" si="1">O96</f>
        <v>176926.23</v>
      </c>
      <c r="P18" s="2">
        <f t="shared" si="1"/>
        <v>0</v>
      </c>
      <c r="Q18" s="2">
        <f t="shared" si="1"/>
        <v>19572.71</v>
      </c>
      <c r="R18" s="2">
        <f t="shared" si="1"/>
        <v>3484.13</v>
      </c>
      <c r="S18" s="2">
        <f t="shared" si="1"/>
        <v>157353.51999999999</v>
      </c>
      <c r="T18" s="2">
        <f t="shared" si="1"/>
        <v>0</v>
      </c>
      <c r="U18" s="2">
        <f t="shared" si="1"/>
        <v>296.416</v>
      </c>
      <c r="V18" s="2">
        <f t="shared" si="1"/>
        <v>0</v>
      </c>
      <c r="W18" s="2">
        <f t="shared" si="1"/>
        <v>0</v>
      </c>
      <c r="X18" s="2">
        <f t="shared" si="1"/>
        <v>110147.47</v>
      </c>
      <c r="Y18" s="2">
        <f t="shared" si="1"/>
        <v>64514.95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0</v>
      </c>
      <c r="AQ18" s="2">
        <f t="shared" si="1"/>
        <v>0</v>
      </c>
      <c r="AR18" s="2">
        <f t="shared" si="1"/>
        <v>357163.26</v>
      </c>
      <c r="AS18" s="2">
        <f t="shared" si="1"/>
        <v>25147.32</v>
      </c>
      <c r="AT18" s="2">
        <f t="shared" si="1"/>
        <v>0</v>
      </c>
      <c r="AU18" s="2">
        <f t="shared" ref="AU18:BZ18" si="2">AU96</f>
        <v>332015.94</v>
      </c>
      <c r="AV18" s="2">
        <f t="shared" si="2"/>
        <v>0</v>
      </c>
      <c r="AW18" s="2">
        <f t="shared" si="2"/>
        <v>0</v>
      </c>
      <c r="AX18" s="2">
        <f t="shared" si="2"/>
        <v>0</v>
      </c>
      <c r="AY18" s="2">
        <f t="shared" si="2"/>
        <v>0</v>
      </c>
      <c r="AZ18" s="2">
        <f t="shared" si="2"/>
        <v>0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CA96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DG96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EM96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FS96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ROW(A66)</f>
        <v>66</v>
      </c>
      <c r="E20" s="1"/>
      <c r="F20" s="1" t="s">
        <v>13</v>
      </c>
      <c r="G20" s="1" t="s">
        <v>13</v>
      </c>
      <c r="H20" s="1" t="s">
        <v>3</v>
      </c>
      <c r="I20" s="1">
        <v>0</v>
      </c>
      <c r="J20" s="1" t="s">
        <v>3</v>
      </c>
      <c r="K20" s="1">
        <v>0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B66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Новая локальная смета</v>
      </c>
      <c r="G22" s="2" t="str">
        <f t="shared" si="7"/>
        <v>Новая локальная смета</v>
      </c>
      <c r="H22" s="2"/>
      <c r="I22" s="2"/>
      <c r="J22" s="2"/>
      <c r="K22" s="2"/>
      <c r="L22" s="2"/>
      <c r="M22" s="2"/>
      <c r="N22" s="2"/>
      <c r="O22" s="2">
        <f t="shared" ref="O22:AT22" si="8">O66</f>
        <v>176926.23</v>
      </c>
      <c r="P22" s="2">
        <f t="shared" si="8"/>
        <v>0</v>
      </c>
      <c r="Q22" s="2">
        <f t="shared" si="8"/>
        <v>19572.71</v>
      </c>
      <c r="R22" s="2">
        <f t="shared" si="8"/>
        <v>3484.13</v>
      </c>
      <c r="S22" s="2">
        <f t="shared" si="8"/>
        <v>157353.51999999999</v>
      </c>
      <c r="T22" s="2">
        <f t="shared" si="8"/>
        <v>0</v>
      </c>
      <c r="U22" s="2">
        <f t="shared" si="8"/>
        <v>296.416</v>
      </c>
      <c r="V22" s="2">
        <f t="shared" si="8"/>
        <v>0</v>
      </c>
      <c r="W22" s="2">
        <f t="shared" si="8"/>
        <v>0</v>
      </c>
      <c r="X22" s="2">
        <f t="shared" si="8"/>
        <v>110147.47</v>
      </c>
      <c r="Y22" s="2">
        <f t="shared" si="8"/>
        <v>64514.95</v>
      </c>
      <c r="Z22" s="2">
        <f t="shared" si="8"/>
        <v>0</v>
      </c>
      <c r="AA22" s="2">
        <f t="shared" si="8"/>
        <v>0</v>
      </c>
      <c r="AB22" s="2">
        <f t="shared" si="8"/>
        <v>0</v>
      </c>
      <c r="AC22" s="2">
        <f t="shared" si="8"/>
        <v>0</v>
      </c>
      <c r="AD22" s="2">
        <f t="shared" si="8"/>
        <v>0</v>
      </c>
      <c r="AE22" s="2">
        <f t="shared" si="8"/>
        <v>0</v>
      </c>
      <c r="AF22" s="2">
        <f t="shared" si="8"/>
        <v>0</v>
      </c>
      <c r="AG22" s="2">
        <f t="shared" si="8"/>
        <v>0</v>
      </c>
      <c r="AH22" s="2">
        <f t="shared" si="8"/>
        <v>0</v>
      </c>
      <c r="AI22" s="2">
        <f t="shared" si="8"/>
        <v>0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357163.26</v>
      </c>
      <c r="AS22" s="2">
        <f t="shared" si="8"/>
        <v>25147.32</v>
      </c>
      <c r="AT22" s="2">
        <f t="shared" si="8"/>
        <v>0</v>
      </c>
      <c r="AU22" s="2">
        <f t="shared" ref="AU22:BZ22" si="9">AU66</f>
        <v>332015.94</v>
      </c>
      <c r="AV22" s="2">
        <f t="shared" si="9"/>
        <v>0</v>
      </c>
      <c r="AW22" s="2">
        <f t="shared" si="9"/>
        <v>0</v>
      </c>
      <c r="AX22" s="2">
        <f t="shared" si="9"/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CA66</f>
        <v>0</v>
      </c>
      <c r="CB22" s="2">
        <f t="shared" si="10"/>
        <v>0</v>
      </c>
      <c r="CC22" s="2">
        <f t="shared" si="10"/>
        <v>0</v>
      </c>
      <c r="CD22" s="2">
        <f t="shared" si="10"/>
        <v>0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DG66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EM66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FS66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 s="1">
        <v>4</v>
      </c>
      <c r="B24" s="1">
        <v>1</v>
      </c>
      <c r="C24" s="1"/>
      <c r="D24" s="1">
        <f>ROW(A36)</f>
        <v>36</v>
      </c>
      <c r="E24" s="1"/>
      <c r="F24" s="1" t="s">
        <v>14</v>
      </c>
      <c r="G24" s="1" t="s">
        <v>15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/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45" x14ac:dyDescent="0.2">
      <c r="A26" s="2">
        <v>52</v>
      </c>
      <c r="B26" s="2">
        <f t="shared" ref="B26:G26" si="14">B36</f>
        <v>1</v>
      </c>
      <c r="C26" s="2">
        <f t="shared" si="14"/>
        <v>4</v>
      </c>
      <c r="D26" s="2">
        <f t="shared" si="14"/>
        <v>24</v>
      </c>
      <c r="E26" s="2">
        <f t="shared" si="14"/>
        <v>0</v>
      </c>
      <c r="F26" s="2" t="str">
        <f t="shared" si="14"/>
        <v>Новый раздел</v>
      </c>
      <c r="G26" s="2" t="str">
        <f t="shared" si="14"/>
        <v>Пусконаладочные работы</v>
      </c>
      <c r="H26" s="2"/>
      <c r="I26" s="2"/>
      <c r="J26" s="2"/>
      <c r="K26" s="2"/>
      <c r="L26" s="2"/>
      <c r="M26" s="2"/>
      <c r="N26" s="2"/>
      <c r="O26" s="2">
        <f t="shared" ref="O26:AT26" si="15">O36</f>
        <v>176926.23</v>
      </c>
      <c r="P26" s="2">
        <f t="shared" si="15"/>
        <v>0</v>
      </c>
      <c r="Q26" s="2">
        <f t="shared" si="15"/>
        <v>19572.71</v>
      </c>
      <c r="R26" s="2">
        <f t="shared" si="15"/>
        <v>3484.13</v>
      </c>
      <c r="S26" s="2">
        <f t="shared" si="15"/>
        <v>157353.51999999999</v>
      </c>
      <c r="T26" s="2">
        <f t="shared" si="15"/>
        <v>0</v>
      </c>
      <c r="U26" s="2">
        <f t="shared" si="15"/>
        <v>296.416</v>
      </c>
      <c r="V26" s="2">
        <f t="shared" si="15"/>
        <v>0</v>
      </c>
      <c r="W26" s="2">
        <f t="shared" si="15"/>
        <v>0</v>
      </c>
      <c r="X26" s="2">
        <f t="shared" si="15"/>
        <v>110147.47</v>
      </c>
      <c r="Y26" s="2">
        <f t="shared" si="15"/>
        <v>64514.95</v>
      </c>
      <c r="Z26" s="2">
        <f t="shared" si="15"/>
        <v>0</v>
      </c>
      <c r="AA26" s="2">
        <f t="shared" si="15"/>
        <v>0</v>
      </c>
      <c r="AB26" s="2">
        <f t="shared" si="15"/>
        <v>176926.23</v>
      </c>
      <c r="AC26" s="2">
        <f t="shared" si="15"/>
        <v>0</v>
      </c>
      <c r="AD26" s="2">
        <f t="shared" si="15"/>
        <v>19572.71</v>
      </c>
      <c r="AE26" s="2">
        <f t="shared" si="15"/>
        <v>3484.13</v>
      </c>
      <c r="AF26" s="2">
        <f t="shared" si="15"/>
        <v>157353.51999999999</v>
      </c>
      <c r="AG26" s="2">
        <f t="shared" si="15"/>
        <v>0</v>
      </c>
      <c r="AH26" s="2">
        <f t="shared" si="15"/>
        <v>296.416</v>
      </c>
      <c r="AI26" s="2">
        <f t="shared" si="15"/>
        <v>0</v>
      </c>
      <c r="AJ26" s="2">
        <f t="shared" si="15"/>
        <v>0</v>
      </c>
      <c r="AK26" s="2">
        <f t="shared" si="15"/>
        <v>110147.47</v>
      </c>
      <c r="AL26" s="2">
        <f t="shared" si="15"/>
        <v>64514.95</v>
      </c>
      <c r="AM26" s="2">
        <f t="shared" si="15"/>
        <v>0</v>
      </c>
      <c r="AN26" s="2">
        <f t="shared" si="15"/>
        <v>0</v>
      </c>
      <c r="AO26" s="2">
        <f t="shared" si="15"/>
        <v>0</v>
      </c>
      <c r="AP26" s="2">
        <f t="shared" si="15"/>
        <v>0</v>
      </c>
      <c r="AQ26" s="2">
        <f t="shared" si="15"/>
        <v>0</v>
      </c>
      <c r="AR26" s="2">
        <f t="shared" si="15"/>
        <v>357163.26</v>
      </c>
      <c r="AS26" s="2">
        <f t="shared" si="15"/>
        <v>25147.32</v>
      </c>
      <c r="AT26" s="2">
        <f t="shared" si="15"/>
        <v>0</v>
      </c>
      <c r="AU26" s="2">
        <f t="shared" ref="AU26:BZ26" si="16">AU36</f>
        <v>332015.94</v>
      </c>
      <c r="AV26" s="2">
        <f t="shared" si="16"/>
        <v>0</v>
      </c>
      <c r="AW26" s="2">
        <f t="shared" si="16"/>
        <v>0</v>
      </c>
      <c r="AX26" s="2">
        <f t="shared" si="16"/>
        <v>0</v>
      </c>
      <c r="AY26" s="2">
        <f t="shared" si="16"/>
        <v>0</v>
      </c>
      <c r="AZ26" s="2">
        <f t="shared" si="16"/>
        <v>0</v>
      </c>
      <c r="BA26" s="2">
        <f t="shared" si="16"/>
        <v>0</v>
      </c>
      <c r="BB26" s="2">
        <f t="shared" si="16"/>
        <v>0</v>
      </c>
      <c r="BC26" s="2">
        <f t="shared" si="16"/>
        <v>0</v>
      </c>
      <c r="BD26" s="2">
        <f t="shared" si="16"/>
        <v>0</v>
      </c>
      <c r="BE26" s="2">
        <f t="shared" si="16"/>
        <v>0</v>
      </c>
      <c r="BF26" s="2">
        <f t="shared" si="16"/>
        <v>0</v>
      </c>
      <c r="BG26" s="2">
        <f t="shared" si="16"/>
        <v>0</v>
      </c>
      <c r="BH26" s="2">
        <f t="shared" si="16"/>
        <v>0</v>
      </c>
      <c r="BI26" s="2">
        <f t="shared" si="16"/>
        <v>0</v>
      </c>
      <c r="BJ26" s="2">
        <f t="shared" si="16"/>
        <v>0</v>
      </c>
      <c r="BK26" s="2">
        <f t="shared" si="16"/>
        <v>0</v>
      </c>
      <c r="BL26" s="2">
        <f t="shared" si="16"/>
        <v>0</v>
      </c>
      <c r="BM26" s="2">
        <f t="shared" si="16"/>
        <v>0</v>
      </c>
      <c r="BN26" s="2">
        <f t="shared" si="16"/>
        <v>0</v>
      </c>
      <c r="BO26" s="2">
        <f t="shared" si="16"/>
        <v>0</v>
      </c>
      <c r="BP26" s="2">
        <f t="shared" si="16"/>
        <v>0</v>
      </c>
      <c r="BQ26" s="2">
        <f t="shared" si="16"/>
        <v>0</v>
      </c>
      <c r="BR26" s="2">
        <f t="shared" si="16"/>
        <v>0</v>
      </c>
      <c r="BS26" s="2">
        <f t="shared" si="16"/>
        <v>0</v>
      </c>
      <c r="BT26" s="2">
        <f t="shared" si="16"/>
        <v>0</v>
      </c>
      <c r="BU26" s="2">
        <f t="shared" si="16"/>
        <v>0</v>
      </c>
      <c r="BV26" s="2">
        <f t="shared" si="16"/>
        <v>0</v>
      </c>
      <c r="BW26" s="2">
        <f t="shared" si="16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ref="CA26:DF26" si="17">CA36</f>
        <v>357163.26</v>
      </c>
      <c r="CB26" s="2">
        <f t="shared" si="17"/>
        <v>25147.32</v>
      </c>
      <c r="CC26" s="2">
        <f t="shared" si="17"/>
        <v>0</v>
      </c>
      <c r="CD26" s="2">
        <f t="shared" si="17"/>
        <v>332015.94</v>
      </c>
      <c r="CE26" s="2">
        <f t="shared" si="17"/>
        <v>0</v>
      </c>
      <c r="CF26" s="2">
        <f t="shared" si="17"/>
        <v>0</v>
      </c>
      <c r="CG26" s="2">
        <f t="shared" si="17"/>
        <v>0</v>
      </c>
      <c r="CH26" s="2">
        <f t="shared" si="17"/>
        <v>0</v>
      </c>
      <c r="CI26" s="2">
        <f t="shared" si="17"/>
        <v>0</v>
      </c>
      <c r="CJ26" s="2">
        <f t="shared" si="17"/>
        <v>0</v>
      </c>
      <c r="CK26" s="2">
        <f t="shared" si="17"/>
        <v>0</v>
      </c>
      <c r="CL26" s="2">
        <f t="shared" si="17"/>
        <v>0</v>
      </c>
      <c r="CM26" s="2">
        <f t="shared" si="17"/>
        <v>0</v>
      </c>
      <c r="CN26" s="2">
        <f t="shared" si="17"/>
        <v>0</v>
      </c>
      <c r="CO26" s="2">
        <f t="shared" si="17"/>
        <v>0</v>
      </c>
      <c r="CP26" s="2">
        <f t="shared" si="17"/>
        <v>0</v>
      </c>
      <c r="CQ26" s="2">
        <f t="shared" si="17"/>
        <v>0</v>
      </c>
      <c r="CR26" s="2">
        <f t="shared" si="17"/>
        <v>0</v>
      </c>
      <c r="CS26" s="2">
        <f t="shared" si="17"/>
        <v>0</v>
      </c>
      <c r="CT26" s="2">
        <f t="shared" si="17"/>
        <v>0</v>
      </c>
      <c r="CU26" s="2">
        <f t="shared" si="17"/>
        <v>0</v>
      </c>
      <c r="CV26" s="2">
        <f t="shared" si="17"/>
        <v>0</v>
      </c>
      <c r="CW26" s="2">
        <f t="shared" si="17"/>
        <v>0</v>
      </c>
      <c r="CX26" s="2">
        <f t="shared" si="17"/>
        <v>0</v>
      </c>
      <c r="CY26" s="2">
        <f t="shared" si="17"/>
        <v>0</v>
      </c>
      <c r="CZ26" s="2">
        <f t="shared" si="17"/>
        <v>0</v>
      </c>
      <c r="DA26" s="2">
        <f t="shared" si="17"/>
        <v>0</v>
      </c>
      <c r="DB26" s="2">
        <f t="shared" si="17"/>
        <v>0</v>
      </c>
      <c r="DC26" s="2">
        <f t="shared" si="17"/>
        <v>0</v>
      </c>
      <c r="DD26" s="2">
        <f t="shared" si="17"/>
        <v>0</v>
      </c>
      <c r="DE26" s="2">
        <f t="shared" si="17"/>
        <v>0</v>
      </c>
      <c r="DF26" s="2">
        <f t="shared" si="17"/>
        <v>0</v>
      </c>
      <c r="DG26" s="3">
        <f t="shared" ref="DG26:EL26" si="18">DG36</f>
        <v>0</v>
      </c>
      <c r="DH26" s="3">
        <f t="shared" si="18"/>
        <v>0</v>
      </c>
      <c r="DI26" s="3">
        <f t="shared" si="18"/>
        <v>0</v>
      </c>
      <c r="DJ26" s="3">
        <f t="shared" si="18"/>
        <v>0</v>
      </c>
      <c r="DK26" s="3">
        <f t="shared" si="18"/>
        <v>0</v>
      </c>
      <c r="DL26" s="3">
        <f t="shared" si="18"/>
        <v>0</v>
      </c>
      <c r="DM26" s="3">
        <f t="shared" si="18"/>
        <v>0</v>
      </c>
      <c r="DN26" s="3">
        <f t="shared" si="18"/>
        <v>0</v>
      </c>
      <c r="DO26" s="3">
        <f t="shared" si="18"/>
        <v>0</v>
      </c>
      <c r="DP26" s="3">
        <f t="shared" si="18"/>
        <v>0</v>
      </c>
      <c r="DQ26" s="3">
        <f t="shared" si="18"/>
        <v>0</v>
      </c>
      <c r="DR26" s="3">
        <f t="shared" si="18"/>
        <v>0</v>
      </c>
      <c r="DS26" s="3">
        <f t="shared" si="18"/>
        <v>0</v>
      </c>
      <c r="DT26" s="3">
        <f t="shared" si="18"/>
        <v>0</v>
      </c>
      <c r="DU26" s="3">
        <f t="shared" si="18"/>
        <v>0</v>
      </c>
      <c r="DV26" s="3">
        <f t="shared" si="18"/>
        <v>0</v>
      </c>
      <c r="DW26" s="3">
        <f t="shared" si="18"/>
        <v>0</v>
      </c>
      <c r="DX26" s="3">
        <f t="shared" si="18"/>
        <v>0</v>
      </c>
      <c r="DY26" s="3">
        <f t="shared" si="18"/>
        <v>0</v>
      </c>
      <c r="DZ26" s="3">
        <f t="shared" si="18"/>
        <v>0</v>
      </c>
      <c r="EA26" s="3">
        <f t="shared" si="18"/>
        <v>0</v>
      </c>
      <c r="EB26" s="3">
        <f t="shared" si="18"/>
        <v>0</v>
      </c>
      <c r="EC26" s="3">
        <f t="shared" si="18"/>
        <v>0</v>
      </c>
      <c r="ED26" s="3">
        <f t="shared" si="18"/>
        <v>0</v>
      </c>
      <c r="EE26" s="3">
        <f t="shared" si="18"/>
        <v>0</v>
      </c>
      <c r="EF26" s="3">
        <f t="shared" si="18"/>
        <v>0</v>
      </c>
      <c r="EG26" s="3">
        <f t="shared" si="18"/>
        <v>0</v>
      </c>
      <c r="EH26" s="3">
        <f t="shared" si="18"/>
        <v>0</v>
      </c>
      <c r="EI26" s="3">
        <f t="shared" si="18"/>
        <v>0</v>
      </c>
      <c r="EJ26" s="3">
        <f t="shared" si="18"/>
        <v>0</v>
      </c>
      <c r="EK26" s="3">
        <f t="shared" si="18"/>
        <v>0</v>
      </c>
      <c r="EL26" s="3">
        <f t="shared" si="18"/>
        <v>0</v>
      </c>
      <c r="EM26" s="3">
        <f t="shared" ref="EM26:FR26" si="19">EM36</f>
        <v>0</v>
      </c>
      <c r="EN26" s="3">
        <f t="shared" si="19"/>
        <v>0</v>
      </c>
      <c r="EO26" s="3">
        <f t="shared" si="19"/>
        <v>0</v>
      </c>
      <c r="EP26" s="3">
        <f t="shared" si="19"/>
        <v>0</v>
      </c>
      <c r="EQ26" s="3">
        <f t="shared" si="19"/>
        <v>0</v>
      </c>
      <c r="ER26" s="3">
        <f t="shared" si="19"/>
        <v>0</v>
      </c>
      <c r="ES26" s="3">
        <f t="shared" si="19"/>
        <v>0</v>
      </c>
      <c r="ET26" s="3">
        <f t="shared" si="19"/>
        <v>0</v>
      </c>
      <c r="EU26" s="3">
        <f t="shared" si="19"/>
        <v>0</v>
      </c>
      <c r="EV26" s="3">
        <f t="shared" si="19"/>
        <v>0</v>
      </c>
      <c r="EW26" s="3">
        <f t="shared" si="19"/>
        <v>0</v>
      </c>
      <c r="EX26" s="3">
        <f t="shared" si="19"/>
        <v>0</v>
      </c>
      <c r="EY26" s="3">
        <f t="shared" si="19"/>
        <v>0</v>
      </c>
      <c r="EZ26" s="3">
        <f t="shared" si="19"/>
        <v>0</v>
      </c>
      <c r="FA26" s="3">
        <f t="shared" si="19"/>
        <v>0</v>
      </c>
      <c r="FB26" s="3">
        <f t="shared" si="19"/>
        <v>0</v>
      </c>
      <c r="FC26" s="3">
        <f t="shared" si="19"/>
        <v>0</v>
      </c>
      <c r="FD26" s="3">
        <f t="shared" si="19"/>
        <v>0</v>
      </c>
      <c r="FE26" s="3">
        <f t="shared" si="19"/>
        <v>0</v>
      </c>
      <c r="FF26" s="3">
        <f t="shared" si="19"/>
        <v>0</v>
      </c>
      <c r="FG26" s="3">
        <f t="shared" si="19"/>
        <v>0</v>
      </c>
      <c r="FH26" s="3">
        <f t="shared" si="19"/>
        <v>0</v>
      </c>
      <c r="FI26" s="3">
        <f t="shared" si="19"/>
        <v>0</v>
      </c>
      <c r="FJ26" s="3">
        <f t="shared" si="19"/>
        <v>0</v>
      </c>
      <c r="FK26" s="3">
        <f t="shared" si="19"/>
        <v>0</v>
      </c>
      <c r="FL26" s="3">
        <f t="shared" si="19"/>
        <v>0</v>
      </c>
      <c r="FM26" s="3">
        <f t="shared" si="19"/>
        <v>0</v>
      </c>
      <c r="FN26" s="3">
        <f t="shared" si="19"/>
        <v>0</v>
      </c>
      <c r="FO26" s="3">
        <f t="shared" si="19"/>
        <v>0</v>
      </c>
      <c r="FP26" s="3">
        <f t="shared" si="19"/>
        <v>0</v>
      </c>
      <c r="FQ26" s="3">
        <f t="shared" si="19"/>
        <v>0</v>
      </c>
      <c r="FR26" s="3">
        <f t="shared" si="19"/>
        <v>0</v>
      </c>
      <c r="FS26" s="3">
        <f t="shared" ref="FS26:GX26" si="20">FS36</f>
        <v>0</v>
      </c>
      <c r="FT26" s="3">
        <f t="shared" si="20"/>
        <v>0</v>
      </c>
      <c r="FU26" s="3">
        <f t="shared" si="20"/>
        <v>0</v>
      </c>
      <c r="FV26" s="3">
        <f t="shared" si="20"/>
        <v>0</v>
      </c>
      <c r="FW26" s="3">
        <f t="shared" si="20"/>
        <v>0</v>
      </c>
      <c r="FX26" s="3">
        <f t="shared" si="20"/>
        <v>0</v>
      </c>
      <c r="FY26" s="3">
        <f t="shared" si="20"/>
        <v>0</v>
      </c>
      <c r="FZ26" s="3">
        <f t="shared" si="20"/>
        <v>0</v>
      </c>
      <c r="GA26" s="3">
        <f t="shared" si="20"/>
        <v>0</v>
      </c>
      <c r="GB26" s="3">
        <f t="shared" si="20"/>
        <v>0</v>
      </c>
      <c r="GC26" s="3">
        <f t="shared" si="20"/>
        <v>0</v>
      </c>
      <c r="GD26" s="3">
        <f t="shared" si="20"/>
        <v>0</v>
      </c>
      <c r="GE26" s="3">
        <f t="shared" si="20"/>
        <v>0</v>
      </c>
      <c r="GF26" s="3">
        <f t="shared" si="20"/>
        <v>0</v>
      </c>
      <c r="GG26" s="3">
        <f t="shared" si="20"/>
        <v>0</v>
      </c>
      <c r="GH26" s="3">
        <f t="shared" si="20"/>
        <v>0</v>
      </c>
      <c r="GI26" s="3">
        <f t="shared" si="20"/>
        <v>0</v>
      </c>
      <c r="GJ26" s="3">
        <f t="shared" si="20"/>
        <v>0</v>
      </c>
      <c r="GK26" s="3">
        <f t="shared" si="20"/>
        <v>0</v>
      </c>
      <c r="GL26" s="3">
        <f t="shared" si="20"/>
        <v>0</v>
      </c>
      <c r="GM26" s="3">
        <f t="shared" si="20"/>
        <v>0</v>
      </c>
      <c r="GN26" s="3">
        <f t="shared" si="20"/>
        <v>0</v>
      </c>
      <c r="GO26" s="3">
        <f t="shared" si="20"/>
        <v>0</v>
      </c>
      <c r="GP26" s="3">
        <f t="shared" si="20"/>
        <v>0</v>
      </c>
      <c r="GQ26" s="3">
        <f t="shared" si="20"/>
        <v>0</v>
      </c>
      <c r="GR26" s="3">
        <f t="shared" si="20"/>
        <v>0</v>
      </c>
      <c r="GS26" s="3">
        <f t="shared" si="20"/>
        <v>0</v>
      </c>
      <c r="GT26" s="3">
        <f t="shared" si="20"/>
        <v>0</v>
      </c>
      <c r="GU26" s="3">
        <f t="shared" si="20"/>
        <v>0</v>
      </c>
      <c r="GV26" s="3">
        <f t="shared" si="20"/>
        <v>0</v>
      </c>
      <c r="GW26" s="3">
        <f t="shared" si="20"/>
        <v>0</v>
      </c>
      <c r="GX26" s="3">
        <f t="shared" si="20"/>
        <v>0</v>
      </c>
    </row>
    <row r="28" spans="1:245" x14ac:dyDescent="0.2">
      <c r="A28">
        <v>17</v>
      </c>
      <c r="B28">
        <v>1</v>
      </c>
      <c r="D28">
        <f>ROW(EtalonRes!A1)</f>
        <v>1</v>
      </c>
      <c r="E28" t="s">
        <v>16</v>
      </c>
      <c r="F28" t="s">
        <v>17</v>
      </c>
      <c r="G28" t="s">
        <v>18</v>
      </c>
      <c r="H28" t="s">
        <v>19</v>
      </c>
      <c r="I28">
        <v>4</v>
      </c>
      <c r="J28">
        <v>0</v>
      </c>
      <c r="K28">
        <v>4</v>
      </c>
      <c r="O28">
        <f t="shared" ref="O28:O34" si="21">ROUND(CP28,2)</f>
        <v>114364.41</v>
      </c>
      <c r="P28">
        <f t="shared" ref="P28:P34" si="22">ROUND((ROUND((AC28*AW28*I28),2)*BC28),2)</f>
        <v>0</v>
      </c>
      <c r="Q28">
        <f t="shared" ref="Q28:Q34" si="23">(ROUND((ROUND(((ET28)*AV28*I28),2)*BB28),2)+ROUND((ROUND(((AE28-(EU28))*AV28*I28),2)*BS28),2))</f>
        <v>0</v>
      </c>
      <c r="R28">
        <f t="shared" ref="R28:R34" si="24">ROUND((ROUND((AE28*AV28*I28),2)*BS28),2)</f>
        <v>0</v>
      </c>
      <c r="S28">
        <f t="shared" ref="S28:S34" si="25">ROUND((ROUND((AF28*AV28*I28),2)*BA28),2)</f>
        <v>114364.41</v>
      </c>
      <c r="T28">
        <f t="shared" ref="T28:T34" si="26">ROUND(CU28*I28,2)</f>
        <v>0</v>
      </c>
      <c r="U28">
        <f t="shared" ref="U28:U34" si="27">CV28*I28</f>
        <v>208</v>
      </c>
      <c r="V28">
        <f t="shared" ref="V28:V34" si="28">CW28*I28</f>
        <v>0</v>
      </c>
      <c r="W28">
        <f t="shared" ref="W28:W34" si="29">ROUND(CX28*I28,2)</f>
        <v>0</v>
      </c>
      <c r="X28">
        <f t="shared" ref="X28:Y34" si="30">ROUND(CY28,2)</f>
        <v>80055.09</v>
      </c>
      <c r="Y28">
        <f t="shared" si="30"/>
        <v>46889.41</v>
      </c>
      <c r="AA28">
        <v>55810748</v>
      </c>
      <c r="AB28">
        <f t="shared" ref="AB28:AB34" si="31">ROUND((AC28+AD28+AF28),6)</f>
        <v>828.48800000000006</v>
      </c>
      <c r="AC28">
        <f>ROUND((ES28),6)</f>
        <v>0</v>
      </c>
      <c r="AD28">
        <f t="shared" ref="AD28:AD34" si="32">ROUND((((ET28)-(EU28))+AE28),6)</f>
        <v>0</v>
      </c>
      <c r="AE28">
        <f t="shared" ref="AE28:AE34" si="33">ROUND((EU28),6)</f>
        <v>0</v>
      </c>
      <c r="AF28">
        <f>ROUND(((EV28*0.8)),6)</f>
        <v>828.48800000000006</v>
      </c>
      <c r="AG28">
        <f t="shared" ref="AG28:AG34" si="34">ROUND((AP28),6)</f>
        <v>0</v>
      </c>
      <c r="AH28">
        <f>((EW28*0.8))</f>
        <v>52</v>
      </c>
      <c r="AI28">
        <f t="shared" ref="AI28:AI34" si="35">(EX28)</f>
        <v>0</v>
      </c>
      <c r="AJ28">
        <f t="shared" ref="AJ28:AJ34" si="36">(AS28)</f>
        <v>0</v>
      </c>
      <c r="AK28">
        <v>1035.6099999999999</v>
      </c>
      <c r="AL28">
        <v>0</v>
      </c>
      <c r="AM28">
        <v>0</v>
      </c>
      <c r="AN28">
        <v>0</v>
      </c>
      <c r="AO28">
        <v>1035.6099999999999</v>
      </c>
      <c r="AP28">
        <v>0</v>
      </c>
      <c r="AQ28">
        <v>65</v>
      </c>
      <c r="AR28">
        <v>0</v>
      </c>
      <c r="AS28">
        <v>0</v>
      </c>
      <c r="AT28">
        <v>70</v>
      </c>
      <c r="AU28">
        <v>41</v>
      </c>
      <c r="AV28">
        <v>1</v>
      </c>
      <c r="AW28">
        <v>1</v>
      </c>
      <c r="AZ28">
        <v>1</v>
      </c>
      <c r="BA28">
        <v>34.51</v>
      </c>
      <c r="BB28">
        <v>1</v>
      </c>
      <c r="BC28">
        <v>1</v>
      </c>
      <c r="BD28" t="s">
        <v>3</v>
      </c>
      <c r="BE28" t="s">
        <v>3</v>
      </c>
      <c r="BF28" t="s">
        <v>3</v>
      </c>
      <c r="BG28" t="s">
        <v>3</v>
      </c>
      <c r="BH28">
        <v>0</v>
      </c>
      <c r="BI28">
        <v>4</v>
      </c>
      <c r="BJ28" t="s">
        <v>20</v>
      </c>
      <c r="BM28">
        <v>388</v>
      </c>
      <c r="BN28">
        <v>51696011</v>
      </c>
      <c r="BO28" t="s">
        <v>3</v>
      </c>
      <c r="BP28">
        <v>0</v>
      </c>
      <c r="BQ28">
        <v>50</v>
      </c>
      <c r="BR28">
        <v>0</v>
      </c>
      <c r="BS28">
        <v>34.51</v>
      </c>
      <c r="BT28">
        <v>1</v>
      </c>
      <c r="BU28">
        <v>1</v>
      </c>
      <c r="BV28">
        <v>1</v>
      </c>
      <c r="BW28">
        <v>1</v>
      </c>
      <c r="BX28">
        <v>1</v>
      </c>
      <c r="BY28" t="s">
        <v>3</v>
      </c>
      <c r="BZ28">
        <v>70</v>
      </c>
      <c r="CA28">
        <v>41</v>
      </c>
      <c r="CB28" t="s">
        <v>3</v>
      </c>
      <c r="CE28">
        <v>30</v>
      </c>
      <c r="CF28">
        <v>0</v>
      </c>
      <c r="CG28">
        <v>0</v>
      </c>
      <c r="CM28">
        <v>0</v>
      </c>
      <c r="CN28" t="s">
        <v>21</v>
      </c>
      <c r="CO28">
        <v>0</v>
      </c>
      <c r="CP28">
        <f t="shared" ref="CP28:CP34" si="37">(P28+Q28+S28)</f>
        <v>114364.41</v>
      </c>
      <c r="CQ28">
        <f t="shared" ref="CQ28:CQ34" si="38">ROUND((ROUND((AC28*AW28*1),2)*BC28),2)</f>
        <v>0</v>
      </c>
      <c r="CR28">
        <f t="shared" ref="CR28:CR34" si="39">(ROUND((ROUND(((ET28)*AV28*1),2)*BB28),2)+ROUND((ROUND(((AE28-(EU28))*AV28*1),2)*BS28),2))</f>
        <v>0</v>
      </c>
      <c r="CS28">
        <f t="shared" ref="CS28:CS34" si="40">ROUND((ROUND((AE28*AV28*1),2)*BS28),2)</f>
        <v>0</v>
      </c>
      <c r="CT28">
        <f t="shared" ref="CT28:CT34" si="41">ROUND((ROUND((AF28*AV28*1),2)*BA28),2)</f>
        <v>28591.19</v>
      </c>
      <c r="CU28">
        <f t="shared" ref="CU28:CU34" si="42">AG28</f>
        <v>0</v>
      </c>
      <c r="CV28">
        <f t="shared" ref="CV28:CV34" si="43">(AH28*AV28)</f>
        <v>52</v>
      </c>
      <c r="CW28">
        <f t="shared" ref="CW28:CX34" si="44">AI28</f>
        <v>0</v>
      </c>
      <c r="CX28">
        <f t="shared" si="44"/>
        <v>0</v>
      </c>
      <c r="CY28">
        <f t="shared" ref="CY28:CY34" si="45">S28*(BZ28/100)</f>
        <v>80055.087</v>
      </c>
      <c r="CZ28">
        <f t="shared" ref="CZ28:CZ34" si="46">S28*(CA28/100)</f>
        <v>46889.408100000001</v>
      </c>
      <c r="DB28">
        <v>1</v>
      </c>
      <c r="DC28" t="s">
        <v>3</v>
      </c>
      <c r="DD28" t="s">
        <v>3</v>
      </c>
      <c r="DE28" t="s">
        <v>3</v>
      </c>
      <c r="DF28" t="s">
        <v>3</v>
      </c>
      <c r="DG28" t="s">
        <v>22</v>
      </c>
      <c r="DH28" t="s">
        <v>3</v>
      </c>
      <c r="DI28" t="s">
        <v>22</v>
      </c>
      <c r="DJ28" t="s">
        <v>3</v>
      </c>
      <c r="DK28" t="s">
        <v>3</v>
      </c>
      <c r="DL28" t="s">
        <v>3</v>
      </c>
      <c r="DM28" t="s">
        <v>3</v>
      </c>
      <c r="DN28">
        <v>75</v>
      </c>
      <c r="DO28">
        <v>70</v>
      </c>
      <c r="DP28">
        <v>1</v>
      </c>
      <c r="DQ28">
        <v>1</v>
      </c>
      <c r="DU28">
        <v>27733102</v>
      </c>
      <c r="DV28" t="s">
        <v>19</v>
      </c>
      <c r="DW28" t="s">
        <v>19</v>
      </c>
      <c r="DX28">
        <v>0</v>
      </c>
      <c r="DZ28" t="s">
        <v>3</v>
      </c>
      <c r="EA28" t="s">
        <v>3</v>
      </c>
      <c r="EB28" t="s">
        <v>3</v>
      </c>
      <c r="EC28" t="s">
        <v>3</v>
      </c>
      <c r="EE28">
        <v>51696427</v>
      </c>
      <c r="EF28">
        <v>50</v>
      </c>
      <c r="EG28" t="s">
        <v>15</v>
      </c>
      <c r="EH28">
        <v>0</v>
      </c>
      <c r="EI28" t="s">
        <v>3</v>
      </c>
      <c r="EJ28">
        <v>4</v>
      </c>
      <c r="EK28">
        <v>388</v>
      </c>
      <c r="EL28" t="s">
        <v>23</v>
      </c>
      <c r="EM28" t="s">
        <v>24</v>
      </c>
      <c r="EO28" t="s">
        <v>25</v>
      </c>
      <c r="EQ28">
        <v>131072</v>
      </c>
      <c r="ER28">
        <v>1035.6099999999999</v>
      </c>
      <c r="ES28">
        <v>0</v>
      </c>
      <c r="ET28">
        <v>0</v>
      </c>
      <c r="EU28">
        <v>0</v>
      </c>
      <c r="EV28">
        <v>1035.6099999999999</v>
      </c>
      <c r="EW28">
        <v>65</v>
      </c>
      <c r="EX28">
        <v>0</v>
      </c>
      <c r="EY28">
        <v>0</v>
      </c>
      <c r="FQ28">
        <v>0</v>
      </c>
      <c r="FR28">
        <v>0</v>
      </c>
      <c r="FS28">
        <v>0</v>
      </c>
      <c r="FX28">
        <v>75</v>
      </c>
      <c r="FY28">
        <v>70</v>
      </c>
      <c r="GA28" t="s">
        <v>3</v>
      </c>
      <c r="GD28">
        <v>0</v>
      </c>
      <c r="GF28">
        <v>1021334093</v>
      </c>
      <c r="GG28">
        <v>2</v>
      </c>
      <c r="GH28">
        <v>1</v>
      </c>
      <c r="GI28">
        <v>2</v>
      </c>
      <c r="GJ28">
        <v>0</v>
      </c>
      <c r="GK28">
        <f>ROUND(R28*(R12)/100,2)</f>
        <v>0</v>
      </c>
      <c r="GL28">
        <f t="shared" ref="GL28:GL34" si="47">ROUND(IF(AND(BH28=3,BI28=3,FS28&lt;&gt;0),P28,0),2)</f>
        <v>0</v>
      </c>
      <c r="GM28">
        <f t="shared" ref="GM28:GM34" si="48">ROUND(O28+X28+Y28+GK28,2)+GX28</f>
        <v>241308.91</v>
      </c>
      <c r="GN28">
        <f t="shared" ref="GN28:GN34" si="49">IF(OR(BI28=0,BI28=1),GM28-GX28,0)</f>
        <v>0</v>
      </c>
      <c r="GO28">
        <f t="shared" ref="GO28:GO34" si="50">IF(BI28=2,GM28-GX28,0)</f>
        <v>0</v>
      </c>
      <c r="GP28">
        <f t="shared" ref="GP28:GP34" si="51">IF(BI28=4,GM28-GX28,0)</f>
        <v>241308.91</v>
      </c>
      <c r="GR28">
        <v>0</v>
      </c>
      <c r="GS28">
        <v>3</v>
      </c>
      <c r="GT28">
        <v>0</v>
      </c>
      <c r="GU28" t="s">
        <v>3</v>
      </c>
      <c r="GV28">
        <f t="shared" ref="GV28:GV34" si="52">ROUND((GT28),6)</f>
        <v>0</v>
      </c>
      <c r="GW28">
        <v>1</v>
      </c>
      <c r="GX28">
        <f t="shared" ref="GX28:GX34" si="53">ROUND(HC28*I28,2)</f>
        <v>0</v>
      </c>
      <c r="HA28">
        <v>0</v>
      </c>
      <c r="HB28">
        <v>0</v>
      </c>
      <c r="HC28">
        <f t="shared" ref="HC28:HC34" si="54">GV28*GW28</f>
        <v>0</v>
      </c>
      <c r="HE28" t="s">
        <v>3</v>
      </c>
      <c r="HF28" t="s">
        <v>3</v>
      </c>
      <c r="HM28" t="s">
        <v>3</v>
      </c>
      <c r="HN28" t="s">
        <v>3</v>
      </c>
      <c r="HO28" t="s">
        <v>3</v>
      </c>
      <c r="HP28" t="s">
        <v>3</v>
      </c>
      <c r="HQ28" t="s">
        <v>3</v>
      </c>
      <c r="HS28">
        <v>0</v>
      </c>
      <c r="IK28">
        <v>0</v>
      </c>
    </row>
    <row r="29" spans="1:245" x14ac:dyDescent="0.2">
      <c r="A29">
        <v>17</v>
      </c>
      <c r="B29">
        <v>1</v>
      </c>
      <c r="D29">
        <f>ROW(EtalonRes!A2)</f>
        <v>2</v>
      </c>
      <c r="E29" t="s">
        <v>26</v>
      </c>
      <c r="F29" t="s">
        <v>27</v>
      </c>
      <c r="G29" t="s">
        <v>28</v>
      </c>
      <c r="H29" t="s">
        <v>29</v>
      </c>
      <c r="I29">
        <v>12</v>
      </c>
      <c r="J29">
        <v>0</v>
      </c>
      <c r="K29">
        <v>12</v>
      </c>
      <c r="O29">
        <f t="shared" si="21"/>
        <v>42989.11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42989.11</v>
      </c>
      <c r="T29">
        <f t="shared" si="26"/>
        <v>0</v>
      </c>
      <c r="U29">
        <f t="shared" si="27"/>
        <v>88.416000000000011</v>
      </c>
      <c r="V29">
        <f t="shared" si="28"/>
        <v>0</v>
      </c>
      <c r="W29">
        <f t="shared" si="29"/>
        <v>0</v>
      </c>
      <c r="X29">
        <f t="shared" si="30"/>
        <v>30092.38</v>
      </c>
      <c r="Y29">
        <f t="shared" si="30"/>
        <v>17625.54</v>
      </c>
      <c r="AA29">
        <v>55810748</v>
      </c>
      <c r="AB29">
        <f t="shared" si="31"/>
        <v>103.80800000000001</v>
      </c>
      <c r="AC29">
        <f>ROUND((ES29),6)</f>
        <v>0</v>
      </c>
      <c r="AD29">
        <f t="shared" si="32"/>
        <v>0</v>
      </c>
      <c r="AE29">
        <f t="shared" si="33"/>
        <v>0</v>
      </c>
      <c r="AF29">
        <f>ROUND(((EV29*0.8)),6)</f>
        <v>103.80800000000001</v>
      </c>
      <c r="AG29">
        <f t="shared" si="34"/>
        <v>0</v>
      </c>
      <c r="AH29">
        <f>((EW29*0.8))</f>
        <v>7.3680000000000012</v>
      </c>
      <c r="AI29">
        <f t="shared" si="35"/>
        <v>0</v>
      </c>
      <c r="AJ29">
        <f t="shared" si="36"/>
        <v>0</v>
      </c>
      <c r="AK29">
        <v>129.76</v>
      </c>
      <c r="AL29">
        <v>0</v>
      </c>
      <c r="AM29">
        <v>0</v>
      </c>
      <c r="AN29">
        <v>0</v>
      </c>
      <c r="AO29">
        <v>129.76</v>
      </c>
      <c r="AP29">
        <v>0</v>
      </c>
      <c r="AQ29">
        <v>9.2100000000000009</v>
      </c>
      <c r="AR29">
        <v>0</v>
      </c>
      <c r="AS29">
        <v>0</v>
      </c>
      <c r="AT29">
        <v>70</v>
      </c>
      <c r="AU29">
        <v>41</v>
      </c>
      <c r="AV29">
        <v>1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4</v>
      </c>
      <c r="BJ29" t="s">
        <v>30</v>
      </c>
      <c r="BM29">
        <v>388</v>
      </c>
      <c r="BN29">
        <v>51696011</v>
      </c>
      <c r="BO29" t="s">
        <v>3</v>
      </c>
      <c r="BP29">
        <v>0</v>
      </c>
      <c r="BQ29">
        <v>50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70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21</v>
      </c>
      <c r="CO29">
        <v>0</v>
      </c>
      <c r="CP29">
        <f t="shared" si="37"/>
        <v>42989.11</v>
      </c>
      <c r="CQ29">
        <f t="shared" si="38"/>
        <v>0</v>
      </c>
      <c r="CR29">
        <f t="shared" si="39"/>
        <v>0</v>
      </c>
      <c r="CS29">
        <f t="shared" si="40"/>
        <v>0</v>
      </c>
      <c r="CT29">
        <f t="shared" si="41"/>
        <v>3582.48</v>
      </c>
      <c r="CU29">
        <f t="shared" si="42"/>
        <v>0</v>
      </c>
      <c r="CV29">
        <f t="shared" si="43"/>
        <v>7.3680000000000012</v>
      </c>
      <c r="CW29">
        <f t="shared" si="44"/>
        <v>0</v>
      </c>
      <c r="CX29">
        <f t="shared" si="44"/>
        <v>0</v>
      </c>
      <c r="CY29">
        <f t="shared" si="45"/>
        <v>30092.376999999997</v>
      </c>
      <c r="CZ29">
        <f t="shared" si="46"/>
        <v>17625.535100000001</v>
      </c>
      <c r="DB29">
        <v>2</v>
      </c>
      <c r="DC29" t="s">
        <v>3</v>
      </c>
      <c r="DD29" t="s">
        <v>3</v>
      </c>
      <c r="DE29" t="s">
        <v>3</v>
      </c>
      <c r="DF29" t="s">
        <v>3</v>
      </c>
      <c r="DG29" t="s">
        <v>22</v>
      </c>
      <c r="DH29" t="s">
        <v>3</v>
      </c>
      <c r="DI29" t="s">
        <v>22</v>
      </c>
      <c r="DJ29" t="s">
        <v>3</v>
      </c>
      <c r="DK29" t="s">
        <v>3</v>
      </c>
      <c r="DL29" t="s">
        <v>3</v>
      </c>
      <c r="DM29" t="s">
        <v>3</v>
      </c>
      <c r="DN29">
        <v>75</v>
      </c>
      <c r="DO29">
        <v>70</v>
      </c>
      <c r="DP29">
        <v>1</v>
      </c>
      <c r="DQ29">
        <v>1</v>
      </c>
      <c r="DU29">
        <v>1013</v>
      </c>
      <c r="DV29" t="s">
        <v>29</v>
      </c>
      <c r="DW29" t="s">
        <v>29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51696427</v>
      </c>
      <c r="EF29">
        <v>50</v>
      </c>
      <c r="EG29" t="s">
        <v>15</v>
      </c>
      <c r="EH29">
        <v>0</v>
      </c>
      <c r="EI29" t="s">
        <v>3</v>
      </c>
      <c r="EJ29">
        <v>4</v>
      </c>
      <c r="EK29">
        <v>388</v>
      </c>
      <c r="EL29" t="s">
        <v>23</v>
      </c>
      <c r="EM29" t="s">
        <v>24</v>
      </c>
      <c r="EO29" t="s">
        <v>25</v>
      </c>
      <c r="EQ29">
        <v>131072</v>
      </c>
      <c r="ER29">
        <v>129.76</v>
      </c>
      <c r="ES29">
        <v>0</v>
      </c>
      <c r="ET29">
        <v>0</v>
      </c>
      <c r="EU29">
        <v>0</v>
      </c>
      <c r="EV29">
        <v>129.76</v>
      </c>
      <c r="EW29">
        <v>9.2100000000000009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75</v>
      </c>
      <c r="FY29">
        <v>70</v>
      </c>
      <c r="GA29" t="s">
        <v>3</v>
      </c>
      <c r="GD29">
        <v>0</v>
      </c>
      <c r="GF29">
        <v>1017172134</v>
      </c>
      <c r="GG29">
        <v>2</v>
      </c>
      <c r="GH29">
        <v>1</v>
      </c>
      <c r="GI29">
        <v>2</v>
      </c>
      <c r="GJ29">
        <v>0</v>
      </c>
      <c r="GK29">
        <f>ROUND(R29*(R12)/100,2)</f>
        <v>0</v>
      </c>
      <c r="GL29">
        <f t="shared" si="47"/>
        <v>0</v>
      </c>
      <c r="GM29">
        <f t="shared" si="48"/>
        <v>90707.03</v>
      </c>
      <c r="GN29">
        <f t="shared" si="49"/>
        <v>0</v>
      </c>
      <c r="GO29">
        <f t="shared" si="50"/>
        <v>0</v>
      </c>
      <c r="GP29">
        <f t="shared" si="51"/>
        <v>90707.03</v>
      </c>
      <c r="GR29">
        <v>0</v>
      </c>
      <c r="GS29">
        <v>3</v>
      </c>
      <c r="GT29">
        <v>0</v>
      </c>
      <c r="GU29" t="s">
        <v>3</v>
      </c>
      <c r="GV29">
        <f t="shared" si="52"/>
        <v>0</v>
      </c>
      <c r="GW29">
        <v>1</v>
      </c>
      <c r="GX29">
        <f t="shared" si="53"/>
        <v>0</v>
      </c>
      <c r="HA29">
        <v>0</v>
      </c>
      <c r="HB29">
        <v>0</v>
      </c>
      <c r="HC29">
        <f t="shared" si="54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45" x14ac:dyDescent="0.2">
      <c r="A30">
        <v>17</v>
      </c>
      <c r="B30">
        <v>1</v>
      </c>
      <c r="D30">
        <f>ROW(EtalonRes!A3)</f>
        <v>3</v>
      </c>
      <c r="E30" t="s">
        <v>31</v>
      </c>
      <c r="F30" t="s">
        <v>32</v>
      </c>
      <c r="G30" t="s">
        <v>33</v>
      </c>
      <c r="H30" t="s">
        <v>34</v>
      </c>
      <c r="I30">
        <v>0</v>
      </c>
      <c r="J30">
        <v>0</v>
      </c>
      <c r="K30">
        <v>0</v>
      </c>
      <c r="O30">
        <f t="shared" si="21"/>
        <v>0</v>
      </c>
      <c r="P30">
        <f t="shared" si="22"/>
        <v>0</v>
      </c>
      <c r="Q30">
        <f t="shared" si="23"/>
        <v>0</v>
      </c>
      <c r="R30">
        <f t="shared" si="24"/>
        <v>0</v>
      </c>
      <c r="S30">
        <f t="shared" si="25"/>
        <v>0</v>
      </c>
      <c r="T30">
        <f t="shared" si="26"/>
        <v>0</v>
      </c>
      <c r="U30">
        <f t="shared" si="27"/>
        <v>0</v>
      </c>
      <c r="V30">
        <f t="shared" si="28"/>
        <v>0</v>
      </c>
      <c r="W30">
        <f t="shared" si="29"/>
        <v>0</v>
      </c>
      <c r="X30">
        <f t="shared" si="30"/>
        <v>0</v>
      </c>
      <c r="Y30">
        <f t="shared" si="30"/>
        <v>0</v>
      </c>
      <c r="AA30">
        <v>55810748</v>
      </c>
      <c r="AB30">
        <f t="shared" si="31"/>
        <v>5.7</v>
      </c>
      <c r="AC30">
        <f>ROUND((ES30),6)</f>
        <v>0</v>
      </c>
      <c r="AD30">
        <f t="shared" si="32"/>
        <v>0</v>
      </c>
      <c r="AE30">
        <f t="shared" si="33"/>
        <v>0</v>
      </c>
      <c r="AF30">
        <f>ROUND((EV30),6)</f>
        <v>5.7</v>
      </c>
      <c r="AG30">
        <f t="shared" si="34"/>
        <v>0</v>
      </c>
      <c r="AH30">
        <f>(EW30)</f>
        <v>0.36</v>
      </c>
      <c r="AI30">
        <f t="shared" si="35"/>
        <v>0</v>
      </c>
      <c r="AJ30">
        <f t="shared" si="36"/>
        <v>0</v>
      </c>
      <c r="AK30">
        <v>5.7</v>
      </c>
      <c r="AL30">
        <v>0</v>
      </c>
      <c r="AM30">
        <v>0</v>
      </c>
      <c r="AN30">
        <v>0</v>
      </c>
      <c r="AO30">
        <v>5.7</v>
      </c>
      <c r="AP30">
        <v>0</v>
      </c>
      <c r="AQ30">
        <v>0.36</v>
      </c>
      <c r="AR30">
        <v>0</v>
      </c>
      <c r="AS30">
        <v>0</v>
      </c>
      <c r="AT30">
        <v>70</v>
      </c>
      <c r="AU30">
        <v>41</v>
      </c>
      <c r="AV30">
        <v>1</v>
      </c>
      <c r="AW30">
        <v>1</v>
      </c>
      <c r="AZ30">
        <v>1</v>
      </c>
      <c r="BA30">
        <v>34.51</v>
      </c>
      <c r="BB30">
        <v>1</v>
      </c>
      <c r="BC30">
        <v>1</v>
      </c>
      <c r="BD30" t="s">
        <v>3</v>
      </c>
      <c r="BE30" t="s">
        <v>3</v>
      </c>
      <c r="BF30" t="s">
        <v>3</v>
      </c>
      <c r="BG30" t="s">
        <v>3</v>
      </c>
      <c r="BH30">
        <v>0</v>
      </c>
      <c r="BI30">
        <v>4</v>
      </c>
      <c r="BJ30" t="s">
        <v>35</v>
      </c>
      <c r="BM30">
        <v>381</v>
      </c>
      <c r="BN30">
        <v>51696011</v>
      </c>
      <c r="BO30" t="s">
        <v>3</v>
      </c>
      <c r="BP30">
        <v>0</v>
      </c>
      <c r="BQ30">
        <v>50</v>
      </c>
      <c r="BR30">
        <v>0</v>
      </c>
      <c r="BS30">
        <v>34.51</v>
      </c>
      <c r="BT30">
        <v>1</v>
      </c>
      <c r="BU30">
        <v>1</v>
      </c>
      <c r="BV30">
        <v>1</v>
      </c>
      <c r="BW30">
        <v>1</v>
      </c>
      <c r="BX30">
        <v>1</v>
      </c>
      <c r="BY30" t="s">
        <v>3</v>
      </c>
      <c r="BZ30">
        <v>70</v>
      </c>
      <c r="CA30">
        <v>41</v>
      </c>
      <c r="CB30" t="s">
        <v>3</v>
      </c>
      <c r="CE30">
        <v>30</v>
      </c>
      <c r="CF30">
        <v>0</v>
      </c>
      <c r="CG30">
        <v>0</v>
      </c>
      <c r="CM30">
        <v>0</v>
      </c>
      <c r="CN30" t="s">
        <v>3</v>
      </c>
      <c r="CO30">
        <v>0</v>
      </c>
      <c r="CP30">
        <f t="shared" si="37"/>
        <v>0</v>
      </c>
      <c r="CQ30">
        <f t="shared" si="38"/>
        <v>0</v>
      </c>
      <c r="CR30">
        <f t="shared" si="39"/>
        <v>0</v>
      </c>
      <c r="CS30">
        <f t="shared" si="40"/>
        <v>0</v>
      </c>
      <c r="CT30">
        <f t="shared" si="41"/>
        <v>196.71</v>
      </c>
      <c r="CU30">
        <f t="shared" si="42"/>
        <v>0</v>
      </c>
      <c r="CV30">
        <f t="shared" si="43"/>
        <v>0.36</v>
      </c>
      <c r="CW30">
        <f t="shared" si="44"/>
        <v>0</v>
      </c>
      <c r="CX30">
        <f t="shared" si="44"/>
        <v>0</v>
      </c>
      <c r="CY30">
        <f t="shared" si="45"/>
        <v>0</v>
      </c>
      <c r="CZ30">
        <f t="shared" si="46"/>
        <v>0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>
        <v>75</v>
      </c>
      <c r="DO30">
        <v>70</v>
      </c>
      <c r="DP30">
        <v>1</v>
      </c>
      <c r="DQ30">
        <v>1</v>
      </c>
      <c r="DU30">
        <v>1013</v>
      </c>
      <c r="DV30" t="s">
        <v>34</v>
      </c>
      <c r="DW30" t="s">
        <v>34</v>
      </c>
      <c r="DX30">
        <v>1</v>
      </c>
      <c r="DZ30" t="s">
        <v>3</v>
      </c>
      <c r="EA30" t="s">
        <v>3</v>
      </c>
      <c r="EB30" t="s">
        <v>3</v>
      </c>
      <c r="EC30" t="s">
        <v>3</v>
      </c>
      <c r="EE30">
        <v>51696420</v>
      </c>
      <c r="EF30">
        <v>50</v>
      </c>
      <c r="EG30" t="s">
        <v>15</v>
      </c>
      <c r="EH30">
        <v>0</v>
      </c>
      <c r="EI30" t="s">
        <v>3</v>
      </c>
      <c r="EJ30">
        <v>4</v>
      </c>
      <c r="EK30">
        <v>381</v>
      </c>
      <c r="EL30" t="s">
        <v>36</v>
      </c>
      <c r="EM30" t="s">
        <v>37</v>
      </c>
      <c r="EO30" t="s">
        <v>3</v>
      </c>
      <c r="EQ30">
        <v>131072</v>
      </c>
      <c r="ER30">
        <v>5.7</v>
      </c>
      <c r="ES30">
        <v>0</v>
      </c>
      <c r="ET30">
        <v>0</v>
      </c>
      <c r="EU30">
        <v>0</v>
      </c>
      <c r="EV30">
        <v>5.7</v>
      </c>
      <c r="EW30">
        <v>0.36</v>
      </c>
      <c r="EX30">
        <v>0</v>
      </c>
      <c r="EY30">
        <v>0</v>
      </c>
      <c r="FQ30">
        <v>0</v>
      </c>
      <c r="FR30">
        <v>0</v>
      </c>
      <c r="FS30">
        <v>0</v>
      </c>
      <c r="FX30">
        <v>75</v>
      </c>
      <c r="FY30">
        <v>70</v>
      </c>
      <c r="GA30" t="s">
        <v>3</v>
      </c>
      <c r="GD30">
        <v>0</v>
      </c>
      <c r="GF30">
        <v>-714386267</v>
      </c>
      <c r="GG30">
        <v>2</v>
      </c>
      <c r="GH30">
        <v>1</v>
      </c>
      <c r="GI30">
        <v>2</v>
      </c>
      <c r="GJ30">
        <v>0</v>
      </c>
      <c r="GK30">
        <f>ROUND(R30*(R12)/100,2)</f>
        <v>0</v>
      </c>
      <c r="GL30">
        <f t="shared" si="47"/>
        <v>0</v>
      </c>
      <c r="GM30">
        <f t="shared" si="48"/>
        <v>0</v>
      </c>
      <c r="GN30">
        <f t="shared" si="49"/>
        <v>0</v>
      </c>
      <c r="GO30">
        <f t="shared" si="50"/>
        <v>0</v>
      </c>
      <c r="GP30">
        <f t="shared" si="51"/>
        <v>0</v>
      </c>
      <c r="GR30">
        <v>0</v>
      </c>
      <c r="GS30">
        <v>3</v>
      </c>
      <c r="GT30">
        <v>0</v>
      </c>
      <c r="GU30" t="s">
        <v>3</v>
      </c>
      <c r="GV30">
        <f t="shared" si="52"/>
        <v>0</v>
      </c>
      <c r="GW30">
        <v>1</v>
      </c>
      <c r="GX30">
        <f t="shared" si="53"/>
        <v>0</v>
      </c>
      <c r="HA30">
        <v>0</v>
      </c>
      <c r="HB30">
        <v>0</v>
      </c>
      <c r="HC30">
        <f t="shared" si="54"/>
        <v>0</v>
      </c>
      <c r="HE30" t="s">
        <v>3</v>
      </c>
      <c r="HF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S30">
        <v>0</v>
      </c>
      <c r="IK30">
        <v>0</v>
      </c>
    </row>
    <row r="31" spans="1:245" x14ac:dyDescent="0.2">
      <c r="A31">
        <v>17</v>
      </c>
      <c r="B31">
        <v>1</v>
      </c>
      <c r="D31">
        <f>ROW(EtalonRes!A4)</f>
        <v>4</v>
      </c>
      <c r="E31" t="s">
        <v>38</v>
      </c>
      <c r="F31" t="s">
        <v>39</v>
      </c>
      <c r="G31" t="s">
        <v>40</v>
      </c>
      <c r="H31" t="s">
        <v>41</v>
      </c>
      <c r="I31">
        <v>0</v>
      </c>
      <c r="J31">
        <v>0</v>
      </c>
      <c r="K31">
        <v>0</v>
      </c>
      <c r="O31">
        <f t="shared" si="21"/>
        <v>0</v>
      </c>
      <c r="P31">
        <f t="shared" si="22"/>
        <v>0</v>
      </c>
      <c r="Q31">
        <f t="shared" si="23"/>
        <v>0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0"/>
        <v>0</v>
      </c>
      <c r="AA31">
        <v>55810748</v>
      </c>
      <c r="AB31">
        <f t="shared" si="31"/>
        <v>14.24</v>
      </c>
      <c r="AC31">
        <f>ROUND((ES31),6)</f>
        <v>0</v>
      </c>
      <c r="AD31">
        <f t="shared" si="32"/>
        <v>0</v>
      </c>
      <c r="AE31">
        <f t="shared" si="33"/>
        <v>0</v>
      </c>
      <c r="AF31">
        <f>ROUND((EV31),6)</f>
        <v>14.24</v>
      </c>
      <c r="AG31">
        <f t="shared" si="34"/>
        <v>0</v>
      </c>
      <c r="AH31">
        <f>(EW31)</f>
        <v>0.9</v>
      </c>
      <c r="AI31">
        <f t="shared" si="35"/>
        <v>0</v>
      </c>
      <c r="AJ31">
        <f t="shared" si="36"/>
        <v>0</v>
      </c>
      <c r="AK31">
        <v>14.24</v>
      </c>
      <c r="AL31">
        <v>0</v>
      </c>
      <c r="AM31">
        <v>0</v>
      </c>
      <c r="AN31">
        <v>0</v>
      </c>
      <c r="AO31">
        <v>14.24</v>
      </c>
      <c r="AP31">
        <v>0</v>
      </c>
      <c r="AQ31">
        <v>0.9</v>
      </c>
      <c r="AR31">
        <v>0</v>
      </c>
      <c r="AS31">
        <v>0</v>
      </c>
      <c r="AT31">
        <v>70</v>
      </c>
      <c r="AU31">
        <v>41</v>
      </c>
      <c r="AV31">
        <v>1</v>
      </c>
      <c r="AW31">
        <v>1</v>
      </c>
      <c r="AZ31">
        <v>1</v>
      </c>
      <c r="BA31">
        <v>34.51</v>
      </c>
      <c r="BB31">
        <v>1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4</v>
      </c>
      <c r="BJ31" t="s">
        <v>42</v>
      </c>
      <c r="BM31">
        <v>381</v>
      </c>
      <c r="BN31">
        <v>51696011</v>
      </c>
      <c r="BO31" t="s">
        <v>3</v>
      </c>
      <c r="BP31">
        <v>0</v>
      </c>
      <c r="BQ31">
        <v>50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70</v>
      </c>
      <c r="CA31">
        <v>41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 t="shared" si="37"/>
        <v>0</v>
      </c>
      <c r="CQ31">
        <f t="shared" si="38"/>
        <v>0</v>
      </c>
      <c r="CR31">
        <f t="shared" si="39"/>
        <v>0</v>
      </c>
      <c r="CS31">
        <f t="shared" si="40"/>
        <v>0</v>
      </c>
      <c r="CT31">
        <f t="shared" si="41"/>
        <v>491.42</v>
      </c>
      <c r="CU31">
        <f t="shared" si="42"/>
        <v>0</v>
      </c>
      <c r="CV31">
        <f t="shared" si="43"/>
        <v>0.9</v>
      </c>
      <c r="CW31">
        <f t="shared" si="44"/>
        <v>0</v>
      </c>
      <c r="CX31">
        <f t="shared" si="44"/>
        <v>0</v>
      </c>
      <c r="CY31">
        <f t="shared" si="45"/>
        <v>0</v>
      </c>
      <c r="CZ31">
        <f t="shared" si="46"/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75</v>
      </c>
      <c r="DO31">
        <v>70</v>
      </c>
      <c r="DP31">
        <v>1</v>
      </c>
      <c r="DQ31">
        <v>1</v>
      </c>
      <c r="DU31">
        <v>1013</v>
      </c>
      <c r="DV31" t="s">
        <v>41</v>
      </c>
      <c r="DW31" t="s">
        <v>41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51696420</v>
      </c>
      <c r="EF31">
        <v>50</v>
      </c>
      <c r="EG31" t="s">
        <v>15</v>
      </c>
      <c r="EH31">
        <v>0</v>
      </c>
      <c r="EI31" t="s">
        <v>3</v>
      </c>
      <c r="EJ31">
        <v>4</v>
      </c>
      <c r="EK31">
        <v>381</v>
      </c>
      <c r="EL31" t="s">
        <v>36</v>
      </c>
      <c r="EM31" t="s">
        <v>37</v>
      </c>
      <c r="EO31" t="s">
        <v>3</v>
      </c>
      <c r="EQ31">
        <v>131072</v>
      </c>
      <c r="ER31">
        <v>14.24</v>
      </c>
      <c r="ES31">
        <v>0</v>
      </c>
      <c r="ET31">
        <v>0</v>
      </c>
      <c r="EU31">
        <v>0</v>
      </c>
      <c r="EV31">
        <v>14.24</v>
      </c>
      <c r="EW31">
        <v>0.9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75</v>
      </c>
      <c r="FY31">
        <v>70</v>
      </c>
      <c r="GA31" t="s">
        <v>3</v>
      </c>
      <c r="GD31">
        <v>0</v>
      </c>
      <c r="GF31">
        <v>1878032076</v>
      </c>
      <c r="GG31">
        <v>2</v>
      </c>
      <c r="GH31">
        <v>1</v>
      </c>
      <c r="GI31">
        <v>2</v>
      </c>
      <c r="GJ31">
        <v>0</v>
      </c>
      <c r="GK31">
        <f>ROUND(R31*(R12)/100,2)</f>
        <v>0</v>
      </c>
      <c r="GL31">
        <f t="shared" si="47"/>
        <v>0</v>
      </c>
      <c r="GM31">
        <f t="shared" si="48"/>
        <v>0</v>
      </c>
      <c r="GN31">
        <f t="shared" si="49"/>
        <v>0</v>
      </c>
      <c r="GO31">
        <f t="shared" si="50"/>
        <v>0</v>
      </c>
      <c r="GP31">
        <f t="shared" si="51"/>
        <v>0</v>
      </c>
      <c r="GR31">
        <v>0</v>
      </c>
      <c r="GS31">
        <v>3</v>
      </c>
      <c r="GT31">
        <v>0</v>
      </c>
      <c r="GU31" t="s">
        <v>3</v>
      </c>
      <c r="GV31">
        <f t="shared" si="52"/>
        <v>0</v>
      </c>
      <c r="GW31">
        <v>1</v>
      </c>
      <c r="GX31">
        <f t="shared" si="53"/>
        <v>0</v>
      </c>
      <c r="HA31">
        <v>0</v>
      </c>
      <c r="HB31">
        <v>0</v>
      </c>
      <c r="HC31">
        <f t="shared" si="54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45" x14ac:dyDescent="0.2">
      <c r="A32">
        <v>17</v>
      </c>
      <c r="B32">
        <v>1</v>
      </c>
      <c r="E32" t="s">
        <v>43</v>
      </c>
      <c r="F32" t="s">
        <v>44</v>
      </c>
      <c r="G32" t="s">
        <v>45</v>
      </c>
      <c r="H32" t="s">
        <v>46</v>
      </c>
      <c r="I32">
        <v>0</v>
      </c>
      <c r="J32">
        <v>0</v>
      </c>
      <c r="K32">
        <v>0</v>
      </c>
      <c r="O32">
        <f t="shared" si="21"/>
        <v>0</v>
      </c>
      <c r="P32">
        <f t="shared" si="22"/>
        <v>0</v>
      </c>
      <c r="Q32">
        <f t="shared" si="23"/>
        <v>0</v>
      </c>
      <c r="R32">
        <f t="shared" si="24"/>
        <v>0</v>
      </c>
      <c r="S32">
        <f t="shared" si="25"/>
        <v>0</v>
      </c>
      <c r="T32">
        <f t="shared" si="26"/>
        <v>0</v>
      </c>
      <c r="U32">
        <f t="shared" si="27"/>
        <v>0</v>
      </c>
      <c r="V32">
        <f t="shared" si="28"/>
        <v>0</v>
      </c>
      <c r="W32">
        <f t="shared" si="29"/>
        <v>0</v>
      </c>
      <c r="X32">
        <f t="shared" si="30"/>
        <v>0</v>
      </c>
      <c r="Y32">
        <f t="shared" si="30"/>
        <v>0</v>
      </c>
      <c r="AA32">
        <v>55810748</v>
      </c>
      <c r="AB32">
        <f t="shared" si="31"/>
        <v>393.19</v>
      </c>
      <c r="AC32">
        <f>ROUND(393.19,6)</f>
        <v>393.19</v>
      </c>
      <c r="AD32">
        <f t="shared" si="32"/>
        <v>0</v>
      </c>
      <c r="AE32">
        <f t="shared" si="33"/>
        <v>0</v>
      </c>
      <c r="AF32">
        <f>ROUND((EV32),6)</f>
        <v>0</v>
      </c>
      <c r="AG32">
        <f t="shared" si="34"/>
        <v>0</v>
      </c>
      <c r="AH32">
        <f>(EW32)</f>
        <v>0</v>
      </c>
      <c r="AI32">
        <f t="shared" si="35"/>
        <v>0</v>
      </c>
      <c r="AJ32">
        <f t="shared" si="36"/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1</v>
      </c>
      <c r="AZ32">
        <v>1</v>
      </c>
      <c r="BA32">
        <v>1</v>
      </c>
      <c r="BB32">
        <v>1</v>
      </c>
      <c r="BC32">
        <v>1</v>
      </c>
      <c r="BD32" t="s">
        <v>3</v>
      </c>
      <c r="BE32" t="s">
        <v>3</v>
      </c>
      <c r="BF32" t="s">
        <v>3</v>
      </c>
      <c r="BG32" t="s">
        <v>3</v>
      </c>
      <c r="BH32">
        <v>3</v>
      </c>
      <c r="BI32">
        <v>4</v>
      </c>
      <c r="BJ32" t="s">
        <v>3</v>
      </c>
      <c r="BM32">
        <v>0</v>
      </c>
      <c r="BN32">
        <v>0</v>
      </c>
      <c r="BO32" t="s">
        <v>3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 t="s">
        <v>3</v>
      </c>
      <c r="BZ32">
        <v>0</v>
      </c>
      <c r="CA32">
        <v>0</v>
      </c>
      <c r="CB32" t="s">
        <v>3</v>
      </c>
      <c r="CE32">
        <v>30</v>
      </c>
      <c r="CF32">
        <v>0</v>
      </c>
      <c r="CG32">
        <v>0</v>
      </c>
      <c r="CM32">
        <v>0</v>
      </c>
      <c r="CN32" t="s">
        <v>3</v>
      </c>
      <c r="CO32">
        <v>0</v>
      </c>
      <c r="CP32">
        <f t="shared" si="37"/>
        <v>0</v>
      </c>
      <c r="CQ32">
        <f t="shared" si="38"/>
        <v>393.19</v>
      </c>
      <c r="CR32">
        <f t="shared" si="39"/>
        <v>0</v>
      </c>
      <c r="CS32">
        <f t="shared" si="40"/>
        <v>0</v>
      </c>
      <c r="CT32">
        <f t="shared" si="41"/>
        <v>0</v>
      </c>
      <c r="CU32">
        <f t="shared" si="42"/>
        <v>0</v>
      </c>
      <c r="CV32">
        <f t="shared" si="43"/>
        <v>0</v>
      </c>
      <c r="CW32">
        <f t="shared" si="44"/>
        <v>0</v>
      </c>
      <c r="CX32">
        <f t="shared" si="44"/>
        <v>0</v>
      </c>
      <c r="CY32">
        <f t="shared" si="45"/>
        <v>0</v>
      </c>
      <c r="CZ32">
        <f t="shared" si="46"/>
        <v>0</v>
      </c>
      <c r="DC32" t="s">
        <v>3</v>
      </c>
      <c r="DD32" t="s">
        <v>47</v>
      </c>
      <c r="DE32" t="s">
        <v>3</v>
      </c>
      <c r="DF32" t="s">
        <v>3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>
        <v>0</v>
      </c>
      <c r="DO32">
        <v>0</v>
      </c>
      <c r="DP32">
        <v>1</v>
      </c>
      <c r="DQ32">
        <v>1</v>
      </c>
      <c r="DU32">
        <v>1013</v>
      </c>
      <c r="DV32" t="s">
        <v>46</v>
      </c>
      <c r="DW32" t="s">
        <v>46</v>
      </c>
      <c r="DX32">
        <v>1</v>
      </c>
      <c r="DZ32" t="s">
        <v>3</v>
      </c>
      <c r="EA32" t="s">
        <v>3</v>
      </c>
      <c r="EB32" t="s">
        <v>3</v>
      </c>
      <c r="EC32" t="s">
        <v>3</v>
      </c>
      <c r="EE32">
        <v>51696083</v>
      </c>
      <c r="EF32">
        <v>0</v>
      </c>
      <c r="EG32" t="s">
        <v>3</v>
      </c>
      <c r="EH32">
        <v>0</v>
      </c>
      <c r="EI32" t="s">
        <v>3</v>
      </c>
      <c r="EJ32">
        <v>4</v>
      </c>
      <c r="EK32">
        <v>0</v>
      </c>
      <c r="EL32" t="s">
        <v>48</v>
      </c>
      <c r="EM32" t="s">
        <v>49</v>
      </c>
      <c r="EO32" t="s">
        <v>3</v>
      </c>
      <c r="EQ32">
        <v>131072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FQ32">
        <v>0</v>
      </c>
      <c r="FR32">
        <v>0</v>
      </c>
      <c r="FS32">
        <v>0</v>
      </c>
      <c r="FX32">
        <v>0</v>
      </c>
      <c r="FY32">
        <v>0</v>
      </c>
      <c r="GA32" t="s">
        <v>3</v>
      </c>
      <c r="GD32">
        <v>0</v>
      </c>
      <c r="GF32">
        <v>-247210441</v>
      </c>
      <c r="GG32">
        <v>2</v>
      </c>
      <c r="GH32">
        <v>0</v>
      </c>
      <c r="GI32">
        <v>3</v>
      </c>
      <c r="GJ32">
        <v>0</v>
      </c>
      <c r="GK32">
        <f>ROUND(R32*(R12)/100,2)</f>
        <v>0</v>
      </c>
      <c r="GL32">
        <f t="shared" si="47"/>
        <v>0</v>
      </c>
      <c r="GM32">
        <f t="shared" si="48"/>
        <v>0</v>
      </c>
      <c r="GN32">
        <f t="shared" si="49"/>
        <v>0</v>
      </c>
      <c r="GO32">
        <f t="shared" si="50"/>
        <v>0</v>
      </c>
      <c r="GP32">
        <f t="shared" si="51"/>
        <v>0</v>
      </c>
      <c r="GR32">
        <v>0</v>
      </c>
      <c r="GS32">
        <v>0</v>
      </c>
      <c r="GT32">
        <v>0</v>
      </c>
      <c r="GU32" t="s">
        <v>3</v>
      </c>
      <c r="GV32">
        <f t="shared" si="52"/>
        <v>0</v>
      </c>
      <c r="GW32">
        <v>1</v>
      </c>
      <c r="GX32">
        <f t="shared" si="53"/>
        <v>0</v>
      </c>
      <c r="HA32">
        <v>0</v>
      </c>
      <c r="HB32">
        <v>0</v>
      </c>
      <c r="HC32">
        <f t="shared" si="54"/>
        <v>0</v>
      </c>
      <c r="HE32" t="s">
        <v>3</v>
      </c>
      <c r="HF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3</v>
      </c>
      <c r="HS32">
        <v>0</v>
      </c>
      <c r="IK32">
        <v>0</v>
      </c>
    </row>
    <row r="33" spans="1:245" x14ac:dyDescent="0.2">
      <c r="A33">
        <v>17</v>
      </c>
      <c r="B33">
        <v>1</v>
      </c>
      <c r="E33" t="s">
        <v>50</v>
      </c>
      <c r="F33" t="s">
        <v>44</v>
      </c>
      <c r="G33" t="s">
        <v>51</v>
      </c>
      <c r="H33" t="s">
        <v>46</v>
      </c>
      <c r="I33">
        <v>0</v>
      </c>
      <c r="J33">
        <v>0</v>
      </c>
      <c r="K33">
        <v>0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0"/>
        <v>0</v>
      </c>
      <c r="AA33">
        <v>55810748</v>
      </c>
      <c r="AB33">
        <f t="shared" si="31"/>
        <v>322.25</v>
      </c>
      <c r="AC33">
        <f>ROUND(322.25,6)</f>
        <v>322.25</v>
      </c>
      <c r="AD33">
        <f t="shared" si="32"/>
        <v>0</v>
      </c>
      <c r="AE33">
        <f t="shared" si="33"/>
        <v>0</v>
      </c>
      <c r="AF33">
        <f>ROUND((EV33),6)</f>
        <v>0</v>
      </c>
      <c r="AG33">
        <f t="shared" si="34"/>
        <v>0</v>
      </c>
      <c r="AH33">
        <f>(EW33)</f>
        <v>0</v>
      </c>
      <c r="AI33">
        <f t="shared" si="35"/>
        <v>0</v>
      </c>
      <c r="AJ33">
        <f t="shared" si="36"/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4</v>
      </c>
      <c r="BJ33" t="s">
        <v>3</v>
      </c>
      <c r="BM33">
        <v>0</v>
      </c>
      <c r="BN33">
        <v>0</v>
      </c>
      <c r="BO33" t="s">
        <v>3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0</v>
      </c>
      <c r="CA33">
        <v>0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37"/>
        <v>0</v>
      </c>
      <c r="CQ33">
        <f t="shared" si="38"/>
        <v>322.25</v>
      </c>
      <c r="CR33">
        <f t="shared" si="39"/>
        <v>0</v>
      </c>
      <c r="CS33">
        <f t="shared" si="40"/>
        <v>0</v>
      </c>
      <c r="CT33">
        <f t="shared" si="41"/>
        <v>0</v>
      </c>
      <c r="CU33">
        <f t="shared" si="42"/>
        <v>0</v>
      </c>
      <c r="CV33">
        <f t="shared" si="43"/>
        <v>0</v>
      </c>
      <c r="CW33">
        <f t="shared" si="44"/>
        <v>0</v>
      </c>
      <c r="CX33">
        <f t="shared" si="44"/>
        <v>0</v>
      </c>
      <c r="CY33">
        <f t="shared" si="45"/>
        <v>0</v>
      </c>
      <c r="CZ33">
        <f t="shared" si="46"/>
        <v>0</v>
      </c>
      <c r="DC33" t="s">
        <v>3</v>
      </c>
      <c r="DD33" t="s">
        <v>52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46</v>
      </c>
      <c r="DW33" t="s">
        <v>46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51696083</v>
      </c>
      <c r="EF33">
        <v>0</v>
      </c>
      <c r="EG33" t="s">
        <v>3</v>
      </c>
      <c r="EH33">
        <v>0</v>
      </c>
      <c r="EI33" t="s">
        <v>3</v>
      </c>
      <c r="EJ33">
        <v>4</v>
      </c>
      <c r="EK33">
        <v>0</v>
      </c>
      <c r="EL33" t="s">
        <v>48</v>
      </c>
      <c r="EM33" t="s">
        <v>49</v>
      </c>
      <c r="EO33" t="s">
        <v>3</v>
      </c>
      <c r="EQ33">
        <v>131072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0</v>
      </c>
      <c r="FY33">
        <v>0</v>
      </c>
      <c r="GA33" t="s">
        <v>3</v>
      </c>
      <c r="GD33">
        <v>0</v>
      </c>
      <c r="GF33">
        <v>-551642664</v>
      </c>
      <c r="GG33">
        <v>2</v>
      </c>
      <c r="GH33">
        <v>0</v>
      </c>
      <c r="GI33">
        <v>3</v>
      </c>
      <c r="GJ33">
        <v>0</v>
      </c>
      <c r="GK33">
        <f>ROUND(R33*(R12)/100,2)</f>
        <v>0</v>
      </c>
      <c r="GL33">
        <f t="shared" si="47"/>
        <v>0</v>
      </c>
      <c r="GM33">
        <f t="shared" si="48"/>
        <v>0</v>
      </c>
      <c r="GN33">
        <f t="shared" si="49"/>
        <v>0</v>
      </c>
      <c r="GO33">
        <f t="shared" si="50"/>
        <v>0</v>
      </c>
      <c r="GP33">
        <f t="shared" si="51"/>
        <v>0</v>
      </c>
      <c r="GR33">
        <v>0</v>
      </c>
      <c r="GS33">
        <v>0</v>
      </c>
      <c r="GT33">
        <v>0</v>
      </c>
      <c r="GU33" t="s">
        <v>3</v>
      </c>
      <c r="GV33">
        <f t="shared" si="52"/>
        <v>0</v>
      </c>
      <c r="GW33">
        <v>1</v>
      </c>
      <c r="GX33">
        <f t="shared" si="53"/>
        <v>0</v>
      </c>
      <c r="HA33">
        <v>0</v>
      </c>
      <c r="HB33">
        <v>0</v>
      </c>
      <c r="HC33">
        <f t="shared" si="54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45" x14ac:dyDescent="0.2">
      <c r="A34">
        <v>17</v>
      </c>
      <c r="B34">
        <v>1</v>
      </c>
      <c r="E34" t="s">
        <v>53</v>
      </c>
      <c r="F34" t="s">
        <v>54</v>
      </c>
      <c r="G34" t="s">
        <v>55</v>
      </c>
      <c r="H34" t="s">
        <v>56</v>
      </c>
      <c r="I34">
        <v>8</v>
      </c>
      <c r="J34">
        <v>0</v>
      </c>
      <c r="K34">
        <v>8</v>
      </c>
      <c r="O34">
        <f t="shared" si="21"/>
        <v>19572.71</v>
      </c>
      <c r="P34">
        <f t="shared" si="22"/>
        <v>0</v>
      </c>
      <c r="Q34">
        <f t="shared" si="23"/>
        <v>19572.71</v>
      </c>
      <c r="R34">
        <f t="shared" si="24"/>
        <v>3484.13</v>
      </c>
      <c r="S34">
        <f t="shared" si="25"/>
        <v>0</v>
      </c>
      <c r="T34">
        <f t="shared" si="26"/>
        <v>0</v>
      </c>
      <c r="U34">
        <f t="shared" si="27"/>
        <v>0</v>
      </c>
      <c r="V34">
        <f t="shared" si="28"/>
        <v>0</v>
      </c>
      <c r="W34">
        <f t="shared" si="29"/>
        <v>0</v>
      </c>
      <c r="X34">
        <f t="shared" si="30"/>
        <v>0</v>
      </c>
      <c r="Y34">
        <f t="shared" si="30"/>
        <v>0</v>
      </c>
      <c r="AA34">
        <v>55810748</v>
      </c>
      <c r="AB34">
        <f t="shared" si="31"/>
        <v>247.38</v>
      </c>
      <c r="AC34">
        <f>ROUND((ES34),6)</f>
        <v>0</v>
      </c>
      <c r="AD34">
        <f t="shared" si="32"/>
        <v>247.38</v>
      </c>
      <c r="AE34">
        <f t="shared" si="33"/>
        <v>12.62</v>
      </c>
      <c r="AF34">
        <f>ROUND((EV34),6)</f>
        <v>0</v>
      </c>
      <c r="AG34">
        <f t="shared" si="34"/>
        <v>0</v>
      </c>
      <c r="AH34">
        <f>(EW34)</f>
        <v>0</v>
      </c>
      <c r="AI34">
        <f t="shared" si="35"/>
        <v>0</v>
      </c>
      <c r="AJ34">
        <f t="shared" si="36"/>
        <v>0</v>
      </c>
      <c r="AK34">
        <v>247.38</v>
      </c>
      <c r="AL34">
        <v>0</v>
      </c>
      <c r="AM34">
        <v>247.38</v>
      </c>
      <c r="AN34">
        <v>12.62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Z34">
        <v>1</v>
      </c>
      <c r="BA34">
        <v>1</v>
      </c>
      <c r="BB34">
        <v>9.89</v>
      </c>
      <c r="BC34">
        <v>1</v>
      </c>
      <c r="BD34" t="s">
        <v>3</v>
      </c>
      <c r="BE34" t="s">
        <v>3</v>
      </c>
      <c r="BF34" t="s">
        <v>3</v>
      </c>
      <c r="BG34" t="s">
        <v>3</v>
      </c>
      <c r="BH34">
        <v>2</v>
      </c>
      <c r="BI34">
        <v>1</v>
      </c>
      <c r="BJ34" t="s">
        <v>57</v>
      </c>
      <c r="BM34">
        <v>400001</v>
      </c>
      <c r="BN34">
        <v>51696011</v>
      </c>
      <c r="BO34" t="s">
        <v>54</v>
      </c>
      <c r="BP34">
        <v>1</v>
      </c>
      <c r="BQ34">
        <v>190</v>
      </c>
      <c r="BR34">
        <v>0</v>
      </c>
      <c r="BS34">
        <v>34.51</v>
      </c>
      <c r="BT34">
        <v>1</v>
      </c>
      <c r="BU34">
        <v>1</v>
      </c>
      <c r="BV34">
        <v>1</v>
      </c>
      <c r="BW34">
        <v>1</v>
      </c>
      <c r="BX34">
        <v>1</v>
      </c>
      <c r="BY34" t="s">
        <v>3</v>
      </c>
      <c r="BZ34">
        <v>0</v>
      </c>
      <c r="CA34">
        <v>0</v>
      </c>
      <c r="CB34" t="s">
        <v>3</v>
      </c>
      <c r="CE34">
        <v>30</v>
      </c>
      <c r="CF34">
        <v>0</v>
      </c>
      <c r="CG34">
        <v>0</v>
      </c>
      <c r="CM34">
        <v>0</v>
      </c>
      <c r="CN34" t="s">
        <v>3</v>
      </c>
      <c r="CO34">
        <v>0</v>
      </c>
      <c r="CP34">
        <f t="shared" si="37"/>
        <v>19572.71</v>
      </c>
      <c r="CQ34">
        <f t="shared" si="38"/>
        <v>0</v>
      </c>
      <c r="CR34">
        <f t="shared" si="39"/>
        <v>2446.59</v>
      </c>
      <c r="CS34">
        <f t="shared" si="40"/>
        <v>435.52</v>
      </c>
      <c r="CT34">
        <f t="shared" si="41"/>
        <v>0</v>
      </c>
      <c r="CU34">
        <f t="shared" si="42"/>
        <v>0</v>
      </c>
      <c r="CV34">
        <f t="shared" si="43"/>
        <v>0</v>
      </c>
      <c r="CW34">
        <f t="shared" si="44"/>
        <v>0</v>
      </c>
      <c r="CX34">
        <f t="shared" si="44"/>
        <v>0</v>
      </c>
      <c r="CY34">
        <f t="shared" si="45"/>
        <v>0</v>
      </c>
      <c r="CZ34">
        <f t="shared" si="46"/>
        <v>0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>
        <v>0</v>
      </c>
      <c r="DO34">
        <v>0</v>
      </c>
      <c r="DP34">
        <v>1</v>
      </c>
      <c r="DQ34">
        <v>1</v>
      </c>
      <c r="DU34">
        <v>1011</v>
      </c>
      <c r="DV34" t="s">
        <v>56</v>
      </c>
      <c r="DW34" t="s">
        <v>56</v>
      </c>
      <c r="DX34">
        <v>1</v>
      </c>
      <c r="DZ34" t="s">
        <v>3</v>
      </c>
      <c r="EA34" t="s">
        <v>3</v>
      </c>
      <c r="EB34" t="s">
        <v>3</v>
      </c>
      <c r="EC34" t="s">
        <v>3</v>
      </c>
      <c r="EE34">
        <v>51697852</v>
      </c>
      <c r="EF34">
        <v>190</v>
      </c>
      <c r="EG34" t="s">
        <v>58</v>
      </c>
      <c r="EH34">
        <v>0</v>
      </c>
      <c r="EI34" t="s">
        <v>3</v>
      </c>
      <c r="EJ34">
        <v>1</v>
      </c>
      <c r="EK34">
        <v>400001</v>
      </c>
      <c r="EL34" t="s">
        <v>59</v>
      </c>
      <c r="EM34" t="s">
        <v>60</v>
      </c>
      <c r="EO34" t="s">
        <v>3</v>
      </c>
      <c r="EQ34">
        <v>131072</v>
      </c>
      <c r="ER34">
        <v>247.38</v>
      </c>
      <c r="ES34">
        <v>0</v>
      </c>
      <c r="ET34">
        <v>247.38</v>
      </c>
      <c r="EU34">
        <v>12.62</v>
      </c>
      <c r="EV34">
        <v>0</v>
      </c>
      <c r="EW34">
        <v>0</v>
      </c>
      <c r="EX34">
        <v>0</v>
      </c>
      <c r="EY34">
        <v>0</v>
      </c>
      <c r="FQ34">
        <v>0</v>
      </c>
      <c r="FR34">
        <v>0</v>
      </c>
      <c r="FS34">
        <v>0</v>
      </c>
      <c r="FX34">
        <v>0</v>
      </c>
      <c r="FY34">
        <v>0</v>
      </c>
      <c r="GA34" t="s">
        <v>3</v>
      </c>
      <c r="GD34">
        <v>0</v>
      </c>
      <c r="GF34">
        <v>464312783</v>
      </c>
      <c r="GG34">
        <v>2</v>
      </c>
      <c r="GH34">
        <v>1</v>
      </c>
      <c r="GI34">
        <v>2</v>
      </c>
      <c r="GJ34">
        <v>0</v>
      </c>
      <c r="GK34">
        <f>ROUND(R34*(R12)/100,2)</f>
        <v>5574.61</v>
      </c>
      <c r="GL34">
        <f t="shared" si="47"/>
        <v>0</v>
      </c>
      <c r="GM34">
        <f t="shared" si="48"/>
        <v>25147.32</v>
      </c>
      <c r="GN34">
        <f t="shared" si="49"/>
        <v>25147.32</v>
      </c>
      <c r="GO34">
        <f t="shared" si="50"/>
        <v>0</v>
      </c>
      <c r="GP34">
        <f t="shared" si="51"/>
        <v>0</v>
      </c>
      <c r="GR34">
        <v>0</v>
      </c>
      <c r="GS34">
        <v>3</v>
      </c>
      <c r="GT34">
        <v>0</v>
      </c>
      <c r="GU34" t="s">
        <v>3</v>
      </c>
      <c r="GV34">
        <f t="shared" si="52"/>
        <v>0</v>
      </c>
      <c r="GW34">
        <v>1</v>
      </c>
      <c r="GX34">
        <f t="shared" si="53"/>
        <v>0</v>
      </c>
      <c r="HA34">
        <v>0</v>
      </c>
      <c r="HB34">
        <v>0</v>
      </c>
      <c r="HC34">
        <f t="shared" si="54"/>
        <v>0</v>
      </c>
      <c r="HE34" t="s">
        <v>3</v>
      </c>
      <c r="HF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HS34">
        <v>0</v>
      </c>
      <c r="IK34">
        <v>0</v>
      </c>
    </row>
    <row r="36" spans="1:245" x14ac:dyDescent="0.2">
      <c r="A36" s="2">
        <v>51</v>
      </c>
      <c r="B36" s="2">
        <f>B24</f>
        <v>1</v>
      </c>
      <c r="C36" s="2">
        <f>A24</f>
        <v>4</v>
      </c>
      <c r="D36" s="2">
        <f>ROW(A24)</f>
        <v>24</v>
      </c>
      <c r="E36" s="2"/>
      <c r="F36" s="2" t="str">
        <f>IF(F24&lt;&gt;"",F24,"")</f>
        <v>Новый раздел</v>
      </c>
      <c r="G36" s="2" t="str">
        <f>IF(G24&lt;&gt;"",G24,"")</f>
        <v>Пусконаладочные работы</v>
      </c>
      <c r="H36" s="2">
        <v>0</v>
      </c>
      <c r="I36" s="2"/>
      <c r="J36" s="2"/>
      <c r="K36" s="2"/>
      <c r="L36" s="2"/>
      <c r="M36" s="2"/>
      <c r="N36" s="2"/>
      <c r="O36" s="2">
        <f t="shared" ref="O36:T36" si="55">ROUND(AB36,2)</f>
        <v>176926.23</v>
      </c>
      <c r="P36" s="2">
        <f t="shared" si="55"/>
        <v>0</v>
      </c>
      <c r="Q36" s="2">
        <f t="shared" si="55"/>
        <v>19572.71</v>
      </c>
      <c r="R36" s="2">
        <f t="shared" si="55"/>
        <v>3484.13</v>
      </c>
      <c r="S36" s="2">
        <f t="shared" si="55"/>
        <v>157353.51999999999</v>
      </c>
      <c r="T36" s="2">
        <f t="shared" si="55"/>
        <v>0</v>
      </c>
      <c r="U36" s="2">
        <f>AH36</f>
        <v>296.416</v>
      </c>
      <c r="V36" s="2">
        <f>AI36</f>
        <v>0</v>
      </c>
      <c r="W36" s="2">
        <f>ROUND(AJ36,2)</f>
        <v>0</v>
      </c>
      <c r="X36" s="2">
        <f>ROUND(AK36,2)</f>
        <v>110147.47</v>
      </c>
      <c r="Y36" s="2">
        <f>ROUND(AL36,2)</f>
        <v>64514.95</v>
      </c>
      <c r="Z36" s="2"/>
      <c r="AA36" s="2"/>
      <c r="AB36" s="2">
        <f>ROUND(SUMIF(AA28:AA34,"=55810748",O28:O34),2)</f>
        <v>176926.23</v>
      </c>
      <c r="AC36" s="2">
        <f>ROUND(SUMIF(AA28:AA34,"=55810748",P28:P34),2)</f>
        <v>0</v>
      </c>
      <c r="AD36" s="2">
        <f>ROUND(SUMIF(AA28:AA34,"=55810748",Q28:Q34),2)</f>
        <v>19572.71</v>
      </c>
      <c r="AE36" s="2">
        <f>ROUND(SUMIF(AA28:AA34,"=55810748",R28:R34),2)</f>
        <v>3484.13</v>
      </c>
      <c r="AF36" s="2">
        <f>ROUND(SUMIF(AA28:AA34,"=55810748",S28:S34),2)</f>
        <v>157353.51999999999</v>
      </c>
      <c r="AG36" s="2">
        <f>ROUND(SUMIF(AA28:AA34,"=55810748",T28:T34),2)</f>
        <v>0</v>
      </c>
      <c r="AH36" s="2">
        <f>SUMIF(AA28:AA34,"=55810748",U28:U34)</f>
        <v>296.416</v>
      </c>
      <c r="AI36" s="2">
        <f>SUMIF(AA28:AA34,"=55810748",V28:V34)</f>
        <v>0</v>
      </c>
      <c r="AJ36" s="2">
        <f>ROUND(SUMIF(AA28:AA34,"=55810748",W28:W34),2)</f>
        <v>0</v>
      </c>
      <c r="AK36" s="2">
        <f>ROUND(SUMIF(AA28:AA34,"=55810748",X28:X34),2)</f>
        <v>110147.47</v>
      </c>
      <c r="AL36" s="2">
        <f>ROUND(SUMIF(AA28:AA34,"=55810748",Y28:Y34),2)</f>
        <v>64514.95</v>
      </c>
      <c r="AM36" s="2"/>
      <c r="AN36" s="2"/>
      <c r="AO36" s="2">
        <f t="shared" ref="AO36:BD36" si="56">ROUND(BX36,2)</f>
        <v>0</v>
      </c>
      <c r="AP36" s="2">
        <f t="shared" si="56"/>
        <v>0</v>
      </c>
      <c r="AQ36" s="2">
        <f t="shared" si="56"/>
        <v>0</v>
      </c>
      <c r="AR36" s="2">
        <f t="shared" si="56"/>
        <v>357163.26</v>
      </c>
      <c r="AS36" s="2">
        <f t="shared" si="56"/>
        <v>25147.32</v>
      </c>
      <c r="AT36" s="2">
        <f t="shared" si="56"/>
        <v>0</v>
      </c>
      <c r="AU36" s="2">
        <f t="shared" si="56"/>
        <v>332015.94</v>
      </c>
      <c r="AV36" s="2">
        <f t="shared" si="56"/>
        <v>0</v>
      </c>
      <c r="AW36" s="2">
        <f t="shared" si="56"/>
        <v>0</v>
      </c>
      <c r="AX36" s="2">
        <f t="shared" si="56"/>
        <v>0</v>
      </c>
      <c r="AY36" s="2">
        <f t="shared" si="56"/>
        <v>0</v>
      </c>
      <c r="AZ36" s="2">
        <f t="shared" si="56"/>
        <v>0</v>
      </c>
      <c r="BA36" s="2">
        <f t="shared" si="56"/>
        <v>0</v>
      </c>
      <c r="BB36" s="2">
        <f t="shared" si="56"/>
        <v>0</v>
      </c>
      <c r="BC36" s="2">
        <f t="shared" si="56"/>
        <v>0</v>
      </c>
      <c r="BD36" s="2">
        <f t="shared" si="56"/>
        <v>0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>
        <f>ROUND(SUMIF(AA28:AA34,"=55810748",FQ28:FQ34),2)</f>
        <v>0</v>
      </c>
      <c r="BY36" s="2">
        <f>ROUND(SUMIF(AA28:AA34,"=55810748",FR28:FR34),2)</f>
        <v>0</v>
      </c>
      <c r="BZ36" s="2">
        <f>ROUND(SUMIF(AA28:AA34,"=55810748",GL28:GL34),2)</f>
        <v>0</v>
      </c>
      <c r="CA36" s="2">
        <f>ROUND(SUMIF(AA28:AA34,"=55810748",GM28:GM34),2)</f>
        <v>357163.26</v>
      </c>
      <c r="CB36" s="2">
        <f>ROUND(SUMIF(AA28:AA34,"=55810748",GN28:GN34),2)</f>
        <v>25147.32</v>
      </c>
      <c r="CC36" s="2">
        <f>ROUND(SUMIF(AA28:AA34,"=55810748",GO28:GO34),2)</f>
        <v>0</v>
      </c>
      <c r="CD36" s="2">
        <f>ROUND(SUMIF(AA28:AA34,"=55810748",GP28:GP34),2)</f>
        <v>332015.94</v>
      </c>
      <c r="CE36" s="2">
        <f>AC36-BX36</f>
        <v>0</v>
      </c>
      <c r="CF36" s="2">
        <f>AC36-BY36</f>
        <v>0</v>
      </c>
      <c r="CG36" s="2">
        <f>BX36-BZ36</f>
        <v>0</v>
      </c>
      <c r="CH36" s="2">
        <f>AC36-BX36-BY36+BZ36</f>
        <v>0</v>
      </c>
      <c r="CI36" s="2">
        <f>BY36-BZ36</f>
        <v>0</v>
      </c>
      <c r="CJ36" s="2">
        <f>ROUND(SUMIF(AA28:AA34,"=55810748",GX28:GX34),2)</f>
        <v>0</v>
      </c>
      <c r="CK36" s="2">
        <f>ROUND(SUMIF(AA28:AA34,"=55810748",GY28:GY34),2)</f>
        <v>0</v>
      </c>
      <c r="CL36" s="2">
        <f>ROUND(SUMIF(AA28:AA34,"=55810748",GZ28:GZ34),2)</f>
        <v>0</v>
      </c>
      <c r="CM36" s="2">
        <f>ROUND(SUMIF(AA28:AA34,"=55810748",HD28:HD34),2)</f>
        <v>0</v>
      </c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>
        <v>0</v>
      </c>
    </row>
    <row r="38" spans="1:245" x14ac:dyDescent="0.2">
      <c r="A38" s="4">
        <v>50</v>
      </c>
      <c r="B38" s="4">
        <v>0</v>
      </c>
      <c r="C38" s="4">
        <v>0</v>
      </c>
      <c r="D38" s="4">
        <v>1</v>
      </c>
      <c r="E38" s="4">
        <v>201</v>
      </c>
      <c r="F38" s="4">
        <f>ROUND(Source!O36,O38)</f>
        <v>176926.23</v>
      </c>
      <c r="G38" s="4" t="s">
        <v>61</v>
      </c>
      <c r="H38" s="4" t="s">
        <v>62</v>
      </c>
      <c r="I38" s="4"/>
      <c r="J38" s="4"/>
      <c r="K38" s="4">
        <v>201</v>
      </c>
      <c r="L38" s="4">
        <v>1</v>
      </c>
      <c r="M38" s="4">
        <v>3</v>
      </c>
      <c r="N38" s="4" t="s">
        <v>3</v>
      </c>
      <c r="O38" s="4">
        <v>2</v>
      </c>
      <c r="P38" s="4"/>
      <c r="Q38" s="4"/>
      <c r="R38" s="4"/>
      <c r="S38" s="4"/>
      <c r="T38" s="4"/>
      <c r="U38" s="4"/>
      <c r="V38" s="4"/>
      <c r="W38" s="4">
        <v>176926.23</v>
      </c>
      <c r="X38" s="4">
        <v>1</v>
      </c>
      <c r="Y38" s="4">
        <v>176926.23</v>
      </c>
      <c r="Z38" s="4"/>
      <c r="AA38" s="4"/>
      <c r="AB38" s="4"/>
    </row>
    <row r="39" spans="1:245" x14ac:dyDescent="0.2">
      <c r="A39" s="4">
        <v>50</v>
      </c>
      <c r="B39" s="4">
        <v>0</v>
      </c>
      <c r="C39" s="4">
        <v>0</v>
      </c>
      <c r="D39" s="4">
        <v>1</v>
      </c>
      <c r="E39" s="4">
        <v>202</v>
      </c>
      <c r="F39" s="4">
        <f>ROUND(Source!P36,O39)</f>
        <v>0</v>
      </c>
      <c r="G39" s="4" t="s">
        <v>63</v>
      </c>
      <c r="H39" s="4" t="s">
        <v>64</v>
      </c>
      <c r="I39" s="4"/>
      <c r="J39" s="4"/>
      <c r="K39" s="4">
        <v>202</v>
      </c>
      <c r="L39" s="4">
        <v>2</v>
      </c>
      <c r="M39" s="4">
        <v>3</v>
      </c>
      <c r="N39" s="4" t="s">
        <v>3</v>
      </c>
      <c r="O39" s="4">
        <v>2</v>
      </c>
      <c r="P39" s="4"/>
      <c r="Q39" s="4"/>
      <c r="R39" s="4"/>
      <c r="S39" s="4"/>
      <c r="T39" s="4"/>
      <c r="U39" s="4"/>
      <c r="V39" s="4"/>
      <c r="W39" s="4">
        <v>0</v>
      </c>
      <c r="X39" s="4">
        <v>1</v>
      </c>
      <c r="Y39" s="4">
        <v>0</v>
      </c>
      <c r="Z39" s="4"/>
      <c r="AA39" s="4"/>
      <c r="AB39" s="4"/>
    </row>
    <row r="40" spans="1:245" x14ac:dyDescent="0.2">
      <c r="A40" s="4">
        <v>50</v>
      </c>
      <c r="B40" s="4">
        <v>0</v>
      </c>
      <c r="C40" s="4">
        <v>0</v>
      </c>
      <c r="D40" s="4">
        <v>1</v>
      </c>
      <c r="E40" s="4">
        <v>227</v>
      </c>
      <c r="F40" s="4">
        <f>ROUND(Source!AO36,O40)</f>
        <v>0</v>
      </c>
      <c r="G40" s="4" t="s">
        <v>65</v>
      </c>
      <c r="H40" s="4" t="s">
        <v>66</v>
      </c>
      <c r="I40" s="4"/>
      <c r="J40" s="4"/>
      <c r="K40" s="4">
        <v>222</v>
      </c>
      <c r="L40" s="4">
        <v>3</v>
      </c>
      <c r="M40" s="4">
        <v>3</v>
      </c>
      <c r="N40" s="4" t="s">
        <v>3</v>
      </c>
      <c r="O40" s="4">
        <v>2</v>
      </c>
      <c r="P40" s="4"/>
      <c r="Q40" s="4"/>
      <c r="R40" s="4"/>
      <c r="S40" s="4"/>
      <c r="T40" s="4"/>
      <c r="U40" s="4"/>
      <c r="V40" s="4"/>
      <c r="W40" s="4">
        <v>0</v>
      </c>
      <c r="X40" s="4">
        <v>1</v>
      </c>
      <c r="Y40" s="4">
        <v>0</v>
      </c>
      <c r="Z40" s="4"/>
      <c r="AA40" s="4"/>
      <c r="AB40" s="4"/>
    </row>
    <row r="41" spans="1:245" x14ac:dyDescent="0.2">
      <c r="A41" s="4">
        <v>50</v>
      </c>
      <c r="B41" s="4">
        <v>0</v>
      </c>
      <c r="C41" s="4">
        <v>0</v>
      </c>
      <c r="D41" s="4">
        <v>1</v>
      </c>
      <c r="E41" s="4">
        <v>225</v>
      </c>
      <c r="F41" s="4">
        <f>ROUND(Source!AV36,O41)</f>
        <v>0</v>
      </c>
      <c r="G41" s="4" t="s">
        <v>67</v>
      </c>
      <c r="H41" s="4" t="s">
        <v>68</v>
      </c>
      <c r="I41" s="4"/>
      <c r="J41" s="4"/>
      <c r="K41" s="4">
        <v>225</v>
      </c>
      <c r="L41" s="4">
        <v>4</v>
      </c>
      <c r="M41" s="4">
        <v>3</v>
      </c>
      <c r="N41" s="4" t="s">
        <v>3</v>
      </c>
      <c r="O41" s="4">
        <v>2</v>
      </c>
      <c r="P41" s="4"/>
      <c r="Q41" s="4"/>
      <c r="R41" s="4"/>
      <c r="S41" s="4"/>
      <c r="T41" s="4"/>
      <c r="U41" s="4"/>
      <c r="V41" s="4"/>
      <c r="W41" s="4">
        <v>0</v>
      </c>
      <c r="X41" s="4">
        <v>1</v>
      </c>
      <c r="Y41" s="4">
        <v>0</v>
      </c>
      <c r="Z41" s="4"/>
      <c r="AA41" s="4"/>
      <c r="AB41" s="4"/>
    </row>
    <row r="42" spans="1:245" x14ac:dyDescent="0.2">
      <c r="A42" s="4">
        <v>50</v>
      </c>
      <c r="B42" s="4">
        <v>0</v>
      </c>
      <c r="C42" s="4">
        <v>0</v>
      </c>
      <c r="D42" s="4">
        <v>1</v>
      </c>
      <c r="E42" s="4">
        <v>226</v>
      </c>
      <c r="F42" s="4">
        <f>ROUND(Source!AW36,O42)</f>
        <v>0</v>
      </c>
      <c r="G42" s="4" t="s">
        <v>69</v>
      </c>
      <c r="H42" s="4" t="s">
        <v>70</v>
      </c>
      <c r="I42" s="4"/>
      <c r="J42" s="4"/>
      <c r="K42" s="4">
        <v>226</v>
      </c>
      <c r="L42" s="4">
        <v>5</v>
      </c>
      <c r="M42" s="4">
        <v>3</v>
      </c>
      <c r="N42" s="4" t="s">
        <v>3</v>
      </c>
      <c r="O42" s="4">
        <v>2</v>
      </c>
      <c r="P42" s="4"/>
      <c r="Q42" s="4"/>
      <c r="R42" s="4"/>
      <c r="S42" s="4"/>
      <c r="T42" s="4"/>
      <c r="U42" s="4"/>
      <c r="V42" s="4"/>
      <c r="W42" s="4">
        <v>0</v>
      </c>
      <c r="X42" s="4">
        <v>1</v>
      </c>
      <c r="Y42" s="4">
        <v>0</v>
      </c>
      <c r="Z42" s="4"/>
      <c r="AA42" s="4"/>
      <c r="AB42" s="4"/>
    </row>
    <row r="43" spans="1:245" x14ac:dyDescent="0.2">
      <c r="A43" s="4">
        <v>50</v>
      </c>
      <c r="B43" s="4">
        <v>0</v>
      </c>
      <c r="C43" s="4">
        <v>0</v>
      </c>
      <c r="D43" s="4">
        <v>1</v>
      </c>
      <c r="E43" s="4">
        <v>0</v>
      </c>
      <c r="F43" s="4">
        <f>ROUND(Source!AX36,O43)</f>
        <v>0</v>
      </c>
      <c r="G43" s="4" t="s">
        <v>71</v>
      </c>
      <c r="H43" s="4" t="s">
        <v>72</v>
      </c>
      <c r="I43" s="4"/>
      <c r="J43" s="4"/>
      <c r="K43" s="4">
        <v>227</v>
      </c>
      <c r="L43" s="4">
        <v>6</v>
      </c>
      <c r="M43" s="4">
        <v>3</v>
      </c>
      <c r="N43" s="4" t="s">
        <v>3</v>
      </c>
      <c r="O43" s="4">
        <v>2</v>
      </c>
      <c r="P43" s="4"/>
      <c r="Q43" s="4"/>
      <c r="R43" s="4"/>
      <c r="S43" s="4"/>
      <c r="T43" s="4"/>
      <c r="U43" s="4"/>
      <c r="V43" s="4"/>
      <c r="W43" s="4">
        <v>0</v>
      </c>
      <c r="X43" s="4">
        <v>1</v>
      </c>
      <c r="Y43" s="4">
        <v>0</v>
      </c>
      <c r="Z43" s="4"/>
      <c r="AA43" s="4"/>
      <c r="AB43" s="4"/>
    </row>
    <row r="44" spans="1:245" x14ac:dyDescent="0.2">
      <c r="A44" s="4">
        <v>50</v>
      </c>
      <c r="B44" s="4">
        <v>0</v>
      </c>
      <c r="C44" s="4">
        <v>0</v>
      </c>
      <c r="D44" s="4">
        <v>1</v>
      </c>
      <c r="E44" s="4">
        <v>228</v>
      </c>
      <c r="F44" s="4">
        <f>ROUND(Source!AY36,O44)</f>
        <v>0</v>
      </c>
      <c r="G44" s="4" t="s">
        <v>73</v>
      </c>
      <c r="H44" s="4" t="s">
        <v>74</v>
      </c>
      <c r="I44" s="4"/>
      <c r="J44" s="4"/>
      <c r="K44" s="4">
        <v>228</v>
      </c>
      <c r="L44" s="4">
        <v>7</v>
      </c>
      <c r="M44" s="4">
        <v>3</v>
      </c>
      <c r="N44" s="4" t="s">
        <v>3</v>
      </c>
      <c r="O44" s="4">
        <v>2</v>
      </c>
      <c r="P44" s="4"/>
      <c r="Q44" s="4"/>
      <c r="R44" s="4"/>
      <c r="S44" s="4"/>
      <c r="T44" s="4"/>
      <c r="U44" s="4"/>
      <c r="V44" s="4"/>
      <c r="W44" s="4">
        <v>0</v>
      </c>
      <c r="X44" s="4">
        <v>1</v>
      </c>
      <c r="Y44" s="4">
        <v>0</v>
      </c>
      <c r="Z44" s="4"/>
      <c r="AA44" s="4"/>
      <c r="AB44" s="4"/>
    </row>
    <row r="45" spans="1:245" x14ac:dyDescent="0.2">
      <c r="A45" s="4">
        <v>50</v>
      </c>
      <c r="B45" s="4">
        <v>0</v>
      </c>
      <c r="C45" s="4">
        <v>0</v>
      </c>
      <c r="D45" s="4">
        <v>1</v>
      </c>
      <c r="E45" s="4">
        <v>216</v>
      </c>
      <c r="F45" s="4">
        <f>ROUND(Source!AP36,O45)</f>
        <v>0</v>
      </c>
      <c r="G45" s="4" t="s">
        <v>75</v>
      </c>
      <c r="H45" s="4" t="s">
        <v>76</v>
      </c>
      <c r="I45" s="4"/>
      <c r="J45" s="4"/>
      <c r="K45" s="4">
        <v>216</v>
      </c>
      <c r="L45" s="4">
        <v>8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>
        <v>0</v>
      </c>
      <c r="X45" s="4">
        <v>1</v>
      </c>
      <c r="Y45" s="4">
        <v>0</v>
      </c>
      <c r="Z45" s="4"/>
      <c r="AA45" s="4"/>
      <c r="AB45" s="4"/>
    </row>
    <row r="46" spans="1:245" x14ac:dyDescent="0.2">
      <c r="A46" s="4">
        <v>50</v>
      </c>
      <c r="B46" s="4">
        <v>0</v>
      </c>
      <c r="C46" s="4">
        <v>0</v>
      </c>
      <c r="D46" s="4">
        <v>1</v>
      </c>
      <c r="E46" s="4">
        <v>223</v>
      </c>
      <c r="F46" s="4">
        <f>ROUND(Source!AQ36,O46)</f>
        <v>0</v>
      </c>
      <c r="G46" s="4" t="s">
        <v>77</v>
      </c>
      <c r="H46" s="4" t="s">
        <v>78</v>
      </c>
      <c r="I46" s="4"/>
      <c r="J46" s="4"/>
      <c r="K46" s="4">
        <v>223</v>
      </c>
      <c r="L46" s="4">
        <v>9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0</v>
      </c>
      <c r="X46" s="4">
        <v>1</v>
      </c>
      <c r="Y46" s="4">
        <v>0</v>
      </c>
      <c r="Z46" s="4"/>
      <c r="AA46" s="4"/>
      <c r="AB46" s="4"/>
    </row>
    <row r="47" spans="1:245" x14ac:dyDescent="0.2">
      <c r="A47" s="4">
        <v>50</v>
      </c>
      <c r="B47" s="4">
        <v>0</v>
      </c>
      <c r="C47" s="4">
        <v>0</v>
      </c>
      <c r="D47" s="4">
        <v>1</v>
      </c>
      <c r="E47" s="4">
        <v>229</v>
      </c>
      <c r="F47" s="4">
        <f>ROUND(Source!AZ36,O47)</f>
        <v>0</v>
      </c>
      <c r="G47" s="4" t="s">
        <v>79</v>
      </c>
      <c r="H47" s="4" t="s">
        <v>80</v>
      </c>
      <c r="I47" s="4"/>
      <c r="J47" s="4"/>
      <c r="K47" s="4">
        <v>229</v>
      </c>
      <c r="L47" s="4">
        <v>10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0</v>
      </c>
      <c r="X47" s="4">
        <v>1</v>
      </c>
      <c r="Y47" s="4">
        <v>0</v>
      </c>
      <c r="Z47" s="4"/>
      <c r="AA47" s="4"/>
      <c r="AB47" s="4"/>
    </row>
    <row r="48" spans="1:245" x14ac:dyDescent="0.2">
      <c r="A48" s="4">
        <v>50</v>
      </c>
      <c r="B48" s="4">
        <v>0</v>
      </c>
      <c r="C48" s="4">
        <v>0</v>
      </c>
      <c r="D48" s="4">
        <v>1</v>
      </c>
      <c r="E48" s="4">
        <v>203</v>
      </c>
      <c r="F48" s="4">
        <f>ROUND(Source!Q36,O48)</f>
        <v>19572.71</v>
      </c>
      <c r="G48" s="4" t="s">
        <v>81</v>
      </c>
      <c r="H48" s="4" t="s">
        <v>82</v>
      </c>
      <c r="I48" s="4"/>
      <c r="J48" s="4"/>
      <c r="K48" s="4">
        <v>203</v>
      </c>
      <c r="L48" s="4">
        <v>11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19572.71</v>
      </c>
      <c r="X48" s="4">
        <v>1</v>
      </c>
      <c r="Y48" s="4">
        <v>19572.71</v>
      </c>
      <c r="Z48" s="4"/>
      <c r="AA48" s="4"/>
      <c r="AB48" s="4"/>
    </row>
    <row r="49" spans="1:28" x14ac:dyDescent="0.2">
      <c r="A49" s="4">
        <v>50</v>
      </c>
      <c r="B49" s="4">
        <v>0</v>
      </c>
      <c r="C49" s="4">
        <v>0</v>
      </c>
      <c r="D49" s="4">
        <v>1</v>
      </c>
      <c r="E49" s="4">
        <v>231</v>
      </c>
      <c r="F49" s="4">
        <f>ROUND(Source!BB36,O49)</f>
        <v>0</v>
      </c>
      <c r="G49" s="4" t="s">
        <v>83</v>
      </c>
      <c r="H49" s="4" t="s">
        <v>84</v>
      </c>
      <c r="I49" s="4"/>
      <c r="J49" s="4"/>
      <c r="K49" s="4">
        <v>231</v>
      </c>
      <c r="L49" s="4">
        <v>12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>
        <v>0</v>
      </c>
      <c r="X49" s="4">
        <v>1</v>
      </c>
      <c r="Y49" s="4">
        <v>0</v>
      </c>
      <c r="Z49" s="4"/>
      <c r="AA49" s="4"/>
      <c r="AB49" s="4"/>
    </row>
    <row r="50" spans="1:28" x14ac:dyDescent="0.2">
      <c r="A50" s="4">
        <v>50</v>
      </c>
      <c r="B50" s="4">
        <v>0</v>
      </c>
      <c r="C50" s="4">
        <v>0</v>
      </c>
      <c r="D50" s="4">
        <v>1</v>
      </c>
      <c r="E50" s="4">
        <v>204</v>
      </c>
      <c r="F50" s="4">
        <f>ROUND(Source!R36,O50)</f>
        <v>3484.13</v>
      </c>
      <c r="G50" s="4" t="s">
        <v>85</v>
      </c>
      <c r="H50" s="4" t="s">
        <v>86</v>
      </c>
      <c r="I50" s="4"/>
      <c r="J50" s="4"/>
      <c r="K50" s="4">
        <v>204</v>
      </c>
      <c r="L50" s="4">
        <v>13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>
        <v>3484.13</v>
      </c>
      <c r="X50" s="4">
        <v>1</v>
      </c>
      <c r="Y50" s="4">
        <v>3484.13</v>
      </c>
      <c r="Z50" s="4"/>
      <c r="AA50" s="4"/>
      <c r="AB50" s="4"/>
    </row>
    <row r="51" spans="1:28" x14ac:dyDescent="0.2">
      <c r="A51" s="4">
        <v>50</v>
      </c>
      <c r="B51" s="4">
        <v>0</v>
      </c>
      <c r="C51" s="4">
        <v>0</v>
      </c>
      <c r="D51" s="4">
        <v>1</v>
      </c>
      <c r="E51" s="4">
        <v>205</v>
      </c>
      <c r="F51" s="4">
        <f>ROUND(Source!S36,O51)</f>
        <v>157353.51999999999</v>
      </c>
      <c r="G51" s="4" t="s">
        <v>87</v>
      </c>
      <c r="H51" s="4" t="s">
        <v>88</v>
      </c>
      <c r="I51" s="4"/>
      <c r="J51" s="4"/>
      <c r="K51" s="4">
        <v>205</v>
      </c>
      <c r="L51" s="4">
        <v>14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157353.51999999999</v>
      </c>
      <c r="X51" s="4">
        <v>1</v>
      </c>
      <c r="Y51" s="4">
        <v>157353.51999999999</v>
      </c>
      <c r="Z51" s="4"/>
      <c r="AA51" s="4"/>
      <c r="AB51" s="4"/>
    </row>
    <row r="52" spans="1:28" x14ac:dyDescent="0.2">
      <c r="A52" s="4">
        <v>50</v>
      </c>
      <c r="B52" s="4">
        <v>0</v>
      </c>
      <c r="C52" s="4">
        <v>0</v>
      </c>
      <c r="D52" s="4">
        <v>1</v>
      </c>
      <c r="E52" s="4">
        <v>232</v>
      </c>
      <c r="F52" s="4">
        <f>ROUND(Source!BC36,O52)</f>
        <v>0</v>
      </c>
      <c r="G52" s="4" t="s">
        <v>89</v>
      </c>
      <c r="H52" s="4" t="s">
        <v>90</v>
      </c>
      <c r="I52" s="4"/>
      <c r="J52" s="4"/>
      <c r="K52" s="4">
        <v>232</v>
      </c>
      <c r="L52" s="4">
        <v>15</v>
      </c>
      <c r="M52" s="4">
        <v>3</v>
      </c>
      <c r="N52" s="4" t="s">
        <v>3</v>
      </c>
      <c r="O52" s="4">
        <v>2</v>
      </c>
      <c r="P52" s="4"/>
      <c r="Q52" s="4"/>
      <c r="R52" s="4"/>
      <c r="S52" s="4"/>
      <c r="T52" s="4"/>
      <c r="U52" s="4"/>
      <c r="V52" s="4"/>
      <c r="W52" s="4">
        <v>0</v>
      </c>
      <c r="X52" s="4">
        <v>1</v>
      </c>
      <c r="Y52" s="4">
        <v>0</v>
      </c>
      <c r="Z52" s="4"/>
      <c r="AA52" s="4"/>
      <c r="AB52" s="4"/>
    </row>
    <row r="53" spans="1:28" x14ac:dyDescent="0.2">
      <c r="A53" s="4">
        <v>50</v>
      </c>
      <c r="B53" s="4">
        <v>0</v>
      </c>
      <c r="C53" s="4">
        <v>0</v>
      </c>
      <c r="D53" s="4">
        <v>1</v>
      </c>
      <c r="E53" s="4">
        <v>214</v>
      </c>
      <c r="F53" s="4">
        <f>ROUND(Source!AS36,O53)</f>
        <v>25147.32</v>
      </c>
      <c r="G53" s="4" t="s">
        <v>91</v>
      </c>
      <c r="H53" s="4" t="s">
        <v>92</v>
      </c>
      <c r="I53" s="4"/>
      <c r="J53" s="4"/>
      <c r="K53" s="4">
        <v>214</v>
      </c>
      <c r="L53" s="4">
        <v>16</v>
      </c>
      <c r="M53" s="4">
        <v>3</v>
      </c>
      <c r="N53" s="4" t="s">
        <v>3</v>
      </c>
      <c r="O53" s="4">
        <v>2</v>
      </c>
      <c r="P53" s="4"/>
      <c r="Q53" s="4"/>
      <c r="R53" s="4"/>
      <c r="S53" s="4"/>
      <c r="T53" s="4"/>
      <c r="U53" s="4"/>
      <c r="V53" s="4"/>
      <c r="W53" s="4">
        <v>25147.32</v>
      </c>
      <c r="X53" s="4">
        <v>1</v>
      </c>
      <c r="Y53" s="4">
        <v>25147.32</v>
      </c>
      <c r="Z53" s="4"/>
      <c r="AA53" s="4"/>
      <c r="AB53" s="4"/>
    </row>
    <row r="54" spans="1:28" x14ac:dyDescent="0.2">
      <c r="A54" s="4">
        <v>50</v>
      </c>
      <c r="B54" s="4">
        <v>0</v>
      </c>
      <c r="C54" s="4">
        <v>0</v>
      </c>
      <c r="D54" s="4">
        <v>1</v>
      </c>
      <c r="E54" s="4">
        <v>215</v>
      </c>
      <c r="F54" s="4">
        <f>ROUND(Source!AT36,O54)</f>
        <v>0</v>
      </c>
      <c r="G54" s="4" t="s">
        <v>93</v>
      </c>
      <c r="H54" s="4" t="s">
        <v>94</v>
      </c>
      <c r="I54" s="4"/>
      <c r="J54" s="4"/>
      <c r="K54" s="4">
        <v>215</v>
      </c>
      <c r="L54" s="4">
        <v>17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0</v>
      </c>
      <c r="X54" s="4">
        <v>1</v>
      </c>
      <c r="Y54" s="4">
        <v>0</v>
      </c>
      <c r="Z54" s="4"/>
      <c r="AA54" s="4"/>
      <c r="AB54" s="4"/>
    </row>
    <row r="55" spans="1:28" x14ac:dyDescent="0.2">
      <c r="A55" s="4">
        <v>50</v>
      </c>
      <c r="B55" s="4">
        <v>0</v>
      </c>
      <c r="C55" s="4">
        <v>0</v>
      </c>
      <c r="D55" s="4">
        <v>1</v>
      </c>
      <c r="E55" s="4">
        <v>217</v>
      </c>
      <c r="F55" s="4">
        <f>ROUND(Source!AU36,O55)</f>
        <v>332015.94</v>
      </c>
      <c r="G55" s="4" t="s">
        <v>95</v>
      </c>
      <c r="H55" s="4" t="s">
        <v>96</v>
      </c>
      <c r="I55" s="4"/>
      <c r="J55" s="4"/>
      <c r="K55" s="4">
        <v>217</v>
      </c>
      <c r="L55" s="4">
        <v>18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332015.94</v>
      </c>
      <c r="X55" s="4">
        <v>1</v>
      </c>
      <c r="Y55" s="4">
        <v>332015.94</v>
      </c>
      <c r="Z55" s="4"/>
      <c r="AA55" s="4"/>
      <c r="AB55" s="4"/>
    </row>
    <row r="56" spans="1:28" x14ac:dyDescent="0.2">
      <c r="A56" s="4">
        <v>50</v>
      </c>
      <c r="B56" s="4">
        <v>0</v>
      </c>
      <c r="C56" s="4">
        <v>0</v>
      </c>
      <c r="D56" s="4">
        <v>1</v>
      </c>
      <c r="E56" s="4">
        <v>230</v>
      </c>
      <c r="F56" s="4">
        <f>ROUND(Source!BA36,O56)</f>
        <v>0</v>
      </c>
      <c r="G56" s="4" t="s">
        <v>97</v>
      </c>
      <c r="H56" s="4" t="s">
        <v>98</v>
      </c>
      <c r="I56" s="4"/>
      <c r="J56" s="4"/>
      <c r="K56" s="4">
        <v>230</v>
      </c>
      <c r="L56" s="4">
        <v>19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>
        <v>0</v>
      </c>
      <c r="X56" s="4">
        <v>1</v>
      </c>
      <c r="Y56" s="4">
        <v>0</v>
      </c>
      <c r="Z56" s="4"/>
      <c r="AA56" s="4"/>
      <c r="AB56" s="4"/>
    </row>
    <row r="57" spans="1:28" x14ac:dyDescent="0.2">
      <c r="A57" s="4">
        <v>50</v>
      </c>
      <c r="B57" s="4">
        <v>0</v>
      </c>
      <c r="C57" s="4">
        <v>0</v>
      </c>
      <c r="D57" s="4">
        <v>1</v>
      </c>
      <c r="E57" s="4">
        <v>206</v>
      </c>
      <c r="F57" s="4">
        <f>ROUND(Source!T36,O57)</f>
        <v>0</v>
      </c>
      <c r="G57" s="4" t="s">
        <v>99</v>
      </c>
      <c r="H57" s="4" t="s">
        <v>100</v>
      </c>
      <c r="I57" s="4"/>
      <c r="J57" s="4"/>
      <c r="K57" s="4">
        <v>206</v>
      </c>
      <c r="L57" s="4">
        <v>20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>
        <v>0</v>
      </c>
      <c r="X57" s="4">
        <v>1</v>
      </c>
      <c r="Y57" s="4">
        <v>0</v>
      </c>
      <c r="Z57" s="4"/>
      <c r="AA57" s="4"/>
      <c r="AB57" s="4"/>
    </row>
    <row r="58" spans="1:28" x14ac:dyDescent="0.2">
      <c r="A58" s="4">
        <v>50</v>
      </c>
      <c r="B58" s="4">
        <v>0</v>
      </c>
      <c r="C58" s="4">
        <v>0</v>
      </c>
      <c r="D58" s="4">
        <v>1</v>
      </c>
      <c r="E58" s="4">
        <v>207</v>
      </c>
      <c r="F58" s="4">
        <f>ROUND(Source!U36,O58)</f>
        <v>296.42</v>
      </c>
      <c r="G58" s="4" t="s">
        <v>101</v>
      </c>
      <c r="H58" s="4" t="s">
        <v>102</v>
      </c>
      <c r="I58" s="4"/>
      <c r="J58" s="4"/>
      <c r="K58" s="4">
        <v>207</v>
      </c>
      <c r="L58" s="4">
        <v>21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>
        <v>296.42</v>
      </c>
      <c r="X58" s="4">
        <v>1</v>
      </c>
      <c r="Y58" s="4">
        <v>296.42</v>
      </c>
      <c r="Z58" s="4"/>
      <c r="AA58" s="4"/>
      <c r="AB58" s="4"/>
    </row>
    <row r="59" spans="1:28" x14ac:dyDescent="0.2">
      <c r="A59" s="4">
        <v>50</v>
      </c>
      <c r="B59" s="4">
        <v>0</v>
      </c>
      <c r="C59" s="4">
        <v>0</v>
      </c>
      <c r="D59" s="4">
        <v>1</v>
      </c>
      <c r="E59" s="4">
        <v>208</v>
      </c>
      <c r="F59" s="4">
        <f>ROUND(Source!V36,O59)</f>
        <v>0</v>
      </c>
      <c r="G59" s="4" t="s">
        <v>103</v>
      </c>
      <c r="H59" s="4" t="s">
        <v>104</v>
      </c>
      <c r="I59" s="4"/>
      <c r="J59" s="4"/>
      <c r="K59" s="4">
        <v>208</v>
      </c>
      <c r="L59" s="4">
        <v>22</v>
      </c>
      <c r="M59" s="4">
        <v>3</v>
      </c>
      <c r="N59" s="4" t="s">
        <v>3</v>
      </c>
      <c r="O59" s="4">
        <v>2</v>
      </c>
      <c r="P59" s="4"/>
      <c r="Q59" s="4"/>
      <c r="R59" s="4"/>
      <c r="S59" s="4"/>
      <c r="T59" s="4"/>
      <c r="U59" s="4"/>
      <c r="V59" s="4"/>
      <c r="W59" s="4">
        <v>0</v>
      </c>
      <c r="X59" s="4">
        <v>1</v>
      </c>
      <c r="Y59" s="4">
        <v>0</v>
      </c>
      <c r="Z59" s="4"/>
      <c r="AA59" s="4"/>
      <c r="AB59" s="4"/>
    </row>
    <row r="60" spans="1:28" x14ac:dyDescent="0.2">
      <c r="A60" s="4">
        <v>50</v>
      </c>
      <c r="B60" s="4">
        <v>0</v>
      </c>
      <c r="C60" s="4">
        <v>0</v>
      </c>
      <c r="D60" s="4">
        <v>1</v>
      </c>
      <c r="E60" s="4">
        <v>209</v>
      </c>
      <c r="F60" s="4">
        <f>ROUND(Source!W36,O60)</f>
        <v>0</v>
      </c>
      <c r="G60" s="4" t="s">
        <v>105</v>
      </c>
      <c r="H60" s="4" t="s">
        <v>106</v>
      </c>
      <c r="I60" s="4"/>
      <c r="J60" s="4"/>
      <c r="K60" s="4">
        <v>209</v>
      </c>
      <c r="L60" s="4">
        <v>23</v>
      </c>
      <c r="M60" s="4">
        <v>3</v>
      </c>
      <c r="N60" s="4" t="s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>
        <v>0</v>
      </c>
      <c r="X60" s="4">
        <v>1</v>
      </c>
      <c r="Y60" s="4">
        <v>0</v>
      </c>
      <c r="Z60" s="4"/>
      <c r="AA60" s="4"/>
      <c r="AB60" s="4"/>
    </row>
    <row r="61" spans="1:28" x14ac:dyDescent="0.2">
      <c r="A61" s="4">
        <v>50</v>
      </c>
      <c r="B61" s="4">
        <v>0</v>
      </c>
      <c r="C61" s="4">
        <v>0</v>
      </c>
      <c r="D61" s="4">
        <v>1</v>
      </c>
      <c r="E61" s="4">
        <v>233</v>
      </c>
      <c r="F61" s="4">
        <f>ROUND(Source!BD36,O61)</f>
        <v>0</v>
      </c>
      <c r="G61" s="4" t="s">
        <v>107</v>
      </c>
      <c r="H61" s="4" t="s">
        <v>108</v>
      </c>
      <c r="I61" s="4"/>
      <c r="J61" s="4"/>
      <c r="K61" s="4">
        <v>233</v>
      </c>
      <c r="L61" s="4">
        <v>24</v>
      </c>
      <c r="M61" s="4">
        <v>3</v>
      </c>
      <c r="N61" s="4" t="s">
        <v>3</v>
      </c>
      <c r="O61" s="4">
        <v>2</v>
      </c>
      <c r="P61" s="4"/>
      <c r="Q61" s="4"/>
      <c r="R61" s="4"/>
      <c r="S61" s="4"/>
      <c r="T61" s="4"/>
      <c r="U61" s="4"/>
      <c r="V61" s="4"/>
      <c r="W61" s="4">
        <v>0</v>
      </c>
      <c r="X61" s="4">
        <v>1</v>
      </c>
      <c r="Y61" s="4">
        <v>0</v>
      </c>
      <c r="Z61" s="4"/>
      <c r="AA61" s="4"/>
      <c r="AB61" s="4"/>
    </row>
    <row r="62" spans="1:28" x14ac:dyDescent="0.2">
      <c r="A62" s="4">
        <v>50</v>
      </c>
      <c r="B62" s="4">
        <v>0</v>
      </c>
      <c r="C62" s="4">
        <v>0</v>
      </c>
      <c r="D62" s="4">
        <v>1</v>
      </c>
      <c r="E62" s="4">
        <v>210</v>
      </c>
      <c r="F62" s="4">
        <f>ROUND(Source!X36,O62)</f>
        <v>110147.47</v>
      </c>
      <c r="G62" s="4" t="s">
        <v>109</v>
      </c>
      <c r="H62" s="4" t="s">
        <v>110</v>
      </c>
      <c r="I62" s="4"/>
      <c r="J62" s="4"/>
      <c r="K62" s="4">
        <v>210</v>
      </c>
      <c r="L62" s="4">
        <v>25</v>
      </c>
      <c r="M62" s="4">
        <v>3</v>
      </c>
      <c r="N62" s="4" t="s">
        <v>3</v>
      </c>
      <c r="O62" s="4">
        <v>2</v>
      </c>
      <c r="P62" s="4"/>
      <c r="Q62" s="4"/>
      <c r="R62" s="4"/>
      <c r="S62" s="4"/>
      <c r="T62" s="4"/>
      <c r="U62" s="4"/>
      <c r="V62" s="4"/>
      <c r="W62" s="4">
        <v>110147.47</v>
      </c>
      <c r="X62" s="4">
        <v>1</v>
      </c>
      <c r="Y62" s="4">
        <v>110147.47</v>
      </c>
      <c r="Z62" s="4"/>
      <c r="AA62" s="4"/>
      <c r="AB62" s="4"/>
    </row>
    <row r="63" spans="1:28" x14ac:dyDescent="0.2">
      <c r="A63" s="4">
        <v>50</v>
      </c>
      <c r="B63" s="4">
        <v>0</v>
      </c>
      <c r="C63" s="4">
        <v>0</v>
      </c>
      <c r="D63" s="4">
        <v>1</v>
      </c>
      <c r="E63" s="4">
        <v>211</v>
      </c>
      <c r="F63" s="4">
        <f>ROUND(Source!Y36,O63)</f>
        <v>64514.95</v>
      </c>
      <c r="G63" s="4" t="s">
        <v>111</v>
      </c>
      <c r="H63" s="4" t="s">
        <v>112</v>
      </c>
      <c r="I63" s="4"/>
      <c r="J63" s="4"/>
      <c r="K63" s="4">
        <v>211</v>
      </c>
      <c r="L63" s="4">
        <v>26</v>
      </c>
      <c r="M63" s="4">
        <v>3</v>
      </c>
      <c r="N63" s="4" t="s">
        <v>3</v>
      </c>
      <c r="O63" s="4">
        <v>2</v>
      </c>
      <c r="P63" s="4"/>
      <c r="Q63" s="4"/>
      <c r="R63" s="4"/>
      <c r="S63" s="4"/>
      <c r="T63" s="4"/>
      <c r="U63" s="4"/>
      <c r="V63" s="4"/>
      <c r="W63" s="4">
        <v>64514.95</v>
      </c>
      <c r="X63" s="4">
        <v>1</v>
      </c>
      <c r="Y63" s="4">
        <v>64514.95</v>
      </c>
      <c r="Z63" s="4"/>
      <c r="AA63" s="4"/>
      <c r="AB63" s="4"/>
    </row>
    <row r="64" spans="1:28" x14ac:dyDescent="0.2">
      <c r="A64" s="4">
        <v>50</v>
      </c>
      <c r="B64" s="4">
        <v>0</v>
      </c>
      <c r="C64" s="4">
        <v>0</v>
      </c>
      <c r="D64" s="4">
        <v>1</v>
      </c>
      <c r="E64" s="4">
        <v>224</v>
      </c>
      <c r="F64" s="4">
        <f>ROUND(Source!AR36,O64)</f>
        <v>357163.26</v>
      </c>
      <c r="G64" s="4" t="s">
        <v>113</v>
      </c>
      <c r="H64" s="4" t="s">
        <v>114</v>
      </c>
      <c r="I64" s="4"/>
      <c r="J64" s="4"/>
      <c r="K64" s="4">
        <v>224</v>
      </c>
      <c r="L64" s="4">
        <v>27</v>
      </c>
      <c r="M64" s="4">
        <v>3</v>
      </c>
      <c r="N64" s="4" t="s">
        <v>3</v>
      </c>
      <c r="O64" s="4">
        <v>2</v>
      </c>
      <c r="P64" s="4"/>
      <c r="Q64" s="4"/>
      <c r="R64" s="4"/>
      <c r="S64" s="4"/>
      <c r="T64" s="4"/>
      <c r="U64" s="4"/>
      <c r="V64" s="4"/>
      <c r="W64" s="4">
        <v>357163.26</v>
      </c>
      <c r="X64" s="4">
        <v>1</v>
      </c>
      <c r="Y64" s="4">
        <v>357163.26</v>
      </c>
      <c r="Z64" s="4"/>
      <c r="AA64" s="4"/>
      <c r="AB64" s="4"/>
    </row>
    <row r="66" spans="1:206" x14ac:dyDescent="0.2">
      <c r="A66" s="2">
        <v>51</v>
      </c>
      <c r="B66" s="2">
        <f>B20</f>
        <v>1</v>
      </c>
      <c r="C66" s="2">
        <f>A20</f>
        <v>3</v>
      </c>
      <c r="D66" s="2">
        <f>ROW(A20)</f>
        <v>20</v>
      </c>
      <c r="E66" s="2"/>
      <c r="F66" s="2" t="str">
        <f>IF(F20&lt;&gt;"",F20,"")</f>
        <v>Новая локальная смета</v>
      </c>
      <c r="G66" s="2" t="str">
        <f>IF(G20&lt;&gt;"",G20,"")</f>
        <v>Новая локальная смета</v>
      </c>
      <c r="H66" s="2">
        <v>0</v>
      </c>
      <c r="I66" s="2"/>
      <c r="J66" s="2"/>
      <c r="K66" s="2"/>
      <c r="L66" s="2"/>
      <c r="M66" s="2"/>
      <c r="N66" s="2"/>
      <c r="O66" s="2">
        <f t="shared" ref="O66:T66" si="57">ROUND(O36+AB66,2)</f>
        <v>176926.23</v>
      </c>
      <c r="P66" s="2">
        <f t="shared" si="57"/>
        <v>0</v>
      </c>
      <c r="Q66" s="2">
        <f t="shared" si="57"/>
        <v>19572.71</v>
      </c>
      <c r="R66" s="2">
        <f t="shared" si="57"/>
        <v>3484.13</v>
      </c>
      <c r="S66" s="2">
        <f t="shared" si="57"/>
        <v>157353.51999999999</v>
      </c>
      <c r="T66" s="2">
        <f t="shared" si="57"/>
        <v>0</v>
      </c>
      <c r="U66" s="2">
        <f>U36+AH66</f>
        <v>296.416</v>
      </c>
      <c r="V66" s="2">
        <f>V36+AI66</f>
        <v>0</v>
      </c>
      <c r="W66" s="2">
        <f>ROUND(W36+AJ66,2)</f>
        <v>0</v>
      </c>
      <c r="X66" s="2">
        <f>ROUND(X36+AK66,2)</f>
        <v>110147.47</v>
      </c>
      <c r="Y66" s="2">
        <f>ROUND(Y36+AL66,2)</f>
        <v>64514.95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>
        <f t="shared" ref="AO66:BD66" si="58">ROUND(AO36+BX66,2)</f>
        <v>0</v>
      </c>
      <c r="AP66" s="2">
        <f t="shared" si="58"/>
        <v>0</v>
      </c>
      <c r="AQ66" s="2">
        <f t="shared" si="58"/>
        <v>0</v>
      </c>
      <c r="AR66" s="2">
        <f t="shared" si="58"/>
        <v>357163.26</v>
      </c>
      <c r="AS66" s="2">
        <f t="shared" si="58"/>
        <v>25147.32</v>
      </c>
      <c r="AT66" s="2">
        <f t="shared" si="58"/>
        <v>0</v>
      </c>
      <c r="AU66" s="2">
        <f t="shared" si="58"/>
        <v>332015.94</v>
      </c>
      <c r="AV66" s="2">
        <f t="shared" si="58"/>
        <v>0</v>
      </c>
      <c r="AW66" s="2">
        <f t="shared" si="58"/>
        <v>0</v>
      </c>
      <c r="AX66" s="2">
        <f t="shared" si="58"/>
        <v>0</v>
      </c>
      <c r="AY66" s="2">
        <f t="shared" si="58"/>
        <v>0</v>
      </c>
      <c r="AZ66" s="2">
        <f t="shared" si="58"/>
        <v>0</v>
      </c>
      <c r="BA66" s="2">
        <f t="shared" si="58"/>
        <v>0</v>
      </c>
      <c r="BB66" s="2">
        <f t="shared" si="58"/>
        <v>0</v>
      </c>
      <c r="BC66" s="2">
        <f t="shared" si="58"/>
        <v>0</v>
      </c>
      <c r="BD66" s="2">
        <f t="shared" si="58"/>
        <v>0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>
        <v>0</v>
      </c>
    </row>
    <row r="68" spans="1:206" x14ac:dyDescent="0.2">
      <c r="A68" s="4">
        <v>50</v>
      </c>
      <c r="B68" s="4">
        <v>0</v>
      </c>
      <c r="C68" s="4">
        <v>0</v>
      </c>
      <c r="D68" s="4">
        <v>1</v>
      </c>
      <c r="E68" s="4">
        <v>201</v>
      </c>
      <c r="F68" s="4">
        <f>ROUND(Source!O66,O68)</f>
        <v>176926.23</v>
      </c>
      <c r="G68" s="4" t="s">
        <v>61</v>
      </c>
      <c r="H68" s="4" t="s">
        <v>62</v>
      </c>
      <c r="I68" s="4"/>
      <c r="J68" s="4"/>
      <c r="K68" s="4">
        <v>201</v>
      </c>
      <c r="L68" s="4">
        <v>1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176926.23</v>
      </c>
      <c r="X68" s="4">
        <v>1</v>
      </c>
      <c r="Y68" s="4">
        <v>176926.23</v>
      </c>
      <c r="Z68" s="4"/>
      <c r="AA68" s="4"/>
      <c r="AB68" s="4"/>
    </row>
    <row r="69" spans="1:206" x14ac:dyDescent="0.2">
      <c r="A69" s="4">
        <v>50</v>
      </c>
      <c r="B69" s="4">
        <v>0</v>
      </c>
      <c r="C69" s="4">
        <v>0</v>
      </c>
      <c r="D69" s="4">
        <v>1</v>
      </c>
      <c r="E69" s="4">
        <v>202</v>
      </c>
      <c r="F69" s="4">
        <f>ROUND(Source!P66,O69)</f>
        <v>0</v>
      </c>
      <c r="G69" s="4" t="s">
        <v>63</v>
      </c>
      <c r="H69" s="4" t="s">
        <v>64</v>
      </c>
      <c r="I69" s="4"/>
      <c r="J69" s="4"/>
      <c r="K69" s="4">
        <v>202</v>
      </c>
      <c r="L69" s="4">
        <v>2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0</v>
      </c>
      <c r="X69" s="4">
        <v>1</v>
      </c>
      <c r="Y69" s="4">
        <v>0</v>
      </c>
      <c r="Z69" s="4"/>
      <c r="AA69" s="4"/>
      <c r="AB69" s="4"/>
    </row>
    <row r="70" spans="1:206" x14ac:dyDescent="0.2">
      <c r="A70" s="4">
        <v>50</v>
      </c>
      <c r="B70" s="4">
        <v>0</v>
      </c>
      <c r="C70" s="4">
        <v>0</v>
      </c>
      <c r="D70" s="4">
        <v>1</v>
      </c>
      <c r="E70" s="4">
        <v>227</v>
      </c>
      <c r="F70" s="4">
        <f>ROUND(Source!AO66,O70)</f>
        <v>0</v>
      </c>
      <c r="G70" s="4" t="s">
        <v>65</v>
      </c>
      <c r="H70" s="4" t="s">
        <v>66</v>
      </c>
      <c r="I70" s="4"/>
      <c r="J70" s="4"/>
      <c r="K70" s="4">
        <v>222</v>
      </c>
      <c r="L70" s="4">
        <v>3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0</v>
      </c>
      <c r="X70" s="4">
        <v>1</v>
      </c>
      <c r="Y70" s="4">
        <v>0</v>
      </c>
      <c r="Z70" s="4"/>
      <c r="AA70" s="4"/>
      <c r="AB70" s="4"/>
    </row>
    <row r="71" spans="1:206" x14ac:dyDescent="0.2">
      <c r="A71" s="4">
        <v>50</v>
      </c>
      <c r="B71" s="4">
        <v>0</v>
      </c>
      <c r="C71" s="4">
        <v>0</v>
      </c>
      <c r="D71" s="4">
        <v>1</v>
      </c>
      <c r="E71" s="4">
        <v>225</v>
      </c>
      <c r="F71" s="4">
        <f>ROUND(Source!AV66,O71)</f>
        <v>0</v>
      </c>
      <c r="G71" s="4" t="s">
        <v>67</v>
      </c>
      <c r="H71" s="4" t="s">
        <v>68</v>
      </c>
      <c r="I71" s="4"/>
      <c r="J71" s="4"/>
      <c r="K71" s="4">
        <v>225</v>
      </c>
      <c r="L71" s="4">
        <v>4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0</v>
      </c>
      <c r="X71" s="4">
        <v>1</v>
      </c>
      <c r="Y71" s="4">
        <v>0</v>
      </c>
      <c r="Z71" s="4"/>
      <c r="AA71" s="4"/>
      <c r="AB71" s="4"/>
    </row>
    <row r="72" spans="1:206" x14ac:dyDescent="0.2">
      <c r="A72" s="4">
        <v>50</v>
      </c>
      <c r="B72" s="4">
        <v>0</v>
      </c>
      <c r="C72" s="4">
        <v>0</v>
      </c>
      <c r="D72" s="4">
        <v>1</v>
      </c>
      <c r="E72" s="4">
        <v>226</v>
      </c>
      <c r="F72" s="4">
        <f>ROUND(Source!AW66,O72)</f>
        <v>0</v>
      </c>
      <c r="G72" s="4" t="s">
        <v>69</v>
      </c>
      <c r="H72" s="4" t="s">
        <v>70</v>
      </c>
      <c r="I72" s="4"/>
      <c r="J72" s="4"/>
      <c r="K72" s="4">
        <v>226</v>
      </c>
      <c r="L72" s="4">
        <v>5</v>
      </c>
      <c r="M72" s="4">
        <v>3</v>
      </c>
      <c r="N72" s="4" t="s">
        <v>3</v>
      </c>
      <c r="O72" s="4">
        <v>2</v>
      </c>
      <c r="P72" s="4"/>
      <c r="Q72" s="4"/>
      <c r="R72" s="4"/>
      <c r="S72" s="4"/>
      <c r="T72" s="4"/>
      <c r="U72" s="4"/>
      <c r="V72" s="4"/>
      <c r="W72" s="4">
        <v>0</v>
      </c>
      <c r="X72" s="4">
        <v>1</v>
      </c>
      <c r="Y72" s="4">
        <v>0</v>
      </c>
      <c r="Z72" s="4"/>
      <c r="AA72" s="4"/>
      <c r="AB72" s="4"/>
    </row>
    <row r="73" spans="1:206" x14ac:dyDescent="0.2">
      <c r="A73" s="4">
        <v>50</v>
      </c>
      <c r="B73" s="4">
        <v>0</v>
      </c>
      <c r="C73" s="4">
        <v>0</v>
      </c>
      <c r="D73" s="4">
        <v>1</v>
      </c>
      <c r="E73" s="4">
        <v>0</v>
      </c>
      <c r="F73" s="4">
        <f>ROUND(Source!AX66,O73)</f>
        <v>0</v>
      </c>
      <c r="G73" s="4" t="s">
        <v>71</v>
      </c>
      <c r="H73" s="4" t="s">
        <v>72</v>
      </c>
      <c r="I73" s="4"/>
      <c r="J73" s="4"/>
      <c r="K73" s="4">
        <v>227</v>
      </c>
      <c r="L73" s="4">
        <v>6</v>
      </c>
      <c r="M73" s="4">
        <v>3</v>
      </c>
      <c r="N73" s="4" t="s">
        <v>3</v>
      </c>
      <c r="O73" s="4">
        <v>2</v>
      </c>
      <c r="P73" s="4"/>
      <c r="Q73" s="4"/>
      <c r="R73" s="4"/>
      <c r="S73" s="4"/>
      <c r="T73" s="4"/>
      <c r="U73" s="4"/>
      <c r="V73" s="4"/>
      <c r="W73" s="4">
        <v>0</v>
      </c>
      <c r="X73" s="4">
        <v>1</v>
      </c>
      <c r="Y73" s="4">
        <v>0</v>
      </c>
      <c r="Z73" s="4"/>
      <c r="AA73" s="4"/>
      <c r="AB73" s="4"/>
    </row>
    <row r="74" spans="1:206" x14ac:dyDescent="0.2">
      <c r="A74" s="4">
        <v>50</v>
      </c>
      <c r="B74" s="4">
        <v>0</v>
      </c>
      <c r="C74" s="4">
        <v>0</v>
      </c>
      <c r="D74" s="4">
        <v>1</v>
      </c>
      <c r="E74" s="4">
        <v>228</v>
      </c>
      <c r="F74" s="4">
        <f>ROUND(Source!AY66,O74)</f>
        <v>0</v>
      </c>
      <c r="G74" s="4" t="s">
        <v>73</v>
      </c>
      <c r="H74" s="4" t="s">
        <v>74</v>
      </c>
      <c r="I74" s="4"/>
      <c r="J74" s="4"/>
      <c r="K74" s="4">
        <v>228</v>
      </c>
      <c r="L74" s="4">
        <v>7</v>
      </c>
      <c r="M74" s="4">
        <v>3</v>
      </c>
      <c r="N74" s="4" t="s">
        <v>3</v>
      </c>
      <c r="O74" s="4">
        <v>2</v>
      </c>
      <c r="P74" s="4"/>
      <c r="Q74" s="4"/>
      <c r="R74" s="4"/>
      <c r="S74" s="4"/>
      <c r="T74" s="4"/>
      <c r="U74" s="4"/>
      <c r="V74" s="4"/>
      <c r="W74" s="4">
        <v>0</v>
      </c>
      <c r="X74" s="4">
        <v>1</v>
      </c>
      <c r="Y74" s="4">
        <v>0</v>
      </c>
      <c r="Z74" s="4"/>
      <c r="AA74" s="4"/>
      <c r="AB74" s="4"/>
    </row>
    <row r="75" spans="1:206" x14ac:dyDescent="0.2">
      <c r="A75" s="4">
        <v>50</v>
      </c>
      <c r="B75" s="4">
        <v>0</v>
      </c>
      <c r="C75" s="4">
        <v>0</v>
      </c>
      <c r="D75" s="4">
        <v>1</v>
      </c>
      <c r="E75" s="4">
        <v>216</v>
      </c>
      <c r="F75" s="4">
        <f>ROUND(Source!AP66,O75)</f>
        <v>0</v>
      </c>
      <c r="G75" s="4" t="s">
        <v>75</v>
      </c>
      <c r="H75" s="4" t="s">
        <v>76</v>
      </c>
      <c r="I75" s="4"/>
      <c r="J75" s="4"/>
      <c r="K75" s="4">
        <v>216</v>
      </c>
      <c r="L75" s="4">
        <v>8</v>
      </c>
      <c r="M75" s="4">
        <v>3</v>
      </c>
      <c r="N75" s="4" t="s">
        <v>3</v>
      </c>
      <c r="O75" s="4">
        <v>2</v>
      </c>
      <c r="P75" s="4"/>
      <c r="Q75" s="4"/>
      <c r="R75" s="4"/>
      <c r="S75" s="4"/>
      <c r="T75" s="4"/>
      <c r="U75" s="4"/>
      <c r="V75" s="4"/>
      <c r="W75" s="4">
        <v>0</v>
      </c>
      <c r="X75" s="4">
        <v>1</v>
      </c>
      <c r="Y75" s="4">
        <v>0</v>
      </c>
      <c r="Z75" s="4"/>
      <c r="AA75" s="4"/>
      <c r="AB75" s="4"/>
    </row>
    <row r="76" spans="1:206" x14ac:dyDescent="0.2">
      <c r="A76" s="4">
        <v>50</v>
      </c>
      <c r="B76" s="4">
        <v>0</v>
      </c>
      <c r="C76" s="4">
        <v>0</v>
      </c>
      <c r="D76" s="4">
        <v>1</v>
      </c>
      <c r="E76" s="4">
        <v>223</v>
      </c>
      <c r="F76" s="4">
        <f>ROUND(Source!AQ66,O76)</f>
        <v>0</v>
      </c>
      <c r="G76" s="4" t="s">
        <v>77</v>
      </c>
      <c r="H76" s="4" t="s">
        <v>78</v>
      </c>
      <c r="I76" s="4"/>
      <c r="J76" s="4"/>
      <c r="K76" s="4">
        <v>223</v>
      </c>
      <c r="L76" s="4">
        <v>9</v>
      </c>
      <c r="M76" s="4">
        <v>3</v>
      </c>
      <c r="N76" s="4" t="s">
        <v>3</v>
      </c>
      <c r="O76" s="4">
        <v>2</v>
      </c>
      <c r="P76" s="4"/>
      <c r="Q76" s="4"/>
      <c r="R76" s="4"/>
      <c r="S76" s="4"/>
      <c r="T76" s="4"/>
      <c r="U76" s="4"/>
      <c r="V76" s="4"/>
      <c r="W76" s="4">
        <v>0</v>
      </c>
      <c r="X76" s="4">
        <v>1</v>
      </c>
      <c r="Y76" s="4">
        <v>0</v>
      </c>
      <c r="Z76" s="4"/>
      <c r="AA76" s="4"/>
      <c r="AB76" s="4"/>
    </row>
    <row r="77" spans="1:206" x14ac:dyDescent="0.2">
      <c r="A77" s="4">
        <v>50</v>
      </c>
      <c r="B77" s="4">
        <v>0</v>
      </c>
      <c r="C77" s="4">
        <v>0</v>
      </c>
      <c r="D77" s="4">
        <v>1</v>
      </c>
      <c r="E77" s="4">
        <v>229</v>
      </c>
      <c r="F77" s="4">
        <f>ROUND(Source!AZ66,O77)</f>
        <v>0</v>
      </c>
      <c r="G77" s="4" t="s">
        <v>79</v>
      </c>
      <c r="H77" s="4" t="s">
        <v>80</v>
      </c>
      <c r="I77" s="4"/>
      <c r="J77" s="4"/>
      <c r="K77" s="4">
        <v>229</v>
      </c>
      <c r="L77" s="4">
        <v>10</v>
      </c>
      <c r="M77" s="4">
        <v>3</v>
      </c>
      <c r="N77" s="4" t="s">
        <v>3</v>
      </c>
      <c r="O77" s="4">
        <v>2</v>
      </c>
      <c r="P77" s="4"/>
      <c r="Q77" s="4"/>
      <c r="R77" s="4"/>
      <c r="S77" s="4"/>
      <c r="T77" s="4"/>
      <c r="U77" s="4"/>
      <c r="V77" s="4"/>
      <c r="W77" s="4">
        <v>0</v>
      </c>
      <c r="X77" s="4">
        <v>1</v>
      </c>
      <c r="Y77" s="4">
        <v>0</v>
      </c>
      <c r="Z77" s="4"/>
      <c r="AA77" s="4"/>
      <c r="AB77" s="4"/>
    </row>
    <row r="78" spans="1:206" x14ac:dyDescent="0.2">
      <c r="A78" s="4">
        <v>50</v>
      </c>
      <c r="B78" s="4">
        <v>0</v>
      </c>
      <c r="C78" s="4">
        <v>0</v>
      </c>
      <c r="D78" s="4">
        <v>1</v>
      </c>
      <c r="E78" s="4">
        <v>203</v>
      </c>
      <c r="F78" s="4">
        <f>ROUND(Source!Q66,O78)</f>
        <v>19572.71</v>
      </c>
      <c r="G78" s="4" t="s">
        <v>81</v>
      </c>
      <c r="H78" s="4" t="s">
        <v>82</v>
      </c>
      <c r="I78" s="4"/>
      <c r="J78" s="4"/>
      <c r="K78" s="4">
        <v>203</v>
      </c>
      <c r="L78" s="4">
        <v>11</v>
      </c>
      <c r="M78" s="4">
        <v>3</v>
      </c>
      <c r="N78" s="4" t="s">
        <v>3</v>
      </c>
      <c r="O78" s="4">
        <v>2</v>
      </c>
      <c r="P78" s="4"/>
      <c r="Q78" s="4"/>
      <c r="R78" s="4"/>
      <c r="S78" s="4"/>
      <c r="T78" s="4"/>
      <c r="U78" s="4"/>
      <c r="V78" s="4"/>
      <c r="W78" s="4">
        <v>19572.71</v>
      </c>
      <c r="X78" s="4">
        <v>1</v>
      </c>
      <c r="Y78" s="4">
        <v>19572.71</v>
      </c>
      <c r="Z78" s="4"/>
      <c r="AA78" s="4"/>
      <c r="AB78" s="4"/>
    </row>
    <row r="79" spans="1:206" x14ac:dyDescent="0.2">
      <c r="A79" s="4">
        <v>50</v>
      </c>
      <c r="B79" s="4">
        <v>0</v>
      </c>
      <c r="C79" s="4">
        <v>0</v>
      </c>
      <c r="D79" s="4">
        <v>1</v>
      </c>
      <c r="E79" s="4">
        <v>231</v>
      </c>
      <c r="F79" s="4">
        <f>ROUND(Source!BB66,O79)</f>
        <v>0</v>
      </c>
      <c r="G79" s="4" t="s">
        <v>83</v>
      </c>
      <c r="H79" s="4" t="s">
        <v>84</v>
      </c>
      <c r="I79" s="4"/>
      <c r="J79" s="4"/>
      <c r="K79" s="4">
        <v>231</v>
      </c>
      <c r="L79" s="4">
        <v>12</v>
      </c>
      <c r="M79" s="4">
        <v>3</v>
      </c>
      <c r="N79" s="4" t="s">
        <v>3</v>
      </c>
      <c r="O79" s="4">
        <v>2</v>
      </c>
      <c r="P79" s="4"/>
      <c r="Q79" s="4"/>
      <c r="R79" s="4"/>
      <c r="S79" s="4"/>
      <c r="T79" s="4"/>
      <c r="U79" s="4"/>
      <c r="V79" s="4"/>
      <c r="W79" s="4">
        <v>0</v>
      </c>
      <c r="X79" s="4">
        <v>1</v>
      </c>
      <c r="Y79" s="4">
        <v>0</v>
      </c>
      <c r="Z79" s="4"/>
      <c r="AA79" s="4"/>
      <c r="AB79" s="4"/>
    </row>
    <row r="80" spans="1:206" x14ac:dyDescent="0.2">
      <c r="A80" s="4">
        <v>50</v>
      </c>
      <c r="B80" s="4">
        <v>0</v>
      </c>
      <c r="C80" s="4">
        <v>0</v>
      </c>
      <c r="D80" s="4">
        <v>1</v>
      </c>
      <c r="E80" s="4">
        <v>204</v>
      </c>
      <c r="F80" s="4">
        <f>ROUND(Source!R66,O80)</f>
        <v>3484.13</v>
      </c>
      <c r="G80" s="4" t="s">
        <v>85</v>
      </c>
      <c r="H80" s="4" t="s">
        <v>86</v>
      </c>
      <c r="I80" s="4"/>
      <c r="J80" s="4"/>
      <c r="K80" s="4">
        <v>204</v>
      </c>
      <c r="L80" s="4">
        <v>13</v>
      </c>
      <c r="M80" s="4">
        <v>3</v>
      </c>
      <c r="N80" s="4" t="s">
        <v>3</v>
      </c>
      <c r="O80" s="4">
        <v>2</v>
      </c>
      <c r="P80" s="4"/>
      <c r="Q80" s="4"/>
      <c r="R80" s="4"/>
      <c r="S80" s="4"/>
      <c r="T80" s="4"/>
      <c r="U80" s="4"/>
      <c r="V80" s="4"/>
      <c r="W80" s="4">
        <v>3484.13</v>
      </c>
      <c r="X80" s="4">
        <v>1</v>
      </c>
      <c r="Y80" s="4">
        <v>3484.13</v>
      </c>
      <c r="Z80" s="4"/>
      <c r="AA80" s="4"/>
      <c r="AB80" s="4"/>
    </row>
    <row r="81" spans="1:206" x14ac:dyDescent="0.2">
      <c r="A81" s="4">
        <v>50</v>
      </c>
      <c r="B81" s="4">
        <v>0</v>
      </c>
      <c r="C81" s="4">
        <v>0</v>
      </c>
      <c r="D81" s="4">
        <v>1</v>
      </c>
      <c r="E81" s="4">
        <v>205</v>
      </c>
      <c r="F81" s="4">
        <f>ROUND(Source!S66,O81)</f>
        <v>157353.51999999999</v>
      </c>
      <c r="G81" s="4" t="s">
        <v>87</v>
      </c>
      <c r="H81" s="4" t="s">
        <v>88</v>
      </c>
      <c r="I81" s="4"/>
      <c r="J81" s="4"/>
      <c r="K81" s="4">
        <v>205</v>
      </c>
      <c r="L81" s="4">
        <v>14</v>
      </c>
      <c r="M81" s="4">
        <v>3</v>
      </c>
      <c r="N81" s="4" t="s">
        <v>3</v>
      </c>
      <c r="O81" s="4">
        <v>2</v>
      </c>
      <c r="P81" s="4"/>
      <c r="Q81" s="4"/>
      <c r="R81" s="4"/>
      <c r="S81" s="4"/>
      <c r="T81" s="4"/>
      <c r="U81" s="4"/>
      <c r="V81" s="4"/>
      <c r="W81" s="4">
        <v>157353.51999999999</v>
      </c>
      <c r="X81" s="4">
        <v>1</v>
      </c>
      <c r="Y81" s="4">
        <v>157353.51999999999</v>
      </c>
      <c r="Z81" s="4"/>
      <c r="AA81" s="4"/>
      <c r="AB81" s="4"/>
    </row>
    <row r="82" spans="1:206" x14ac:dyDescent="0.2">
      <c r="A82" s="4">
        <v>50</v>
      </c>
      <c r="B82" s="4">
        <v>0</v>
      </c>
      <c r="C82" s="4">
        <v>0</v>
      </c>
      <c r="D82" s="4">
        <v>1</v>
      </c>
      <c r="E82" s="4">
        <v>232</v>
      </c>
      <c r="F82" s="4">
        <f>ROUND(Source!BC66,O82)</f>
        <v>0</v>
      </c>
      <c r="G82" s="4" t="s">
        <v>89</v>
      </c>
      <c r="H82" s="4" t="s">
        <v>90</v>
      </c>
      <c r="I82" s="4"/>
      <c r="J82" s="4"/>
      <c r="K82" s="4">
        <v>232</v>
      </c>
      <c r="L82" s="4">
        <v>15</v>
      </c>
      <c r="M82" s="4">
        <v>3</v>
      </c>
      <c r="N82" s="4" t="s">
        <v>3</v>
      </c>
      <c r="O82" s="4">
        <v>2</v>
      </c>
      <c r="P82" s="4"/>
      <c r="Q82" s="4"/>
      <c r="R82" s="4"/>
      <c r="S82" s="4"/>
      <c r="T82" s="4"/>
      <c r="U82" s="4"/>
      <c r="V82" s="4"/>
      <c r="W82" s="4">
        <v>0</v>
      </c>
      <c r="X82" s="4">
        <v>1</v>
      </c>
      <c r="Y82" s="4">
        <v>0</v>
      </c>
      <c r="Z82" s="4"/>
      <c r="AA82" s="4"/>
      <c r="AB82" s="4"/>
    </row>
    <row r="83" spans="1:206" x14ac:dyDescent="0.2">
      <c r="A83" s="4">
        <v>50</v>
      </c>
      <c r="B83" s="4">
        <v>0</v>
      </c>
      <c r="C83" s="4">
        <v>0</v>
      </c>
      <c r="D83" s="4">
        <v>1</v>
      </c>
      <c r="E83" s="4">
        <v>214</v>
      </c>
      <c r="F83" s="4">
        <f>ROUND(Source!AS66,O83)</f>
        <v>25147.32</v>
      </c>
      <c r="G83" s="4" t="s">
        <v>91</v>
      </c>
      <c r="H83" s="4" t="s">
        <v>92</v>
      </c>
      <c r="I83" s="4"/>
      <c r="J83" s="4"/>
      <c r="K83" s="4">
        <v>214</v>
      </c>
      <c r="L83" s="4">
        <v>16</v>
      </c>
      <c r="M83" s="4">
        <v>3</v>
      </c>
      <c r="N83" s="4" t="s">
        <v>3</v>
      </c>
      <c r="O83" s="4">
        <v>2</v>
      </c>
      <c r="P83" s="4"/>
      <c r="Q83" s="4"/>
      <c r="R83" s="4"/>
      <c r="S83" s="4"/>
      <c r="T83" s="4"/>
      <c r="U83" s="4"/>
      <c r="V83" s="4"/>
      <c r="W83" s="4">
        <v>25147.32</v>
      </c>
      <c r="X83" s="4">
        <v>1</v>
      </c>
      <c r="Y83" s="4">
        <v>25147.32</v>
      </c>
      <c r="Z83" s="4"/>
      <c r="AA83" s="4"/>
      <c r="AB83" s="4"/>
    </row>
    <row r="84" spans="1:206" x14ac:dyDescent="0.2">
      <c r="A84" s="4">
        <v>50</v>
      </c>
      <c r="B84" s="4">
        <v>0</v>
      </c>
      <c r="C84" s="4">
        <v>0</v>
      </c>
      <c r="D84" s="4">
        <v>1</v>
      </c>
      <c r="E84" s="4">
        <v>215</v>
      </c>
      <c r="F84" s="4">
        <f>ROUND(Source!AT66,O84)</f>
        <v>0</v>
      </c>
      <c r="G84" s="4" t="s">
        <v>93</v>
      </c>
      <c r="H84" s="4" t="s">
        <v>94</v>
      </c>
      <c r="I84" s="4"/>
      <c r="J84" s="4"/>
      <c r="K84" s="4">
        <v>215</v>
      </c>
      <c r="L84" s="4">
        <v>17</v>
      </c>
      <c r="M84" s="4">
        <v>3</v>
      </c>
      <c r="N84" s="4" t="s">
        <v>3</v>
      </c>
      <c r="O84" s="4">
        <v>2</v>
      </c>
      <c r="P84" s="4"/>
      <c r="Q84" s="4"/>
      <c r="R84" s="4"/>
      <c r="S84" s="4"/>
      <c r="T84" s="4"/>
      <c r="U84" s="4"/>
      <c r="V84" s="4"/>
      <c r="W84" s="4">
        <v>0</v>
      </c>
      <c r="X84" s="4">
        <v>1</v>
      </c>
      <c r="Y84" s="4">
        <v>0</v>
      </c>
      <c r="Z84" s="4"/>
      <c r="AA84" s="4"/>
      <c r="AB84" s="4"/>
    </row>
    <row r="85" spans="1:206" x14ac:dyDescent="0.2">
      <c r="A85" s="4">
        <v>50</v>
      </c>
      <c r="B85" s="4">
        <v>0</v>
      </c>
      <c r="C85" s="4">
        <v>0</v>
      </c>
      <c r="D85" s="4">
        <v>1</v>
      </c>
      <c r="E85" s="4">
        <v>217</v>
      </c>
      <c r="F85" s="4">
        <f>ROUND(Source!AU66,O85)</f>
        <v>332015.94</v>
      </c>
      <c r="G85" s="4" t="s">
        <v>95</v>
      </c>
      <c r="H85" s="4" t="s">
        <v>96</v>
      </c>
      <c r="I85" s="4"/>
      <c r="J85" s="4"/>
      <c r="K85" s="4">
        <v>217</v>
      </c>
      <c r="L85" s="4">
        <v>18</v>
      </c>
      <c r="M85" s="4">
        <v>3</v>
      </c>
      <c r="N85" s="4" t="s">
        <v>3</v>
      </c>
      <c r="O85" s="4">
        <v>2</v>
      </c>
      <c r="P85" s="4"/>
      <c r="Q85" s="4"/>
      <c r="R85" s="4"/>
      <c r="S85" s="4"/>
      <c r="T85" s="4"/>
      <c r="U85" s="4"/>
      <c r="V85" s="4"/>
      <c r="W85" s="4">
        <v>332015.94</v>
      </c>
      <c r="X85" s="4">
        <v>1</v>
      </c>
      <c r="Y85" s="4">
        <v>332015.94</v>
      </c>
      <c r="Z85" s="4"/>
      <c r="AA85" s="4"/>
      <c r="AB85" s="4"/>
    </row>
    <row r="86" spans="1:206" x14ac:dyDescent="0.2">
      <c r="A86" s="4">
        <v>50</v>
      </c>
      <c r="B86" s="4">
        <v>0</v>
      </c>
      <c r="C86" s="4">
        <v>0</v>
      </c>
      <c r="D86" s="4">
        <v>1</v>
      </c>
      <c r="E86" s="4">
        <v>230</v>
      </c>
      <c r="F86" s="4">
        <f>ROUND(Source!BA66,O86)</f>
        <v>0</v>
      </c>
      <c r="G86" s="4" t="s">
        <v>97</v>
      </c>
      <c r="H86" s="4" t="s">
        <v>98</v>
      </c>
      <c r="I86" s="4"/>
      <c r="J86" s="4"/>
      <c r="K86" s="4">
        <v>230</v>
      </c>
      <c r="L86" s="4">
        <v>19</v>
      </c>
      <c r="M86" s="4">
        <v>3</v>
      </c>
      <c r="N86" s="4" t="s">
        <v>3</v>
      </c>
      <c r="O86" s="4">
        <v>2</v>
      </c>
      <c r="P86" s="4"/>
      <c r="Q86" s="4"/>
      <c r="R86" s="4"/>
      <c r="S86" s="4"/>
      <c r="T86" s="4"/>
      <c r="U86" s="4"/>
      <c r="V86" s="4"/>
      <c r="W86" s="4">
        <v>0</v>
      </c>
      <c r="X86" s="4">
        <v>1</v>
      </c>
      <c r="Y86" s="4">
        <v>0</v>
      </c>
      <c r="Z86" s="4"/>
      <c r="AA86" s="4"/>
      <c r="AB86" s="4"/>
    </row>
    <row r="87" spans="1:206" x14ac:dyDescent="0.2">
      <c r="A87" s="4">
        <v>50</v>
      </c>
      <c r="B87" s="4">
        <v>0</v>
      </c>
      <c r="C87" s="4">
        <v>0</v>
      </c>
      <c r="D87" s="4">
        <v>1</v>
      </c>
      <c r="E87" s="4">
        <v>206</v>
      </c>
      <c r="F87" s="4">
        <f>ROUND(Source!T66,O87)</f>
        <v>0</v>
      </c>
      <c r="G87" s="4" t="s">
        <v>99</v>
      </c>
      <c r="H87" s="4" t="s">
        <v>100</v>
      </c>
      <c r="I87" s="4"/>
      <c r="J87" s="4"/>
      <c r="K87" s="4">
        <v>206</v>
      </c>
      <c r="L87" s="4">
        <v>20</v>
      </c>
      <c r="M87" s="4">
        <v>3</v>
      </c>
      <c r="N87" s="4" t="s">
        <v>3</v>
      </c>
      <c r="O87" s="4">
        <v>2</v>
      </c>
      <c r="P87" s="4"/>
      <c r="Q87" s="4"/>
      <c r="R87" s="4"/>
      <c r="S87" s="4"/>
      <c r="T87" s="4"/>
      <c r="U87" s="4"/>
      <c r="V87" s="4"/>
      <c r="W87" s="4">
        <v>0</v>
      </c>
      <c r="X87" s="4">
        <v>1</v>
      </c>
      <c r="Y87" s="4">
        <v>0</v>
      </c>
      <c r="Z87" s="4"/>
      <c r="AA87" s="4"/>
      <c r="AB87" s="4"/>
    </row>
    <row r="88" spans="1:206" x14ac:dyDescent="0.2">
      <c r="A88" s="4">
        <v>50</v>
      </c>
      <c r="B88" s="4">
        <v>0</v>
      </c>
      <c r="C88" s="4">
        <v>0</v>
      </c>
      <c r="D88" s="4">
        <v>1</v>
      </c>
      <c r="E88" s="4">
        <v>207</v>
      </c>
      <c r="F88" s="4">
        <f>ROUND(Source!U66,O88)</f>
        <v>296.42</v>
      </c>
      <c r="G88" s="4" t="s">
        <v>101</v>
      </c>
      <c r="H88" s="4" t="s">
        <v>102</v>
      </c>
      <c r="I88" s="4"/>
      <c r="J88" s="4"/>
      <c r="K88" s="4">
        <v>207</v>
      </c>
      <c r="L88" s="4">
        <v>21</v>
      </c>
      <c r="M88" s="4">
        <v>3</v>
      </c>
      <c r="N88" s="4" t="s">
        <v>3</v>
      </c>
      <c r="O88" s="4">
        <v>2</v>
      </c>
      <c r="P88" s="4"/>
      <c r="Q88" s="4"/>
      <c r="R88" s="4"/>
      <c r="S88" s="4"/>
      <c r="T88" s="4"/>
      <c r="U88" s="4"/>
      <c r="V88" s="4"/>
      <c r="W88" s="4">
        <v>296.42</v>
      </c>
      <c r="X88" s="4">
        <v>1</v>
      </c>
      <c r="Y88" s="4">
        <v>296.42</v>
      </c>
      <c r="Z88" s="4"/>
      <c r="AA88" s="4"/>
      <c r="AB88" s="4"/>
    </row>
    <row r="89" spans="1:206" x14ac:dyDescent="0.2">
      <c r="A89" s="4">
        <v>50</v>
      </c>
      <c r="B89" s="4">
        <v>0</v>
      </c>
      <c r="C89" s="4">
        <v>0</v>
      </c>
      <c r="D89" s="4">
        <v>1</v>
      </c>
      <c r="E89" s="4">
        <v>208</v>
      </c>
      <c r="F89" s="4">
        <f>ROUND(Source!V66,O89)</f>
        <v>0</v>
      </c>
      <c r="G89" s="4" t="s">
        <v>103</v>
      </c>
      <c r="H89" s="4" t="s">
        <v>104</v>
      </c>
      <c r="I89" s="4"/>
      <c r="J89" s="4"/>
      <c r="K89" s="4">
        <v>208</v>
      </c>
      <c r="L89" s="4">
        <v>22</v>
      </c>
      <c r="M89" s="4">
        <v>3</v>
      </c>
      <c r="N89" s="4" t="s">
        <v>3</v>
      </c>
      <c r="O89" s="4">
        <v>2</v>
      </c>
      <c r="P89" s="4"/>
      <c r="Q89" s="4"/>
      <c r="R89" s="4"/>
      <c r="S89" s="4"/>
      <c r="T89" s="4"/>
      <c r="U89" s="4"/>
      <c r="V89" s="4"/>
      <c r="W89" s="4">
        <v>0</v>
      </c>
      <c r="X89" s="4">
        <v>1</v>
      </c>
      <c r="Y89" s="4">
        <v>0</v>
      </c>
      <c r="Z89" s="4"/>
      <c r="AA89" s="4"/>
      <c r="AB89" s="4"/>
    </row>
    <row r="90" spans="1:206" x14ac:dyDescent="0.2">
      <c r="A90" s="4">
        <v>50</v>
      </c>
      <c r="B90" s="4">
        <v>0</v>
      </c>
      <c r="C90" s="4">
        <v>0</v>
      </c>
      <c r="D90" s="4">
        <v>1</v>
      </c>
      <c r="E90" s="4">
        <v>209</v>
      </c>
      <c r="F90" s="4">
        <f>ROUND(Source!W66,O90)</f>
        <v>0</v>
      </c>
      <c r="G90" s="4" t="s">
        <v>105</v>
      </c>
      <c r="H90" s="4" t="s">
        <v>106</v>
      </c>
      <c r="I90" s="4"/>
      <c r="J90" s="4"/>
      <c r="K90" s="4">
        <v>209</v>
      </c>
      <c r="L90" s="4">
        <v>23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>
        <v>0</v>
      </c>
      <c r="X90" s="4">
        <v>1</v>
      </c>
      <c r="Y90" s="4">
        <v>0</v>
      </c>
      <c r="Z90" s="4"/>
      <c r="AA90" s="4"/>
      <c r="AB90" s="4"/>
    </row>
    <row r="91" spans="1:206" x14ac:dyDescent="0.2">
      <c r="A91" s="4">
        <v>50</v>
      </c>
      <c r="B91" s="4">
        <v>0</v>
      </c>
      <c r="C91" s="4">
        <v>0</v>
      </c>
      <c r="D91" s="4">
        <v>1</v>
      </c>
      <c r="E91" s="4">
        <v>233</v>
      </c>
      <c r="F91" s="4">
        <f>ROUND(Source!BD66,O91)</f>
        <v>0</v>
      </c>
      <c r="G91" s="4" t="s">
        <v>107</v>
      </c>
      <c r="H91" s="4" t="s">
        <v>108</v>
      </c>
      <c r="I91" s="4"/>
      <c r="J91" s="4"/>
      <c r="K91" s="4">
        <v>233</v>
      </c>
      <c r="L91" s="4">
        <v>24</v>
      </c>
      <c r="M91" s="4">
        <v>3</v>
      </c>
      <c r="N91" s="4" t="s">
        <v>3</v>
      </c>
      <c r="O91" s="4">
        <v>2</v>
      </c>
      <c r="P91" s="4"/>
      <c r="Q91" s="4"/>
      <c r="R91" s="4"/>
      <c r="S91" s="4"/>
      <c r="T91" s="4"/>
      <c r="U91" s="4"/>
      <c r="V91" s="4"/>
      <c r="W91" s="4">
        <v>0</v>
      </c>
      <c r="X91" s="4">
        <v>1</v>
      </c>
      <c r="Y91" s="4">
        <v>0</v>
      </c>
      <c r="Z91" s="4"/>
      <c r="AA91" s="4"/>
      <c r="AB91" s="4"/>
    </row>
    <row r="92" spans="1:206" x14ac:dyDescent="0.2">
      <c r="A92" s="4">
        <v>50</v>
      </c>
      <c r="B92" s="4">
        <v>0</v>
      </c>
      <c r="C92" s="4">
        <v>0</v>
      </c>
      <c r="D92" s="4">
        <v>1</v>
      </c>
      <c r="E92" s="4">
        <v>210</v>
      </c>
      <c r="F92" s="4">
        <f>ROUND(Source!X66,O92)</f>
        <v>110147.47</v>
      </c>
      <c r="G92" s="4" t="s">
        <v>109</v>
      </c>
      <c r="H92" s="4" t="s">
        <v>110</v>
      </c>
      <c r="I92" s="4"/>
      <c r="J92" s="4"/>
      <c r="K92" s="4">
        <v>210</v>
      </c>
      <c r="L92" s="4">
        <v>25</v>
      </c>
      <c r="M92" s="4">
        <v>3</v>
      </c>
      <c r="N92" s="4" t="s">
        <v>3</v>
      </c>
      <c r="O92" s="4">
        <v>2</v>
      </c>
      <c r="P92" s="4"/>
      <c r="Q92" s="4"/>
      <c r="R92" s="4"/>
      <c r="S92" s="4"/>
      <c r="T92" s="4"/>
      <c r="U92" s="4"/>
      <c r="V92" s="4"/>
      <c r="W92" s="4">
        <v>110147.47</v>
      </c>
      <c r="X92" s="4">
        <v>1</v>
      </c>
      <c r="Y92" s="4">
        <v>110147.47</v>
      </c>
      <c r="Z92" s="4"/>
      <c r="AA92" s="4"/>
      <c r="AB92" s="4"/>
    </row>
    <row r="93" spans="1:206" x14ac:dyDescent="0.2">
      <c r="A93" s="4">
        <v>50</v>
      </c>
      <c r="B93" s="4">
        <v>0</v>
      </c>
      <c r="C93" s="4">
        <v>0</v>
      </c>
      <c r="D93" s="4">
        <v>1</v>
      </c>
      <c r="E93" s="4">
        <v>211</v>
      </c>
      <c r="F93" s="4">
        <f>ROUND(Source!Y66,O93)</f>
        <v>64514.95</v>
      </c>
      <c r="G93" s="4" t="s">
        <v>111</v>
      </c>
      <c r="H93" s="4" t="s">
        <v>112</v>
      </c>
      <c r="I93" s="4"/>
      <c r="J93" s="4"/>
      <c r="K93" s="4">
        <v>211</v>
      </c>
      <c r="L93" s="4">
        <v>26</v>
      </c>
      <c r="M93" s="4">
        <v>3</v>
      </c>
      <c r="N93" s="4" t="s">
        <v>3</v>
      </c>
      <c r="O93" s="4">
        <v>2</v>
      </c>
      <c r="P93" s="4"/>
      <c r="Q93" s="4"/>
      <c r="R93" s="4"/>
      <c r="S93" s="4"/>
      <c r="T93" s="4"/>
      <c r="U93" s="4"/>
      <c r="V93" s="4"/>
      <c r="W93" s="4">
        <v>64514.95</v>
      </c>
      <c r="X93" s="4">
        <v>1</v>
      </c>
      <c r="Y93" s="4">
        <v>64514.95</v>
      </c>
      <c r="Z93" s="4"/>
      <c r="AA93" s="4"/>
      <c r="AB93" s="4"/>
    </row>
    <row r="94" spans="1:206" x14ac:dyDescent="0.2">
      <c r="A94" s="4">
        <v>50</v>
      </c>
      <c r="B94" s="4">
        <v>0</v>
      </c>
      <c r="C94" s="4">
        <v>0</v>
      </c>
      <c r="D94" s="4">
        <v>1</v>
      </c>
      <c r="E94" s="4">
        <v>224</v>
      </c>
      <c r="F94" s="4">
        <f>ROUND(Source!AR66,O94)</f>
        <v>357163.26</v>
      </c>
      <c r="G94" s="4" t="s">
        <v>113</v>
      </c>
      <c r="H94" s="4" t="s">
        <v>114</v>
      </c>
      <c r="I94" s="4"/>
      <c r="J94" s="4"/>
      <c r="K94" s="4">
        <v>224</v>
      </c>
      <c r="L94" s="4">
        <v>27</v>
      </c>
      <c r="M94" s="4">
        <v>3</v>
      </c>
      <c r="N94" s="4" t="s">
        <v>3</v>
      </c>
      <c r="O94" s="4">
        <v>2</v>
      </c>
      <c r="P94" s="4"/>
      <c r="Q94" s="4"/>
      <c r="R94" s="4"/>
      <c r="S94" s="4"/>
      <c r="T94" s="4"/>
      <c r="U94" s="4"/>
      <c r="V94" s="4"/>
      <c r="W94" s="4">
        <v>357163.26</v>
      </c>
      <c r="X94" s="4">
        <v>1</v>
      </c>
      <c r="Y94" s="4">
        <v>357163.26</v>
      </c>
      <c r="Z94" s="4"/>
      <c r="AA94" s="4"/>
      <c r="AB94" s="4"/>
    </row>
    <row r="96" spans="1:206" x14ac:dyDescent="0.2">
      <c r="A96" s="2">
        <v>51</v>
      </c>
      <c r="B96" s="2">
        <f>B12</f>
        <v>134</v>
      </c>
      <c r="C96" s="2">
        <f>A12</f>
        <v>1</v>
      </c>
      <c r="D96" s="2">
        <f>ROW(A12)</f>
        <v>12</v>
      </c>
      <c r="E96" s="2"/>
      <c r="F96" s="2" t="str">
        <f>IF(F12&lt;&gt;"",F12,"")</f>
        <v>(ТСН-2001 (Мосгосэкспертиза)) (ТСН-2001 (Мосгосэкспертиза)) (ТСН-2001 (Мосгосэкспертиза))</v>
      </c>
      <c r="G96" s="2" t="str">
        <f>IF(G12&lt;&gt;"",G12,"")</f>
        <v>09-01-02 ПНР КЛ 10 кВ (ТСН-2001 (Мосгосэкспертиза)) (ТСН-2001 (Мосгосэкспертиза))</v>
      </c>
      <c r="H96" s="2">
        <v>0</v>
      </c>
      <c r="I96" s="2"/>
      <c r="J96" s="2"/>
      <c r="K96" s="2"/>
      <c r="L96" s="2"/>
      <c r="M96" s="2"/>
      <c r="N96" s="2"/>
      <c r="O96" s="2">
        <f t="shared" ref="O96:T96" si="59">ROUND(O66,2)</f>
        <v>176926.23</v>
      </c>
      <c r="P96" s="2">
        <f t="shared" si="59"/>
        <v>0</v>
      </c>
      <c r="Q96" s="2">
        <f t="shared" si="59"/>
        <v>19572.71</v>
      </c>
      <c r="R96" s="2">
        <f t="shared" si="59"/>
        <v>3484.13</v>
      </c>
      <c r="S96" s="2">
        <f t="shared" si="59"/>
        <v>157353.51999999999</v>
      </c>
      <c r="T96" s="2">
        <f t="shared" si="59"/>
        <v>0</v>
      </c>
      <c r="U96" s="2">
        <f>U66</f>
        <v>296.416</v>
      </c>
      <c r="V96" s="2">
        <f>V66</f>
        <v>0</v>
      </c>
      <c r="W96" s="2">
        <f>ROUND(W66,2)</f>
        <v>0</v>
      </c>
      <c r="X96" s="2">
        <f>ROUND(X66,2)</f>
        <v>110147.47</v>
      </c>
      <c r="Y96" s="2">
        <f>ROUND(Y66,2)</f>
        <v>64514.95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>
        <f t="shared" ref="AO96:BD96" si="60">ROUND(AO66,2)</f>
        <v>0</v>
      </c>
      <c r="AP96" s="2">
        <f t="shared" si="60"/>
        <v>0</v>
      </c>
      <c r="AQ96" s="2">
        <f t="shared" si="60"/>
        <v>0</v>
      </c>
      <c r="AR96" s="2">
        <f t="shared" si="60"/>
        <v>357163.26</v>
      </c>
      <c r="AS96" s="2">
        <f t="shared" si="60"/>
        <v>25147.32</v>
      </c>
      <c r="AT96" s="2">
        <f t="shared" si="60"/>
        <v>0</v>
      </c>
      <c r="AU96" s="2">
        <f t="shared" si="60"/>
        <v>332015.94</v>
      </c>
      <c r="AV96" s="2">
        <f t="shared" si="60"/>
        <v>0</v>
      </c>
      <c r="AW96" s="2">
        <f t="shared" si="60"/>
        <v>0</v>
      </c>
      <c r="AX96" s="2">
        <f t="shared" si="60"/>
        <v>0</v>
      </c>
      <c r="AY96" s="2">
        <f t="shared" si="60"/>
        <v>0</v>
      </c>
      <c r="AZ96" s="2">
        <f t="shared" si="60"/>
        <v>0</v>
      </c>
      <c r="BA96" s="2">
        <f t="shared" si="60"/>
        <v>0</v>
      </c>
      <c r="BB96" s="2">
        <f t="shared" si="60"/>
        <v>0</v>
      </c>
      <c r="BC96" s="2">
        <f t="shared" si="60"/>
        <v>0</v>
      </c>
      <c r="BD96" s="2">
        <f t="shared" si="60"/>
        <v>0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>
        <v>0</v>
      </c>
    </row>
    <row r="98" spans="1:28" x14ac:dyDescent="0.2">
      <c r="A98" s="4">
        <v>50</v>
      </c>
      <c r="B98" s="4">
        <v>0</v>
      </c>
      <c r="C98" s="4">
        <v>0</v>
      </c>
      <c r="D98" s="4">
        <v>1</v>
      </c>
      <c r="E98" s="4">
        <v>201</v>
      </c>
      <c r="F98" s="4">
        <f>ROUND(Source!O96,O98)</f>
        <v>176926.23</v>
      </c>
      <c r="G98" s="4" t="s">
        <v>61</v>
      </c>
      <c r="H98" s="4" t="s">
        <v>62</v>
      </c>
      <c r="I98" s="4"/>
      <c r="J98" s="4"/>
      <c r="K98" s="4">
        <v>201</v>
      </c>
      <c r="L98" s="4">
        <v>1</v>
      </c>
      <c r="M98" s="4">
        <v>3</v>
      </c>
      <c r="N98" s="4" t="s">
        <v>3</v>
      </c>
      <c r="O98" s="4">
        <v>2</v>
      </c>
      <c r="P98" s="4"/>
      <c r="Q98" s="4"/>
      <c r="R98" s="4"/>
      <c r="S98" s="4"/>
      <c r="T98" s="4"/>
      <c r="U98" s="4"/>
      <c r="V98" s="4"/>
      <c r="W98" s="4">
        <v>176926.23</v>
      </c>
      <c r="X98" s="4">
        <v>1</v>
      </c>
      <c r="Y98" s="4">
        <v>176926.23</v>
      </c>
      <c r="Z98" s="4"/>
      <c r="AA98" s="4"/>
      <c r="AB98" s="4"/>
    </row>
    <row r="99" spans="1:28" x14ac:dyDescent="0.2">
      <c r="A99" s="4">
        <v>50</v>
      </c>
      <c r="B99" s="4">
        <v>0</v>
      </c>
      <c r="C99" s="4">
        <v>0</v>
      </c>
      <c r="D99" s="4">
        <v>1</v>
      </c>
      <c r="E99" s="4">
        <v>202</v>
      </c>
      <c r="F99" s="4">
        <f>ROUND(Source!P96,O99)</f>
        <v>0</v>
      </c>
      <c r="G99" s="4" t="s">
        <v>63</v>
      </c>
      <c r="H99" s="4" t="s">
        <v>64</v>
      </c>
      <c r="I99" s="4"/>
      <c r="J99" s="4"/>
      <c r="K99" s="4">
        <v>202</v>
      </c>
      <c r="L99" s="4">
        <v>2</v>
      </c>
      <c r="M99" s="4">
        <v>3</v>
      </c>
      <c r="N99" s="4" t="s">
        <v>3</v>
      </c>
      <c r="O99" s="4">
        <v>2</v>
      </c>
      <c r="P99" s="4"/>
      <c r="Q99" s="4"/>
      <c r="R99" s="4"/>
      <c r="S99" s="4"/>
      <c r="T99" s="4"/>
      <c r="U99" s="4"/>
      <c r="V99" s="4"/>
      <c r="W99" s="4">
        <v>0</v>
      </c>
      <c r="X99" s="4">
        <v>1</v>
      </c>
      <c r="Y99" s="4">
        <v>0</v>
      </c>
      <c r="Z99" s="4"/>
      <c r="AA99" s="4"/>
      <c r="AB99" s="4"/>
    </row>
    <row r="100" spans="1:28" x14ac:dyDescent="0.2">
      <c r="A100" s="4">
        <v>50</v>
      </c>
      <c r="B100" s="4">
        <v>0</v>
      </c>
      <c r="C100" s="4">
        <v>0</v>
      </c>
      <c r="D100" s="4">
        <v>1</v>
      </c>
      <c r="E100" s="4">
        <v>227</v>
      </c>
      <c r="F100" s="4">
        <f>ROUND(Source!AO96,O100)</f>
        <v>0</v>
      </c>
      <c r="G100" s="4" t="s">
        <v>65</v>
      </c>
      <c r="H100" s="4" t="s">
        <v>66</v>
      </c>
      <c r="I100" s="4"/>
      <c r="J100" s="4"/>
      <c r="K100" s="4">
        <v>222</v>
      </c>
      <c r="L100" s="4">
        <v>3</v>
      </c>
      <c r="M100" s="4">
        <v>3</v>
      </c>
      <c r="N100" s="4" t="s">
        <v>3</v>
      </c>
      <c r="O100" s="4">
        <v>2</v>
      </c>
      <c r="P100" s="4"/>
      <c r="Q100" s="4"/>
      <c r="R100" s="4"/>
      <c r="S100" s="4"/>
      <c r="T100" s="4"/>
      <c r="U100" s="4"/>
      <c r="V100" s="4"/>
      <c r="W100" s="4">
        <v>0</v>
      </c>
      <c r="X100" s="4">
        <v>1</v>
      </c>
      <c r="Y100" s="4">
        <v>0</v>
      </c>
      <c r="Z100" s="4"/>
      <c r="AA100" s="4"/>
      <c r="AB100" s="4"/>
    </row>
    <row r="101" spans="1:28" x14ac:dyDescent="0.2">
      <c r="A101" s="4">
        <v>50</v>
      </c>
      <c r="B101" s="4">
        <v>0</v>
      </c>
      <c r="C101" s="4">
        <v>0</v>
      </c>
      <c r="D101" s="4">
        <v>1</v>
      </c>
      <c r="E101" s="4">
        <v>225</v>
      </c>
      <c r="F101" s="4">
        <f>ROUND(Source!AV96,O101)</f>
        <v>0</v>
      </c>
      <c r="G101" s="4" t="s">
        <v>67</v>
      </c>
      <c r="H101" s="4" t="s">
        <v>68</v>
      </c>
      <c r="I101" s="4"/>
      <c r="J101" s="4"/>
      <c r="K101" s="4">
        <v>225</v>
      </c>
      <c r="L101" s="4">
        <v>4</v>
      </c>
      <c r="M101" s="4">
        <v>3</v>
      </c>
      <c r="N101" s="4" t="s">
        <v>3</v>
      </c>
      <c r="O101" s="4">
        <v>2</v>
      </c>
      <c r="P101" s="4"/>
      <c r="Q101" s="4"/>
      <c r="R101" s="4"/>
      <c r="S101" s="4"/>
      <c r="T101" s="4"/>
      <c r="U101" s="4"/>
      <c r="V101" s="4"/>
      <c r="W101" s="4">
        <v>0</v>
      </c>
      <c r="X101" s="4">
        <v>1</v>
      </c>
      <c r="Y101" s="4">
        <v>0</v>
      </c>
      <c r="Z101" s="4"/>
      <c r="AA101" s="4"/>
      <c r="AB101" s="4"/>
    </row>
    <row r="102" spans="1:28" x14ac:dyDescent="0.2">
      <c r="A102" s="4">
        <v>50</v>
      </c>
      <c r="B102" s="4">
        <v>0</v>
      </c>
      <c r="C102" s="4">
        <v>0</v>
      </c>
      <c r="D102" s="4">
        <v>1</v>
      </c>
      <c r="E102" s="4">
        <v>226</v>
      </c>
      <c r="F102" s="4">
        <f>ROUND(Source!AW96,O102)</f>
        <v>0</v>
      </c>
      <c r="G102" s="4" t="s">
        <v>69</v>
      </c>
      <c r="H102" s="4" t="s">
        <v>70</v>
      </c>
      <c r="I102" s="4"/>
      <c r="J102" s="4"/>
      <c r="K102" s="4">
        <v>226</v>
      </c>
      <c r="L102" s="4">
        <v>5</v>
      </c>
      <c r="M102" s="4">
        <v>3</v>
      </c>
      <c r="N102" s="4" t="s">
        <v>3</v>
      </c>
      <c r="O102" s="4">
        <v>2</v>
      </c>
      <c r="P102" s="4"/>
      <c r="Q102" s="4"/>
      <c r="R102" s="4"/>
      <c r="S102" s="4"/>
      <c r="T102" s="4"/>
      <c r="U102" s="4"/>
      <c r="V102" s="4"/>
      <c r="W102" s="4">
        <v>0</v>
      </c>
      <c r="X102" s="4">
        <v>1</v>
      </c>
      <c r="Y102" s="4">
        <v>0</v>
      </c>
      <c r="Z102" s="4"/>
      <c r="AA102" s="4"/>
      <c r="AB102" s="4"/>
    </row>
    <row r="103" spans="1:28" x14ac:dyDescent="0.2">
      <c r="A103" s="4">
        <v>50</v>
      </c>
      <c r="B103" s="4">
        <v>0</v>
      </c>
      <c r="C103" s="4">
        <v>0</v>
      </c>
      <c r="D103" s="4">
        <v>1</v>
      </c>
      <c r="E103" s="4">
        <v>0</v>
      </c>
      <c r="F103" s="4">
        <f>ROUND(Source!AX96,O103)</f>
        <v>0</v>
      </c>
      <c r="G103" s="4" t="s">
        <v>71</v>
      </c>
      <c r="H103" s="4" t="s">
        <v>72</v>
      </c>
      <c r="I103" s="4"/>
      <c r="J103" s="4"/>
      <c r="K103" s="4">
        <v>227</v>
      </c>
      <c r="L103" s="4">
        <v>6</v>
      </c>
      <c r="M103" s="4">
        <v>3</v>
      </c>
      <c r="N103" s="4" t="s">
        <v>3</v>
      </c>
      <c r="O103" s="4">
        <v>2</v>
      </c>
      <c r="P103" s="4"/>
      <c r="Q103" s="4"/>
      <c r="R103" s="4"/>
      <c r="S103" s="4"/>
      <c r="T103" s="4"/>
      <c r="U103" s="4"/>
      <c r="V103" s="4"/>
      <c r="W103" s="4">
        <v>0</v>
      </c>
      <c r="X103" s="4">
        <v>1</v>
      </c>
      <c r="Y103" s="4">
        <v>0</v>
      </c>
      <c r="Z103" s="4"/>
      <c r="AA103" s="4"/>
      <c r="AB103" s="4"/>
    </row>
    <row r="104" spans="1:28" x14ac:dyDescent="0.2">
      <c r="A104" s="4">
        <v>50</v>
      </c>
      <c r="B104" s="4">
        <v>0</v>
      </c>
      <c r="C104" s="4">
        <v>0</v>
      </c>
      <c r="D104" s="4">
        <v>1</v>
      </c>
      <c r="E104" s="4">
        <v>228</v>
      </c>
      <c r="F104" s="4">
        <f>ROUND(Source!AY96,O104)</f>
        <v>0</v>
      </c>
      <c r="G104" s="4" t="s">
        <v>73</v>
      </c>
      <c r="H104" s="4" t="s">
        <v>74</v>
      </c>
      <c r="I104" s="4"/>
      <c r="J104" s="4"/>
      <c r="K104" s="4">
        <v>228</v>
      </c>
      <c r="L104" s="4">
        <v>7</v>
      </c>
      <c r="M104" s="4">
        <v>3</v>
      </c>
      <c r="N104" s="4" t="s">
        <v>3</v>
      </c>
      <c r="O104" s="4">
        <v>2</v>
      </c>
      <c r="P104" s="4"/>
      <c r="Q104" s="4"/>
      <c r="R104" s="4"/>
      <c r="S104" s="4"/>
      <c r="T104" s="4"/>
      <c r="U104" s="4"/>
      <c r="V104" s="4"/>
      <c r="W104" s="4">
        <v>0</v>
      </c>
      <c r="X104" s="4">
        <v>1</v>
      </c>
      <c r="Y104" s="4">
        <v>0</v>
      </c>
      <c r="Z104" s="4"/>
      <c r="AA104" s="4"/>
      <c r="AB104" s="4"/>
    </row>
    <row r="105" spans="1:28" x14ac:dyDescent="0.2">
      <c r="A105" s="4">
        <v>50</v>
      </c>
      <c r="B105" s="4">
        <v>0</v>
      </c>
      <c r="C105" s="4">
        <v>0</v>
      </c>
      <c r="D105" s="4">
        <v>1</v>
      </c>
      <c r="E105" s="4">
        <v>216</v>
      </c>
      <c r="F105" s="4">
        <f>ROUND(Source!AP96,O105)</f>
        <v>0</v>
      </c>
      <c r="G105" s="4" t="s">
        <v>75</v>
      </c>
      <c r="H105" s="4" t="s">
        <v>76</v>
      </c>
      <c r="I105" s="4"/>
      <c r="J105" s="4"/>
      <c r="K105" s="4">
        <v>216</v>
      </c>
      <c r="L105" s="4">
        <v>8</v>
      </c>
      <c r="M105" s="4">
        <v>3</v>
      </c>
      <c r="N105" s="4" t="s">
        <v>3</v>
      </c>
      <c r="O105" s="4">
        <v>2</v>
      </c>
      <c r="P105" s="4"/>
      <c r="Q105" s="4"/>
      <c r="R105" s="4"/>
      <c r="S105" s="4"/>
      <c r="T105" s="4"/>
      <c r="U105" s="4"/>
      <c r="V105" s="4"/>
      <c r="W105" s="4">
        <v>0</v>
      </c>
      <c r="X105" s="4">
        <v>1</v>
      </c>
      <c r="Y105" s="4">
        <v>0</v>
      </c>
      <c r="Z105" s="4"/>
      <c r="AA105" s="4"/>
      <c r="AB105" s="4"/>
    </row>
    <row r="106" spans="1:28" x14ac:dyDescent="0.2">
      <c r="A106" s="4">
        <v>50</v>
      </c>
      <c r="B106" s="4">
        <v>0</v>
      </c>
      <c r="C106" s="4">
        <v>0</v>
      </c>
      <c r="D106" s="4">
        <v>1</v>
      </c>
      <c r="E106" s="4">
        <v>223</v>
      </c>
      <c r="F106" s="4">
        <f>ROUND(Source!AQ96,O106)</f>
        <v>0</v>
      </c>
      <c r="G106" s="4" t="s">
        <v>77</v>
      </c>
      <c r="H106" s="4" t="s">
        <v>78</v>
      </c>
      <c r="I106" s="4"/>
      <c r="J106" s="4"/>
      <c r="K106" s="4">
        <v>223</v>
      </c>
      <c r="L106" s="4">
        <v>9</v>
      </c>
      <c r="M106" s="4">
        <v>3</v>
      </c>
      <c r="N106" s="4" t="s">
        <v>3</v>
      </c>
      <c r="O106" s="4">
        <v>2</v>
      </c>
      <c r="P106" s="4"/>
      <c r="Q106" s="4"/>
      <c r="R106" s="4"/>
      <c r="S106" s="4"/>
      <c r="T106" s="4"/>
      <c r="U106" s="4"/>
      <c r="V106" s="4"/>
      <c r="W106" s="4">
        <v>0</v>
      </c>
      <c r="X106" s="4">
        <v>1</v>
      </c>
      <c r="Y106" s="4">
        <v>0</v>
      </c>
      <c r="Z106" s="4"/>
      <c r="AA106" s="4"/>
      <c r="AB106" s="4"/>
    </row>
    <row r="107" spans="1:28" x14ac:dyDescent="0.2">
      <c r="A107" s="4">
        <v>50</v>
      </c>
      <c r="B107" s="4">
        <v>0</v>
      </c>
      <c r="C107" s="4">
        <v>0</v>
      </c>
      <c r="D107" s="4">
        <v>1</v>
      </c>
      <c r="E107" s="4">
        <v>229</v>
      </c>
      <c r="F107" s="4">
        <f>ROUND(Source!AZ96,O107)</f>
        <v>0</v>
      </c>
      <c r="G107" s="4" t="s">
        <v>79</v>
      </c>
      <c r="H107" s="4" t="s">
        <v>80</v>
      </c>
      <c r="I107" s="4"/>
      <c r="J107" s="4"/>
      <c r="K107" s="4">
        <v>229</v>
      </c>
      <c r="L107" s="4">
        <v>10</v>
      </c>
      <c r="M107" s="4">
        <v>3</v>
      </c>
      <c r="N107" s="4" t="s">
        <v>3</v>
      </c>
      <c r="O107" s="4">
        <v>2</v>
      </c>
      <c r="P107" s="4"/>
      <c r="Q107" s="4"/>
      <c r="R107" s="4"/>
      <c r="S107" s="4"/>
      <c r="T107" s="4"/>
      <c r="U107" s="4"/>
      <c r="V107" s="4"/>
      <c r="W107" s="4">
        <v>0</v>
      </c>
      <c r="X107" s="4">
        <v>1</v>
      </c>
      <c r="Y107" s="4">
        <v>0</v>
      </c>
      <c r="Z107" s="4"/>
      <c r="AA107" s="4"/>
      <c r="AB107" s="4"/>
    </row>
    <row r="108" spans="1:28" x14ac:dyDescent="0.2">
      <c r="A108" s="4">
        <v>50</v>
      </c>
      <c r="B108" s="4">
        <v>0</v>
      </c>
      <c r="C108" s="4">
        <v>0</v>
      </c>
      <c r="D108" s="4">
        <v>1</v>
      </c>
      <c r="E108" s="4">
        <v>203</v>
      </c>
      <c r="F108" s="4">
        <f>ROUND(Source!Q96,O108)</f>
        <v>19572.71</v>
      </c>
      <c r="G108" s="4" t="s">
        <v>81</v>
      </c>
      <c r="H108" s="4" t="s">
        <v>82</v>
      </c>
      <c r="I108" s="4"/>
      <c r="J108" s="4"/>
      <c r="K108" s="4">
        <v>203</v>
      </c>
      <c r="L108" s="4">
        <v>11</v>
      </c>
      <c r="M108" s="4">
        <v>3</v>
      </c>
      <c r="N108" s="4" t="s">
        <v>3</v>
      </c>
      <c r="O108" s="4">
        <v>2</v>
      </c>
      <c r="P108" s="4"/>
      <c r="Q108" s="4"/>
      <c r="R108" s="4"/>
      <c r="S108" s="4"/>
      <c r="T108" s="4"/>
      <c r="U108" s="4"/>
      <c r="V108" s="4"/>
      <c r="W108" s="4">
        <v>19572.71</v>
      </c>
      <c r="X108" s="4">
        <v>1</v>
      </c>
      <c r="Y108" s="4">
        <v>19572.71</v>
      </c>
      <c r="Z108" s="4"/>
      <c r="AA108" s="4"/>
      <c r="AB108" s="4"/>
    </row>
    <row r="109" spans="1:28" x14ac:dyDescent="0.2">
      <c r="A109" s="4">
        <v>50</v>
      </c>
      <c r="B109" s="4">
        <v>0</v>
      </c>
      <c r="C109" s="4">
        <v>0</v>
      </c>
      <c r="D109" s="4">
        <v>1</v>
      </c>
      <c r="E109" s="4">
        <v>231</v>
      </c>
      <c r="F109" s="4">
        <f>ROUND(Source!BB96,O109)</f>
        <v>0</v>
      </c>
      <c r="G109" s="4" t="s">
        <v>83</v>
      </c>
      <c r="H109" s="4" t="s">
        <v>84</v>
      </c>
      <c r="I109" s="4"/>
      <c r="J109" s="4"/>
      <c r="K109" s="4">
        <v>231</v>
      </c>
      <c r="L109" s="4">
        <v>12</v>
      </c>
      <c r="M109" s="4">
        <v>3</v>
      </c>
      <c r="N109" s="4" t="s">
        <v>3</v>
      </c>
      <c r="O109" s="4">
        <v>2</v>
      </c>
      <c r="P109" s="4"/>
      <c r="Q109" s="4"/>
      <c r="R109" s="4"/>
      <c r="S109" s="4"/>
      <c r="T109" s="4"/>
      <c r="U109" s="4"/>
      <c r="V109" s="4"/>
      <c r="W109" s="4">
        <v>0</v>
      </c>
      <c r="X109" s="4">
        <v>1</v>
      </c>
      <c r="Y109" s="4">
        <v>0</v>
      </c>
      <c r="Z109" s="4"/>
      <c r="AA109" s="4"/>
      <c r="AB109" s="4"/>
    </row>
    <row r="110" spans="1:28" x14ac:dyDescent="0.2">
      <c r="A110" s="4">
        <v>50</v>
      </c>
      <c r="B110" s="4">
        <v>0</v>
      </c>
      <c r="C110" s="4">
        <v>0</v>
      </c>
      <c r="D110" s="4">
        <v>1</v>
      </c>
      <c r="E110" s="4">
        <v>204</v>
      </c>
      <c r="F110" s="4">
        <f>ROUND(Source!R96,O110)</f>
        <v>3484.13</v>
      </c>
      <c r="G110" s="4" t="s">
        <v>85</v>
      </c>
      <c r="H110" s="4" t="s">
        <v>86</v>
      </c>
      <c r="I110" s="4"/>
      <c r="J110" s="4"/>
      <c r="K110" s="4">
        <v>204</v>
      </c>
      <c r="L110" s="4">
        <v>13</v>
      </c>
      <c r="M110" s="4">
        <v>3</v>
      </c>
      <c r="N110" s="4" t="s">
        <v>3</v>
      </c>
      <c r="O110" s="4">
        <v>2</v>
      </c>
      <c r="P110" s="4"/>
      <c r="Q110" s="4"/>
      <c r="R110" s="4"/>
      <c r="S110" s="4"/>
      <c r="T110" s="4"/>
      <c r="U110" s="4"/>
      <c r="V110" s="4"/>
      <c r="W110" s="4">
        <v>3484.13</v>
      </c>
      <c r="X110" s="4">
        <v>1</v>
      </c>
      <c r="Y110" s="4">
        <v>3484.13</v>
      </c>
      <c r="Z110" s="4"/>
      <c r="AA110" s="4"/>
      <c r="AB110" s="4"/>
    </row>
    <row r="111" spans="1:28" x14ac:dyDescent="0.2">
      <c r="A111" s="4">
        <v>50</v>
      </c>
      <c r="B111" s="4">
        <v>0</v>
      </c>
      <c r="C111" s="4">
        <v>0</v>
      </c>
      <c r="D111" s="4">
        <v>1</v>
      </c>
      <c r="E111" s="4">
        <v>205</v>
      </c>
      <c r="F111" s="4">
        <f>ROUND(Source!S96,O111)</f>
        <v>157353.51999999999</v>
      </c>
      <c r="G111" s="4" t="s">
        <v>87</v>
      </c>
      <c r="H111" s="4" t="s">
        <v>88</v>
      </c>
      <c r="I111" s="4"/>
      <c r="J111" s="4"/>
      <c r="K111" s="4">
        <v>205</v>
      </c>
      <c r="L111" s="4">
        <v>14</v>
      </c>
      <c r="M111" s="4">
        <v>3</v>
      </c>
      <c r="N111" s="4" t="s">
        <v>3</v>
      </c>
      <c r="O111" s="4">
        <v>2</v>
      </c>
      <c r="P111" s="4"/>
      <c r="Q111" s="4"/>
      <c r="R111" s="4"/>
      <c r="S111" s="4"/>
      <c r="T111" s="4"/>
      <c r="U111" s="4"/>
      <c r="V111" s="4"/>
      <c r="W111" s="4">
        <v>157353.51999999999</v>
      </c>
      <c r="X111" s="4">
        <v>1</v>
      </c>
      <c r="Y111" s="4">
        <v>157353.51999999999</v>
      </c>
      <c r="Z111" s="4"/>
      <c r="AA111" s="4"/>
      <c r="AB111" s="4"/>
    </row>
    <row r="112" spans="1:28" x14ac:dyDescent="0.2">
      <c r="A112" s="4">
        <v>50</v>
      </c>
      <c r="B112" s="4">
        <v>0</v>
      </c>
      <c r="C112" s="4">
        <v>0</v>
      </c>
      <c r="D112" s="4">
        <v>1</v>
      </c>
      <c r="E112" s="4">
        <v>232</v>
      </c>
      <c r="F112" s="4">
        <f>ROUND(Source!BC96,O112)</f>
        <v>0</v>
      </c>
      <c r="G112" s="4" t="s">
        <v>89</v>
      </c>
      <c r="H112" s="4" t="s">
        <v>90</v>
      </c>
      <c r="I112" s="4"/>
      <c r="J112" s="4"/>
      <c r="K112" s="4">
        <v>232</v>
      </c>
      <c r="L112" s="4">
        <v>15</v>
      </c>
      <c r="M112" s="4">
        <v>3</v>
      </c>
      <c r="N112" s="4" t="s">
        <v>3</v>
      </c>
      <c r="O112" s="4">
        <v>2</v>
      </c>
      <c r="P112" s="4"/>
      <c r="Q112" s="4"/>
      <c r="R112" s="4"/>
      <c r="S112" s="4"/>
      <c r="T112" s="4"/>
      <c r="U112" s="4"/>
      <c r="V112" s="4"/>
      <c r="W112" s="4">
        <v>0</v>
      </c>
      <c r="X112" s="4">
        <v>1</v>
      </c>
      <c r="Y112" s="4">
        <v>0</v>
      </c>
      <c r="Z112" s="4"/>
      <c r="AA112" s="4"/>
      <c r="AB112" s="4"/>
    </row>
    <row r="113" spans="1:28" x14ac:dyDescent="0.2">
      <c r="A113" s="4">
        <v>50</v>
      </c>
      <c r="B113" s="4">
        <v>0</v>
      </c>
      <c r="C113" s="4">
        <v>0</v>
      </c>
      <c r="D113" s="4">
        <v>1</v>
      </c>
      <c r="E113" s="4">
        <v>214</v>
      </c>
      <c r="F113" s="4">
        <f>ROUND(Source!AS96,O113)</f>
        <v>25147.32</v>
      </c>
      <c r="G113" s="4" t="s">
        <v>91</v>
      </c>
      <c r="H113" s="4" t="s">
        <v>92</v>
      </c>
      <c r="I113" s="4"/>
      <c r="J113" s="4"/>
      <c r="K113" s="4">
        <v>214</v>
      </c>
      <c r="L113" s="4">
        <v>16</v>
      </c>
      <c r="M113" s="4">
        <v>3</v>
      </c>
      <c r="N113" s="4" t="s">
        <v>3</v>
      </c>
      <c r="O113" s="4">
        <v>2</v>
      </c>
      <c r="P113" s="4"/>
      <c r="Q113" s="4"/>
      <c r="R113" s="4"/>
      <c r="S113" s="4"/>
      <c r="T113" s="4"/>
      <c r="U113" s="4"/>
      <c r="V113" s="4"/>
      <c r="W113" s="4">
        <v>25147.32</v>
      </c>
      <c r="X113" s="4">
        <v>1</v>
      </c>
      <c r="Y113" s="4">
        <v>25147.32</v>
      </c>
      <c r="Z113" s="4"/>
      <c r="AA113" s="4"/>
      <c r="AB113" s="4"/>
    </row>
    <row r="114" spans="1:28" x14ac:dyDescent="0.2">
      <c r="A114" s="4">
        <v>50</v>
      </c>
      <c r="B114" s="4">
        <v>0</v>
      </c>
      <c r="C114" s="4">
        <v>0</v>
      </c>
      <c r="D114" s="4">
        <v>1</v>
      </c>
      <c r="E114" s="4">
        <v>215</v>
      </c>
      <c r="F114" s="4">
        <f>ROUND(Source!AT96,O114)</f>
        <v>0</v>
      </c>
      <c r="G114" s="4" t="s">
        <v>93</v>
      </c>
      <c r="H114" s="4" t="s">
        <v>94</v>
      </c>
      <c r="I114" s="4"/>
      <c r="J114" s="4"/>
      <c r="K114" s="4">
        <v>215</v>
      </c>
      <c r="L114" s="4">
        <v>17</v>
      </c>
      <c r="M114" s="4">
        <v>3</v>
      </c>
      <c r="N114" s="4" t="s">
        <v>3</v>
      </c>
      <c r="O114" s="4">
        <v>2</v>
      </c>
      <c r="P114" s="4"/>
      <c r="Q114" s="4"/>
      <c r="R114" s="4"/>
      <c r="S114" s="4"/>
      <c r="T114" s="4"/>
      <c r="U114" s="4"/>
      <c r="V114" s="4"/>
      <c r="W114" s="4">
        <v>0</v>
      </c>
      <c r="X114" s="4">
        <v>1</v>
      </c>
      <c r="Y114" s="4">
        <v>0</v>
      </c>
      <c r="Z114" s="4"/>
      <c r="AA114" s="4"/>
      <c r="AB114" s="4"/>
    </row>
    <row r="115" spans="1:28" x14ac:dyDescent="0.2">
      <c r="A115" s="4">
        <v>50</v>
      </c>
      <c r="B115" s="4">
        <v>0</v>
      </c>
      <c r="C115" s="4">
        <v>0</v>
      </c>
      <c r="D115" s="4">
        <v>1</v>
      </c>
      <c r="E115" s="4">
        <v>217</v>
      </c>
      <c r="F115" s="4">
        <f>ROUND(Source!AU96,O115)</f>
        <v>332015.94</v>
      </c>
      <c r="G115" s="4" t="s">
        <v>95</v>
      </c>
      <c r="H115" s="4" t="s">
        <v>96</v>
      </c>
      <c r="I115" s="4"/>
      <c r="J115" s="4"/>
      <c r="K115" s="4">
        <v>217</v>
      </c>
      <c r="L115" s="4">
        <v>18</v>
      </c>
      <c r="M115" s="4">
        <v>3</v>
      </c>
      <c r="N115" s="4" t="s">
        <v>3</v>
      </c>
      <c r="O115" s="4">
        <v>2</v>
      </c>
      <c r="P115" s="4"/>
      <c r="Q115" s="4"/>
      <c r="R115" s="4"/>
      <c r="S115" s="4"/>
      <c r="T115" s="4"/>
      <c r="U115" s="4"/>
      <c r="V115" s="4"/>
      <c r="W115" s="4">
        <v>332015.94</v>
      </c>
      <c r="X115" s="4">
        <v>1</v>
      </c>
      <c r="Y115" s="4">
        <v>332015.94</v>
      </c>
      <c r="Z115" s="4"/>
      <c r="AA115" s="4"/>
      <c r="AB115" s="4"/>
    </row>
    <row r="116" spans="1:28" x14ac:dyDescent="0.2">
      <c r="A116" s="4">
        <v>50</v>
      </c>
      <c r="B116" s="4">
        <v>0</v>
      </c>
      <c r="C116" s="4">
        <v>0</v>
      </c>
      <c r="D116" s="4">
        <v>1</v>
      </c>
      <c r="E116" s="4">
        <v>230</v>
      </c>
      <c r="F116" s="4">
        <f>ROUND(Source!BA96,O116)</f>
        <v>0</v>
      </c>
      <c r="G116" s="4" t="s">
        <v>97</v>
      </c>
      <c r="H116" s="4" t="s">
        <v>98</v>
      </c>
      <c r="I116" s="4"/>
      <c r="J116" s="4"/>
      <c r="K116" s="4">
        <v>230</v>
      </c>
      <c r="L116" s="4">
        <v>19</v>
      </c>
      <c r="M116" s="4">
        <v>3</v>
      </c>
      <c r="N116" s="4" t="s">
        <v>3</v>
      </c>
      <c r="O116" s="4">
        <v>2</v>
      </c>
      <c r="P116" s="4"/>
      <c r="Q116" s="4"/>
      <c r="R116" s="4"/>
      <c r="S116" s="4"/>
      <c r="T116" s="4"/>
      <c r="U116" s="4"/>
      <c r="V116" s="4"/>
      <c r="W116" s="4">
        <v>0</v>
      </c>
      <c r="X116" s="4">
        <v>1</v>
      </c>
      <c r="Y116" s="4">
        <v>0</v>
      </c>
      <c r="Z116" s="4"/>
      <c r="AA116" s="4"/>
      <c r="AB116" s="4"/>
    </row>
    <row r="117" spans="1:28" x14ac:dyDescent="0.2">
      <c r="A117" s="4">
        <v>50</v>
      </c>
      <c r="B117" s="4">
        <v>0</v>
      </c>
      <c r="C117" s="4">
        <v>0</v>
      </c>
      <c r="D117" s="4">
        <v>1</v>
      </c>
      <c r="E117" s="4">
        <v>206</v>
      </c>
      <c r="F117" s="4">
        <f>ROUND(Source!T96,O117)</f>
        <v>0</v>
      </c>
      <c r="G117" s="4" t="s">
        <v>99</v>
      </c>
      <c r="H117" s="4" t="s">
        <v>100</v>
      </c>
      <c r="I117" s="4"/>
      <c r="J117" s="4"/>
      <c r="K117" s="4">
        <v>206</v>
      </c>
      <c r="L117" s="4">
        <v>20</v>
      </c>
      <c r="M117" s="4">
        <v>3</v>
      </c>
      <c r="N117" s="4" t="s">
        <v>3</v>
      </c>
      <c r="O117" s="4">
        <v>2</v>
      </c>
      <c r="P117" s="4"/>
      <c r="Q117" s="4"/>
      <c r="R117" s="4"/>
      <c r="S117" s="4"/>
      <c r="T117" s="4"/>
      <c r="U117" s="4"/>
      <c r="V117" s="4"/>
      <c r="W117" s="4">
        <v>0</v>
      </c>
      <c r="X117" s="4">
        <v>1</v>
      </c>
      <c r="Y117" s="4">
        <v>0</v>
      </c>
      <c r="Z117" s="4"/>
      <c r="AA117" s="4"/>
      <c r="AB117" s="4"/>
    </row>
    <row r="118" spans="1:28" x14ac:dyDescent="0.2">
      <c r="A118" s="4">
        <v>50</v>
      </c>
      <c r="B118" s="4">
        <v>0</v>
      </c>
      <c r="C118" s="4">
        <v>0</v>
      </c>
      <c r="D118" s="4">
        <v>1</v>
      </c>
      <c r="E118" s="4">
        <v>207</v>
      </c>
      <c r="F118" s="4">
        <f>ROUND(Source!U96,O118)</f>
        <v>296.42</v>
      </c>
      <c r="G118" s="4" t="s">
        <v>101</v>
      </c>
      <c r="H118" s="4" t="s">
        <v>102</v>
      </c>
      <c r="I118" s="4"/>
      <c r="J118" s="4"/>
      <c r="K118" s="4">
        <v>207</v>
      </c>
      <c r="L118" s="4">
        <v>21</v>
      </c>
      <c r="M118" s="4">
        <v>3</v>
      </c>
      <c r="N118" s="4" t="s">
        <v>3</v>
      </c>
      <c r="O118" s="4">
        <v>2</v>
      </c>
      <c r="P118" s="4"/>
      <c r="Q118" s="4"/>
      <c r="R118" s="4"/>
      <c r="S118" s="4"/>
      <c r="T118" s="4"/>
      <c r="U118" s="4"/>
      <c r="V118" s="4"/>
      <c r="W118" s="4">
        <v>296.42</v>
      </c>
      <c r="X118" s="4">
        <v>1</v>
      </c>
      <c r="Y118" s="4">
        <v>296.42</v>
      </c>
      <c r="Z118" s="4"/>
      <c r="AA118" s="4"/>
      <c r="AB118" s="4"/>
    </row>
    <row r="119" spans="1:28" x14ac:dyDescent="0.2">
      <c r="A119" s="4">
        <v>50</v>
      </c>
      <c r="B119" s="4">
        <v>0</v>
      </c>
      <c r="C119" s="4">
        <v>0</v>
      </c>
      <c r="D119" s="4">
        <v>1</v>
      </c>
      <c r="E119" s="4">
        <v>208</v>
      </c>
      <c r="F119" s="4">
        <f>ROUND(Source!V96,O119)</f>
        <v>0</v>
      </c>
      <c r="G119" s="4" t="s">
        <v>103</v>
      </c>
      <c r="H119" s="4" t="s">
        <v>104</v>
      </c>
      <c r="I119" s="4"/>
      <c r="J119" s="4"/>
      <c r="K119" s="4">
        <v>208</v>
      </c>
      <c r="L119" s="4">
        <v>22</v>
      </c>
      <c r="M119" s="4">
        <v>3</v>
      </c>
      <c r="N119" s="4" t="s">
        <v>3</v>
      </c>
      <c r="O119" s="4">
        <v>2</v>
      </c>
      <c r="P119" s="4"/>
      <c r="Q119" s="4"/>
      <c r="R119" s="4"/>
      <c r="S119" s="4"/>
      <c r="T119" s="4"/>
      <c r="U119" s="4"/>
      <c r="V119" s="4"/>
      <c r="W119" s="4">
        <v>0</v>
      </c>
      <c r="X119" s="4">
        <v>1</v>
      </c>
      <c r="Y119" s="4">
        <v>0</v>
      </c>
      <c r="Z119" s="4"/>
      <c r="AA119" s="4"/>
      <c r="AB119" s="4"/>
    </row>
    <row r="120" spans="1:28" x14ac:dyDescent="0.2">
      <c r="A120" s="4">
        <v>50</v>
      </c>
      <c r="B120" s="4">
        <v>0</v>
      </c>
      <c r="C120" s="4">
        <v>0</v>
      </c>
      <c r="D120" s="4">
        <v>1</v>
      </c>
      <c r="E120" s="4">
        <v>209</v>
      </c>
      <c r="F120" s="4">
        <f>ROUND(Source!W96,O120)</f>
        <v>0</v>
      </c>
      <c r="G120" s="4" t="s">
        <v>105</v>
      </c>
      <c r="H120" s="4" t="s">
        <v>106</v>
      </c>
      <c r="I120" s="4"/>
      <c r="J120" s="4"/>
      <c r="K120" s="4">
        <v>209</v>
      </c>
      <c r="L120" s="4">
        <v>23</v>
      </c>
      <c r="M120" s="4">
        <v>3</v>
      </c>
      <c r="N120" s="4" t="s">
        <v>3</v>
      </c>
      <c r="O120" s="4">
        <v>2</v>
      </c>
      <c r="P120" s="4"/>
      <c r="Q120" s="4"/>
      <c r="R120" s="4"/>
      <c r="S120" s="4"/>
      <c r="T120" s="4"/>
      <c r="U120" s="4"/>
      <c r="V120" s="4"/>
      <c r="W120" s="4">
        <v>0</v>
      </c>
      <c r="X120" s="4">
        <v>1</v>
      </c>
      <c r="Y120" s="4">
        <v>0</v>
      </c>
      <c r="Z120" s="4"/>
      <c r="AA120" s="4"/>
      <c r="AB120" s="4"/>
    </row>
    <row r="121" spans="1:28" x14ac:dyDescent="0.2">
      <c r="A121" s="4">
        <v>50</v>
      </c>
      <c r="B121" s="4">
        <v>0</v>
      </c>
      <c r="C121" s="4">
        <v>0</v>
      </c>
      <c r="D121" s="4">
        <v>1</v>
      </c>
      <c r="E121" s="4">
        <v>233</v>
      </c>
      <c r="F121" s="4">
        <f>ROUND(Source!BD96,O121)</f>
        <v>0</v>
      </c>
      <c r="G121" s="4" t="s">
        <v>107</v>
      </c>
      <c r="H121" s="4" t="s">
        <v>108</v>
      </c>
      <c r="I121" s="4"/>
      <c r="J121" s="4"/>
      <c r="K121" s="4">
        <v>233</v>
      </c>
      <c r="L121" s="4">
        <v>24</v>
      </c>
      <c r="M121" s="4">
        <v>3</v>
      </c>
      <c r="N121" s="4" t="s">
        <v>3</v>
      </c>
      <c r="O121" s="4">
        <v>2</v>
      </c>
      <c r="P121" s="4"/>
      <c r="Q121" s="4"/>
      <c r="R121" s="4"/>
      <c r="S121" s="4"/>
      <c r="T121" s="4"/>
      <c r="U121" s="4"/>
      <c r="V121" s="4"/>
      <c r="W121" s="4">
        <v>0</v>
      </c>
      <c r="X121" s="4">
        <v>1</v>
      </c>
      <c r="Y121" s="4">
        <v>0</v>
      </c>
      <c r="Z121" s="4"/>
      <c r="AA121" s="4"/>
      <c r="AB121" s="4"/>
    </row>
    <row r="122" spans="1:28" x14ac:dyDescent="0.2">
      <c r="A122" s="4">
        <v>50</v>
      </c>
      <c r="B122" s="4">
        <v>0</v>
      </c>
      <c r="C122" s="4">
        <v>0</v>
      </c>
      <c r="D122" s="4">
        <v>1</v>
      </c>
      <c r="E122" s="4">
        <v>210</v>
      </c>
      <c r="F122" s="4">
        <f>ROUND(Source!X96,O122)</f>
        <v>110147.47</v>
      </c>
      <c r="G122" s="4" t="s">
        <v>109</v>
      </c>
      <c r="H122" s="4" t="s">
        <v>110</v>
      </c>
      <c r="I122" s="4"/>
      <c r="J122" s="4"/>
      <c r="K122" s="4">
        <v>210</v>
      </c>
      <c r="L122" s="4">
        <v>25</v>
      </c>
      <c r="M122" s="4">
        <v>3</v>
      </c>
      <c r="N122" s="4" t="s">
        <v>3</v>
      </c>
      <c r="O122" s="4">
        <v>2</v>
      </c>
      <c r="P122" s="4"/>
      <c r="Q122" s="4"/>
      <c r="R122" s="4"/>
      <c r="S122" s="4"/>
      <c r="T122" s="4"/>
      <c r="U122" s="4"/>
      <c r="V122" s="4"/>
      <c r="W122" s="4">
        <v>110147.47</v>
      </c>
      <c r="X122" s="4">
        <v>1</v>
      </c>
      <c r="Y122" s="4">
        <v>110147.47</v>
      </c>
      <c r="Z122" s="4"/>
      <c r="AA122" s="4"/>
      <c r="AB122" s="4"/>
    </row>
    <row r="123" spans="1:28" x14ac:dyDescent="0.2">
      <c r="A123" s="4">
        <v>50</v>
      </c>
      <c r="B123" s="4">
        <v>0</v>
      </c>
      <c r="C123" s="4">
        <v>0</v>
      </c>
      <c r="D123" s="4">
        <v>1</v>
      </c>
      <c r="E123" s="4">
        <v>211</v>
      </c>
      <c r="F123" s="4">
        <f>ROUND(Source!Y96,O123)</f>
        <v>64514.95</v>
      </c>
      <c r="G123" s="4" t="s">
        <v>111</v>
      </c>
      <c r="H123" s="4" t="s">
        <v>112</v>
      </c>
      <c r="I123" s="4"/>
      <c r="J123" s="4"/>
      <c r="K123" s="4">
        <v>211</v>
      </c>
      <c r="L123" s="4">
        <v>26</v>
      </c>
      <c r="M123" s="4">
        <v>3</v>
      </c>
      <c r="N123" s="4" t="s">
        <v>3</v>
      </c>
      <c r="O123" s="4">
        <v>2</v>
      </c>
      <c r="P123" s="4"/>
      <c r="Q123" s="4"/>
      <c r="R123" s="4"/>
      <c r="S123" s="4"/>
      <c r="T123" s="4"/>
      <c r="U123" s="4"/>
      <c r="V123" s="4"/>
      <c r="W123" s="4">
        <v>64514.95</v>
      </c>
      <c r="X123" s="4">
        <v>1</v>
      </c>
      <c r="Y123" s="4">
        <v>64514.95</v>
      </c>
      <c r="Z123" s="4"/>
      <c r="AA123" s="4"/>
      <c r="AB123" s="4"/>
    </row>
    <row r="124" spans="1:28" x14ac:dyDescent="0.2">
      <c r="A124" s="4">
        <v>50</v>
      </c>
      <c r="B124" s="4">
        <v>0</v>
      </c>
      <c r="C124" s="4">
        <v>0</v>
      </c>
      <c r="D124" s="4">
        <v>1</v>
      </c>
      <c r="E124" s="4">
        <v>224</v>
      </c>
      <c r="F124" s="4">
        <f>ROUND(Source!AR96,O124)</f>
        <v>357163.26</v>
      </c>
      <c r="G124" s="4" t="s">
        <v>113</v>
      </c>
      <c r="H124" s="4" t="s">
        <v>114</v>
      </c>
      <c r="I124" s="4"/>
      <c r="J124" s="4"/>
      <c r="K124" s="4">
        <v>224</v>
      </c>
      <c r="L124" s="4">
        <v>27</v>
      </c>
      <c r="M124" s="4">
        <v>3</v>
      </c>
      <c r="N124" s="4" t="s">
        <v>3</v>
      </c>
      <c r="O124" s="4">
        <v>2</v>
      </c>
      <c r="P124" s="4"/>
      <c r="Q124" s="4"/>
      <c r="R124" s="4"/>
      <c r="S124" s="4"/>
      <c r="T124" s="4"/>
      <c r="U124" s="4"/>
      <c r="V124" s="4"/>
      <c r="W124" s="4">
        <v>357163.26</v>
      </c>
      <c r="X124" s="4">
        <v>1</v>
      </c>
      <c r="Y124" s="4">
        <v>357163.26</v>
      </c>
      <c r="Z124" s="4"/>
      <c r="AA124" s="4"/>
      <c r="AB124" s="4"/>
    </row>
    <row r="126" spans="1:28" x14ac:dyDescent="0.2">
      <c r="A126">
        <v>71</v>
      </c>
      <c r="B126">
        <v>1</v>
      </c>
      <c r="D126">
        <v>381</v>
      </c>
      <c r="E126">
        <v>32843822</v>
      </c>
      <c r="F126" t="s">
        <v>3</v>
      </c>
      <c r="G126" t="s">
        <v>3</v>
      </c>
      <c r="H126">
        <v>-1</v>
      </c>
      <c r="I126">
        <v>-1</v>
      </c>
    </row>
    <row r="127" spans="1:28" x14ac:dyDescent="0.2">
      <c r="A127">
        <v>71</v>
      </c>
      <c r="B127">
        <v>1</v>
      </c>
      <c r="D127">
        <v>388</v>
      </c>
      <c r="E127">
        <v>32843822</v>
      </c>
      <c r="F127" t="s">
        <v>3</v>
      </c>
      <c r="G127" t="s">
        <v>3</v>
      </c>
      <c r="H127">
        <v>-1</v>
      </c>
      <c r="I127">
        <v>-1</v>
      </c>
    </row>
    <row r="130" spans="1:50" x14ac:dyDescent="0.2">
      <c r="A130">
        <v>70</v>
      </c>
      <c r="B130">
        <v>1</v>
      </c>
      <c r="D130">
        <v>1</v>
      </c>
      <c r="E130" t="s">
        <v>115</v>
      </c>
      <c r="F130" t="s">
        <v>116</v>
      </c>
      <c r="G130">
        <v>0</v>
      </c>
      <c r="H130">
        <v>0</v>
      </c>
      <c r="I130" t="s">
        <v>3</v>
      </c>
      <c r="J130">
        <v>0</v>
      </c>
      <c r="K130">
        <v>0</v>
      </c>
      <c r="L130" t="s">
        <v>3</v>
      </c>
      <c r="M130" t="s">
        <v>3</v>
      </c>
      <c r="N130">
        <v>0</v>
      </c>
      <c r="P130" t="s">
        <v>3</v>
      </c>
    </row>
    <row r="132" spans="1:50" x14ac:dyDescent="0.2">
      <c r="A132">
        <v>-1</v>
      </c>
    </row>
    <row r="134" spans="1:50" x14ac:dyDescent="0.2">
      <c r="A134" s="3">
        <v>75</v>
      </c>
      <c r="B134" s="3" t="s">
        <v>117</v>
      </c>
      <c r="C134" s="3">
        <v>2024</v>
      </c>
      <c r="D134" s="3">
        <v>0</v>
      </c>
      <c r="E134" s="3">
        <v>4</v>
      </c>
      <c r="F134" s="3"/>
      <c r="G134" s="3">
        <v>0</v>
      </c>
      <c r="H134" s="3">
        <v>2</v>
      </c>
      <c r="I134" s="3">
        <v>1</v>
      </c>
      <c r="J134" s="3">
        <v>1</v>
      </c>
      <c r="K134" s="3">
        <v>95</v>
      </c>
      <c r="L134" s="3">
        <v>65</v>
      </c>
      <c r="M134" s="3">
        <v>0</v>
      </c>
      <c r="N134" s="3">
        <v>55810748</v>
      </c>
      <c r="O134" s="3">
        <v>1</v>
      </c>
    </row>
    <row r="135" spans="1:50" x14ac:dyDescent="0.2">
      <c r="A135" s="5">
        <v>1</v>
      </c>
      <c r="B135" s="5" t="s">
        <v>118</v>
      </c>
      <c r="C135" s="5" t="s">
        <v>119</v>
      </c>
      <c r="D135" s="5">
        <v>2024</v>
      </c>
      <c r="E135" s="5">
        <v>7</v>
      </c>
      <c r="F135" s="5">
        <v>1</v>
      </c>
      <c r="G135" s="5">
        <v>1</v>
      </c>
      <c r="H135" s="5">
        <v>0</v>
      </c>
      <c r="I135" s="5">
        <v>2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 t="s">
        <v>3</v>
      </c>
      <c r="S135" s="5" t="s">
        <v>3</v>
      </c>
      <c r="T135" s="5" t="s">
        <v>3</v>
      </c>
      <c r="U135" s="5" t="s">
        <v>3</v>
      </c>
      <c r="V135" s="5" t="s">
        <v>3</v>
      </c>
      <c r="W135" s="5" t="s">
        <v>3</v>
      </c>
      <c r="X135" s="5" t="s">
        <v>3</v>
      </c>
      <c r="Y135" s="5" t="s">
        <v>3</v>
      </c>
      <c r="Z135" s="5" t="s">
        <v>3</v>
      </c>
      <c r="AA135" s="5" t="s">
        <v>120</v>
      </c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v>55810749</v>
      </c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9" spans="1:50" x14ac:dyDescent="0.2">
      <c r="A139">
        <v>65</v>
      </c>
      <c r="C139">
        <v>1</v>
      </c>
      <c r="D139">
        <v>0</v>
      </c>
      <c r="E13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121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160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77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55810748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1</v>
      </c>
      <c r="C16" s="6" t="s">
        <v>13</v>
      </c>
      <c r="D16" s="6" t="s">
        <v>13</v>
      </c>
      <c r="E16" s="7">
        <f>ROUND((Source!F83)/1000,2)</f>
        <v>25.15</v>
      </c>
      <c r="F16" s="7">
        <f>ROUND((Source!F84)/1000,2)</f>
        <v>0</v>
      </c>
      <c r="G16" s="7">
        <f>ROUND((Source!F75)/1000,2)</f>
        <v>0</v>
      </c>
      <c r="H16" s="7">
        <f>ROUND((Source!F85)/1000+(Source!F86)/1000,2)</f>
        <v>332.02</v>
      </c>
      <c r="I16" s="7">
        <f>E16+F16+G16+H16</f>
        <v>357.16999999999996</v>
      </c>
      <c r="J16" s="7">
        <f>ROUND((Source!F81+Source!F80)/1000,2)</f>
        <v>160.84</v>
      </c>
      <c r="K16" s="7">
        <v>176.93</v>
      </c>
      <c r="L16" s="7">
        <v>0</v>
      </c>
      <c r="M16" s="7">
        <v>0</v>
      </c>
      <c r="N16" s="7">
        <f>I16+L16+M16</f>
        <v>357.16999999999996</v>
      </c>
      <c r="AI16" s="6">
        <v>0</v>
      </c>
      <c r="AJ16" s="6">
        <v>0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176926.23</v>
      </c>
      <c r="AU16" s="7">
        <v>0</v>
      </c>
      <c r="AW16" s="7">
        <v>0</v>
      </c>
      <c r="AX16" s="7">
        <v>0</v>
      </c>
      <c r="AY16" s="7">
        <v>19572.71</v>
      </c>
      <c r="AZ16" s="7">
        <v>3484.13</v>
      </c>
      <c r="BA16" s="7">
        <v>157353.51999999999</v>
      </c>
      <c r="BB16" s="7">
        <v>25147.32</v>
      </c>
      <c r="BC16" s="7">
        <v>0</v>
      </c>
      <c r="BD16" s="7">
        <v>332015.94</v>
      </c>
      <c r="BE16" s="7">
        <v>0</v>
      </c>
      <c r="BF16" s="7">
        <v>296.42</v>
      </c>
      <c r="BG16" s="7">
        <v>0</v>
      </c>
      <c r="BH16" s="7">
        <v>0</v>
      </c>
      <c r="BI16" s="7">
        <v>110147.47</v>
      </c>
      <c r="BJ16" s="7">
        <v>64514.95</v>
      </c>
      <c r="BK16" s="7">
        <v>357163.26</v>
      </c>
    </row>
    <row r="18" spans="1:16" x14ac:dyDescent="0.2">
      <c r="A18">
        <v>51</v>
      </c>
      <c r="E18">
        <v>25.15</v>
      </c>
      <c r="F18">
        <v>0</v>
      </c>
      <c r="G18">
        <v>0</v>
      </c>
      <c r="H18">
        <v>332.02</v>
      </c>
      <c r="I18">
        <v>357.17</v>
      </c>
      <c r="J18">
        <v>160.84</v>
      </c>
      <c r="K18">
        <v>176.93</v>
      </c>
      <c r="L18">
        <v>0</v>
      </c>
      <c r="M18">
        <v>0</v>
      </c>
      <c r="N18">
        <v>357.17</v>
      </c>
    </row>
    <row r="20" spans="1:16" x14ac:dyDescent="0.2">
      <c r="A20" s="4">
        <v>50</v>
      </c>
      <c r="B20" s="4">
        <v>0</v>
      </c>
      <c r="C20" s="4">
        <v>0</v>
      </c>
      <c r="D20" s="4">
        <v>1</v>
      </c>
      <c r="E20" s="4">
        <v>201</v>
      </c>
      <c r="F20" s="4">
        <v>176926.23</v>
      </c>
      <c r="G20" s="4" t="s">
        <v>61</v>
      </c>
      <c r="H20" s="4" t="s">
        <v>62</v>
      </c>
      <c r="I20" s="4"/>
      <c r="J20" s="4"/>
      <c r="K20" s="4">
        <v>201</v>
      </c>
      <c r="L20" s="4">
        <v>1</v>
      </c>
      <c r="M20" s="4">
        <v>3</v>
      </c>
      <c r="N20" s="4" t="s">
        <v>3</v>
      </c>
      <c r="O20" s="4">
        <v>2</v>
      </c>
      <c r="P20" s="4"/>
    </row>
    <row r="21" spans="1:16" x14ac:dyDescent="0.2">
      <c r="A21" s="4">
        <v>50</v>
      </c>
      <c r="B21" s="4">
        <v>0</v>
      </c>
      <c r="C21" s="4">
        <v>0</v>
      </c>
      <c r="D21" s="4">
        <v>1</v>
      </c>
      <c r="E21" s="4">
        <v>202</v>
      </c>
      <c r="F21" s="4">
        <v>0</v>
      </c>
      <c r="G21" s="4" t="s">
        <v>63</v>
      </c>
      <c r="H21" s="4" t="s">
        <v>64</v>
      </c>
      <c r="I21" s="4"/>
      <c r="J21" s="4"/>
      <c r="K21" s="4">
        <v>202</v>
      </c>
      <c r="L21" s="4">
        <v>2</v>
      </c>
      <c r="M21" s="4">
        <v>3</v>
      </c>
      <c r="N21" s="4" t="s">
        <v>3</v>
      </c>
      <c r="O21" s="4">
        <v>2</v>
      </c>
      <c r="P21" s="4"/>
    </row>
    <row r="22" spans="1:16" x14ac:dyDescent="0.2">
      <c r="A22" s="4">
        <v>50</v>
      </c>
      <c r="B22" s="4">
        <v>0</v>
      </c>
      <c r="C22" s="4">
        <v>0</v>
      </c>
      <c r="D22" s="4">
        <v>1</v>
      </c>
      <c r="E22" s="4">
        <v>227</v>
      </c>
      <c r="F22" s="4">
        <v>0</v>
      </c>
      <c r="G22" s="4" t="s">
        <v>65</v>
      </c>
      <c r="H22" s="4" t="s">
        <v>66</v>
      </c>
      <c r="I22" s="4"/>
      <c r="J22" s="4"/>
      <c r="K22" s="4">
        <v>222</v>
      </c>
      <c r="L22" s="4">
        <v>3</v>
      </c>
      <c r="M22" s="4">
        <v>3</v>
      </c>
      <c r="N22" s="4" t="s">
        <v>3</v>
      </c>
      <c r="O22" s="4">
        <v>2</v>
      </c>
      <c r="P22" s="4"/>
    </row>
    <row r="23" spans="1:16" x14ac:dyDescent="0.2">
      <c r="A23" s="4">
        <v>50</v>
      </c>
      <c r="B23" s="4">
        <v>0</v>
      </c>
      <c r="C23" s="4">
        <v>0</v>
      </c>
      <c r="D23" s="4">
        <v>1</v>
      </c>
      <c r="E23" s="4">
        <v>225</v>
      </c>
      <c r="F23" s="4">
        <v>0</v>
      </c>
      <c r="G23" s="4" t="s">
        <v>67</v>
      </c>
      <c r="H23" s="4" t="s">
        <v>68</v>
      </c>
      <c r="I23" s="4"/>
      <c r="J23" s="4"/>
      <c r="K23" s="4">
        <v>225</v>
      </c>
      <c r="L23" s="4">
        <v>4</v>
      </c>
      <c r="M23" s="4">
        <v>3</v>
      </c>
      <c r="N23" s="4" t="s">
        <v>3</v>
      </c>
      <c r="O23" s="4">
        <v>2</v>
      </c>
      <c r="P23" s="4"/>
    </row>
    <row r="24" spans="1:16" x14ac:dyDescent="0.2">
      <c r="A24" s="4">
        <v>50</v>
      </c>
      <c r="B24" s="4">
        <v>0</v>
      </c>
      <c r="C24" s="4">
        <v>0</v>
      </c>
      <c r="D24" s="4">
        <v>1</v>
      </c>
      <c r="E24" s="4">
        <v>226</v>
      </c>
      <c r="F24" s="4">
        <v>0</v>
      </c>
      <c r="G24" s="4" t="s">
        <v>69</v>
      </c>
      <c r="H24" s="4" t="s">
        <v>70</v>
      </c>
      <c r="I24" s="4"/>
      <c r="J24" s="4"/>
      <c r="K24" s="4">
        <v>226</v>
      </c>
      <c r="L24" s="4">
        <v>5</v>
      </c>
      <c r="M24" s="4">
        <v>3</v>
      </c>
      <c r="N24" s="4" t="s">
        <v>3</v>
      </c>
      <c r="O24" s="4">
        <v>2</v>
      </c>
      <c r="P24" s="4"/>
    </row>
    <row r="25" spans="1:16" x14ac:dyDescent="0.2">
      <c r="A25" s="4">
        <v>50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 t="s">
        <v>71</v>
      </c>
      <c r="H25" s="4" t="s">
        <v>72</v>
      </c>
      <c r="I25" s="4"/>
      <c r="J25" s="4"/>
      <c r="K25" s="4">
        <v>227</v>
      </c>
      <c r="L25" s="4">
        <v>6</v>
      </c>
      <c r="M25" s="4">
        <v>3</v>
      </c>
      <c r="N25" s="4" t="s">
        <v>3</v>
      </c>
      <c r="O25" s="4">
        <v>2</v>
      </c>
      <c r="P25" s="4"/>
    </row>
    <row r="26" spans="1:16" x14ac:dyDescent="0.2">
      <c r="A26" s="4">
        <v>50</v>
      </c>
      <c r="B26" s="4">
        <v>0</v>
      </c>
      <c r="C26" s="4">
        <v>0</v>
      </c>
      <c r="D26" s="4">
        <v>1</v>
      </c>
      <c r="E26" s="4">
        <v>228</v>
      </c>
      <c r="F26" s="4">
        <v>0</v>
      </c>
      <c r="G26" s="4" t="s">
        <v>73</v>
      </c>
      <c r="H26" s="4" t="s">
        <v>74</v>
      </c>
      <c r="I26" s="4"/>
      <c r="J26" s="4"/>
      <c r="K26" s="4">
        <v>228</v>
      </c>
      <c r="L26" s="4">
        <v>7</v>
      </c>
      <c r="M26" s="4">
        <v>3</v>
      </c>
      <c r="N26" s="4" t="s">
        <v>3</v>
      </c>
      <c r="O26" s="4">
        <v>2</v>
      </c>
      <c r="P26" s="4"/>
    </row>
    <row r="27" spans="1:16" x14ac:dyDescent="0.2">
      <c r="A27" s="4">
        <v>50</v>
      </c>
      <c r="B27" s="4">
        <v>0</v>
      </c>
      <c r="C27" s="4">
        <v>0</v>
      </c>
      <c r="D27" s="4">
        <v>1</v>
      </c>
      <c r="E27" s="4">
        <v>216</v>
      </c>
      <c r="F27" s="4">
        <v>0</v>
      </c>
      <c r="G27" s="4" t="s">
        <v>75</v>
      </c>
      <c r="H27" s="4" t="s">
        <v>76</v>
      </c>
      <c r="I27" s="4"/>
      <c r="J27" s="4"/>
      <c r="K27" s="4">
        <v>216</v>
      </c>
      <c r="L27" s="4">
        <v>8</v>
      </c>
      <c r="M27" s="4">
        <v>3</v>
      </c>
      <c r="N27" s="4" t="s">
        <v>3</v>
      </c>
      <c r="O27" s="4">
        <v>2</v>
      </c>
      <c r="P27" s="4"/>
    </row>
    <row r="28" spans="1:16" x14ac:dyDescent="0.2">
      <c r="A28" s="4">
        <v>50</v>
      </c>
      <c r="B28" s="4">
        <v>0</v>
      </c>
      <c r="C28" s="4">
        <v>0</v>
      </c>
      <c r="D28" s="4">
        <v>1</v>
      </c>
      <c r="E28" s="4">
        <v>223</v>
      </c>
      <c r="F28" s="4">
        <v>0</v>
      </c>
      <c r="G28" s="4" t="s">
        <v>77</v>
      </c>
      <c r="H28" s="4" t="s">
        <v>78</v>
      </c>
      <c r="I28" s="4"/>
      <c r="J28" s="4"/>
      <c r="K28" s="4">
        <v>223</v>
      </c>
      <c r="L28" s="4">
        <v>9</v>
      </c>
      <c r="M28" s="4">
        <v>3</v>
      </c>
      <c r="N28" s="4" t="s">
        <v>3</v>
      </c>
      <c r="O28" s="4">
        <v>2</v>
      </c>
      <c r="P28" s="4"/>
    </row>
    <row r="29" spans="1:16" x14ac:dyDescent="0.2">
      <c r="A29" s="4">
        <v>50</v>
      </c>
      <c r="B29" s="4">
        <v>0</v>
      </c>
      <c r="C29" s="4">
        <v>0</v>
      </c>
      <c r="D29" s="4">
        <v>1</v>
      </c>
      <c r="E29" s="4">
        <v>229</v>
      </c>
      <c r="F29" s="4">
        <v>0</v>
      </c>
      <c r="G29" s="4" t="s">
        <v>79</v>
      </c>
      <c r="H29" s="4" t="s">
        <v>80</v>
      </c>
      <c r="I29" s="4"/>
      <c r="J29" s="4"/>
      <c r="K29" s="4">
        <v>229</v>
      </c>
      <c r="L29" s="4">
        <v>10</v>
      </c>
      <c r="M29" s="4">
        <v>3</v>
      </c>
      <c r="N29" s="4" t="s">
        <v>3</v>
      </c>
      <c r="O29" s="4">
        <v>2</v>
      </c>
      <c r="P29" s="4"/>
    </row>
    <row r="30" spans="1:16" x14ac:dyDescent="0.2">
      <c r="A30" s="4">
        <v>50</v>
      </c>
      <c r="B30" s="4">
        <v>0</v>
      </c>
      <c r="C30" s="4">
        <v>0</v>
      </c>
      <c r="D30" s="4">
        <v>1</v>
      </c>
      <c r="E30" s="4">
        <v>203</v>
      </c>
      <c r="F30" s="4">
        <v>19572.71</v>
      </c>
      <c r="G30" s="4" t="s">
        <v>81</v>
      </c>
      <c r="H30" s="4" t="s">
        <v>82</v>
      </c>
      <c r="I30" s="4"/>
      <c r="J30" s="4"/>
      <c r="K30" s="4">
        <v>203</v>
      </c>
      <c r="L30" s="4">
        <v>11</v>
      </c>
      <c r="M30" s="4">
        <v>3</v>
      </c>
      <c r="N30" s="4" t="s">
        <v>3</v>
      </c>
      <c r="O30" s="4">
        <v>2</v>
      </c>
      <c r="P30" s="4"/>
    </row>
    <row r="31" spans="1:16" x14ac:dyDescent="0.2">
      <c r="A31" s="4">
        <v>50</v>
      </c>
      <c r="B31" s="4">
        <v>0</v>
      </c>
      <c r="C31" s="4">
        <v>0</v>
      </c>
      <c r="D31" s="4">
        <v>1</v>
      </c>
      <c r="E31" s="4">
        <v>231</v>
      </c>
      <c r="F31" s="4">
        <v>0</v>
      </c>
      <c r="G31" s="4" t="s">
        <v>83</v>
      </c>
      <c r="H31" s="4" t="s">
        <v>84</v>
      </c>
      <c r="I31" s="4"/>
      <c r="J31" s="4"/>
      <c r="K31" s="4">
        <v>231</v>
      </c>
      <c r="L31" s="4">
        <v>12</v>
      </c>
      <c r="M31" s="4">
        <v>3</v>
      </c>
      <c r="N31" s="4" t="s">
        <v>3</v>
      </c>
      <c r="O31" s="4">
        <v>2</v>
      </c>
      <c r="P31" s="4"/>
    </row>
    <row r="32" spans="1:16" x14ac:dyDescent="0.2">
      <c r="A32" s="4">
        <v>50</v>
      </c>
      <c r="B32" s="4">
        <v>0</v>
      </c>
      <c r="C32" s="4">
        <v>0</v>
      </c>
      <c r="D32" s="4">
        <v>1</v>
      </c>
      <c r="E32" s="4">
        <v>204</v>
      </c>
      <c r="F32" s="4">
        <v>3484.13</v>
      </c>
      <c r="G32" s="4" t="s">
        <v>85</v>
      </c>
      <c r="H32" s="4" t="s">
        <v>86</v>
      </c>
      <c r="I32" s="4"/>
      <c r="J32" s="4"/>
      <c r="K32" s="4">
        <v>204</v>
      </c>
      <c r="L32" s="4">
        <v>13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205</v>
      </c>
      <c r="F33" s="4">
        <v>157353.51999999999</v>
      </c>
      <c r="G33" s="4" t="s">
        <v>87</v>
      </c>
      <c r="H33" s="4" t="s">
        <v>88</v>
      </c>
      <c r="I33" s="4"/>
      <c r="J33" s="4"/>
      <c r="K33" s="4">
        <v>205</v>
      </c>
      <c r="L33" s="4">
        <v>14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232</v>
      </c>
      <c r="F34" s="4">
        <v>0</v>
      </c>
      <c r="G34" s="4" t="s">
        <v>89</v>
      </c>
      <c r="H34" s="4" t="s">
        <v>90</v>
      </c>
      <c r="I34" s="4"/>
      <c r="J34" s="4"/>
      <c r="K34" s="4">
        <v>232</v>
      </c>
      <c r="L34" s="4">
        <v>15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214</v>
      </c>
      <c r="F35" s="4">
        <v>25147.32</v>
      </c>
      <c r="G35" s="4" t="s">
        <v>91</v>
      </c>
      <c r="H35" s="4" t="s">
        <v>92</v>
      </c>
      <c r="I35" s="4"/>
      <c r="J35" s="4"/>
      <c r="K35" s="4">
        <v>214</v>
      </c>
      <c r="L35" s="4">
        <v>16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215</v>
      </c>
      <c r="F36" s="4">
        <v>0</v>
      </c>
      <c r="G36" s="4" t="s">
        <v>93</v>
      </c>
      <c r="H36" s="4" t="s">
        <v>94</v>
      </c>
      <c r="I36" s="4"/>
      <c r="J36" s="4"/>
      <c r="K36" s="4">
        <v>215</v>
      </c>
      <c r="L36" s="4">
        <v>17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217</v>
      </c>
      <c r="F37" s="4">
        <v>332015.94</v>
      </c>
      <c r="G37" s="4" t="s">
        <v>95</v>
      </c>
      <c r="H37" s="4" t="s">
        <v>96</v>
      </c>
      <c r="I37" s="4"/>
      <c r="J37" s="4"/>
      <c r="K37" s="4">
        <v>217</v>
      </c>
      <c r="L37" s="4">
        <v>18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230</v>
      </c>
      <c r="F38" s="4">
        <v>0</v>
      </c>
      <c r="G38" s="4" t="s">
        <v>97</v>
      </c>
      <c r="H38" s="4" t="s">
        <v>98</v>
      </c>
      <c r="I38" s="4"/>
      <c r="J38" s="4"/>
      <c r="K38" s="4">
        <v>230</v>
      </c>
      <c r="L38" s="4">
        <v>19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206</v>
      </c>
      <c r="F39" s="4">
        <v>0</v>
      </c>
      <c r="G39" s="4" t="s">
        <v>99</v>
      </c>
      <c r="H39" s="4" t="s">
        <v>100</v>
      </c>
      <c r="I39" s="4"/>
      <c r="J39" s="4"/>
      <c r="K39" s="4">
        <v>206</v>
      </c>
      <c r="L39" s="4">
        <v>20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207</v>
      </c>
      <c r="F40" s="4">
        <v>296.42</v>
      </c>
      <c r="G40" s="4" t="s">
        <v>101</v>
      </c>
      <c r="H40" s="4" t="s">
        <v>102</v>
      </c>
      <c r="I40" s="4"/>
      <c r="J40" s="4"/>
      <c r="K40" s="4">
        <v>207</v>
      </c>
      <c r="L40" s="4">
        <v>21</v>
      </c>
      <c r="M40" s="4">
        <v>3</v>
      </c>
      <c r="N40" s="4" t="s">
        <v>3</v>
      </c>
      <c r="O40" s="4">
        <v>2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208</v>
      </c>
      <c r="F41" s="4">
        <v>0</v>
      </c>
      <c r="G41" s="4" t="s">
        <v>103</v>
      </c>
      <c r="H41" s="4" t="s">
        <v>104</v>
      </c>
      <c r="I41" s="4"/>
      <c r="J41" s="4"/>
      <c r="K41" s="4">
        <v>208</v>
      </c>
      <c r="L41" s="4">
        <v>22</v>
      </c>
      <c r="M41" s="4">
        <v>3</v>
      </c>
      <c r="N41" s="4" t="s">
        <v>3</v>
      </c>
      <c r="O41" s="4">
        <v>2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209</v>
      </c>
      <c r="F42" s="4">
        <v>0</v>
      </c>
      <c r="G42" s="4" t="s">
        <v>105</v>
      </c>
      <c r="H42" s="4" t="s">
        <v>106</v>
      </c>
      <c r="I42" s="4"/>
      <c r="J42" s="4"/>
      <c r="K42" s="4">
        <v>209</v>
      </c>
      <c r="L42" s="4">
        <v>23</v>
      </c>
      <c r="M42" s="4">
        <v>3</v>
      </c>
      <c r="N42" s="4" t="s">
        <v>3</v>
      </c>
      <c r="O42" s="4">
        <v>2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233</v>
      </c>
      <c r="F43" s="4">
        <v>0</v>
      </c>
      <c r="G43" s="4" t="s">
        <v>107</v>
      </c>
      <c r="H43" s="4" t="s">
        <v>108</v>
      </c>
      <c r="I43" s="4"/>
      <c r="J43" s="4"/>
      <c r="K43" s="4">
        <v>233</v>
      </c>
      <c r="L43" s="4">
        <v>24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210</v>
      </c>
      <c r="F44" s="4">
        <v>110147.47</v>
      </c>
      <c r="G44" s="4" t="s">
        <v>109</v>
      </c>
      <c r="H44" s="4" t="s">
        <v>110</v>
      </c>
      <c r="I44" s="4"/>
      <c r="J44" s="4"/>
      <c r="K44" s="4">
        <v>210</v>
      </c>
      <c r="L44" s="4">
        <v>25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211</v>
      </c>
      <c r="F45" s="4">
        <v>64514.95</v>
      </c>
      <c r="G45" s="4" t="s">
        <v>111</v>
      </c>
      <c r="H45" s="4" t="s">
        <v>112</v>
      </c>
      <c r="I45" s="4"/>
      <c r="J45" s="4"/>
      <c r="K45" s="4">
        <v>211</v>
      </c>
      <c r="L45" s="4">
        <v>26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224</v>
      </c>
      <c r="F46" s="4">
        <v>357163.26</v>
      </c>
      <c r="G46" s="4" t="s">
        <v>113</v>
      </c>
      <c r="H46" s="4" t="s">
        <v>114</v>
      </c>
      <c r="I46" s="4"/>
      <c r="J46" s="4"/>
      <c r="K46" s="4">
        <v>224</v>
      </c>
      <c r="L46" s="4">
        <v>27</v>
      </c>
      <c r="M46" s="4">
        <v>3</v>
      </c>
      <c r="N46" s="4" t="s">
        <v>3</v>
      </c>
      <c r="O46" s="4">
        <v>2</v>
      </c>
      <c r="P46" s="4"/>
    </row>
    <row r="48" spans="1:16" x14ac:dyDescent="0.2">
      <c r="A48">
        <v>-1</v>
      </c>
    </row>
    <row r="51" spans="1:50" x14ac:dyDescent="0.2">
      <c r="A51" s="3">
        <v>75</v>
      </c>
      <c r="B51" s="3" t="s">
        <v>117</v>
      </c>
      <c r="C51" s="3">
        <v>2024</v>
      </c>
      <c r="D51" s="3">
        <v>0</v>
      </c>
      <c r="E51" s="3">
        <v>4</v>
      </c>
      <c r="F51" s="3"/>
      <c r="G51" s="3">
        <v>0</v>
      </c>
      <c r="H51" s="3">
        <v>2</v>
      </c>
      <c r="I51" s="3">
        <v>1</v>
      </c>
      <c r="J51" s="3">
        <v>1</v>
      </c>
      <c r="K51" s="3">
        <v>95</v>
      </c>
      <c r="L51" s="3">
        <v>65</v>
      </c>
      <c r="M51" s="3">
        <v>0</v>
      </c>
      <c r="N51" s="3">
        <v>55810748</v>
      </c>
      <c r="O51" s="3">
        <v>1</v>
      </c>
    </row>
    <row r="52" spans="1:50" x14ac:dyDescent="0.2">
      <c r="A52" s="5">
        <v>1</v>
      </c>
      <c r="B52" s="5" t="s">
        <v>118</v>
      </c>
      <c r="C52" s="5" t="s">
        <v>119</v>
      </c>
      <c r="D52" s="5">
        <v>2024</v>
      </c>
      <c r="E52" s="5">
        <v>7</v>
      </c>
      <c r="F52" s="5">
        <v>1</v>
      </c>
      <c r="G52" s="5">
        <v>1</v>
      </c>
      <c r="H52" s="5">
        <v>0</v>
      </c>
      <c r="I52" s="5">
        <v>2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120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55810749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26:I127"/>
  <sheetViews>
    <sheetView workbookViewId="0"/>
  </sheetViews>
  <sheetFormatPr defaultColWidth="9.140625" defaultRowHeight="12.75" x14ac:dyDescent="0.2"/>
  <cols>
    <col min="1" max="256" width="9.140625" customWidth="1"/>
  </cols>
  <sheetData>
    <row r="126" spans="9:9" x14ac:dyDescent="0.2">
      <c r="I126">
        <v>0</v>
      </c>
    </row>
    <row r="127" spans="9:9" x14ac:dyDescent="0.2">
      <c r="I127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55810873</v>
      </c>
      <c r="C1">
        <v>55810862</v>
      </c>
      <c r="D1">
        <v>39569243</v>
      </c>
      <c r="E1">
        <v>27786564</v>
      </c>
      <c r="F1">
        <v>1</v>
      </c>
      <c r="G1">
        <v>27786564</v>
      </c>
      <c r="H1">
        <v>1</v>
      </c>
      <c r="I1" t="s">
        <v>122</v>
      </c>
      <c r="J1" t="s">
        <v>3</v>
      </c>
      <c r="K1" t="s">
        <v>123</v>
      </c>
      <c r="L1">
        <v>1191</v>
      </c>
      <c r="N1">
        <v>1013</v>
      </c>
      <c r="O1" t="s">
        <v>124</v>
      </c>
      <c r="P1" t="s">
        <v>124</v>
      </c>
      <c r="Q1">
        <v>1</v>
      </c>
      <c r="X1">
        <v>65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52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55810874</v>
      </c>
      <c r="C2">
        <v>55810864</v>
      </c>
      <c r="D2">
        <v>30359939</v>
      </c>
      <c r="E2">
        <v>27786564</v>
      </c>
      <c r="F2">
        <v>1</v>
      </c>
      <c r="G2">
        <v>27786564</v>
      </c>
      <c r="H2">
        <v>1</v>
      </c>
      <c r="I2" t="s">
        <v>122</v>
      </c>
      <c r="J2" t="s">
        <v>3</v>
      </c>
      <c r="K2" t="s">
        <v>123</v>
      </c>
      <c r="L2">
        <v>1191</v>
      </c>
      <c r="N2">
        <v>1013</v>
      </c>
      <c r="O2" t="s">
        <v>124</v>
      </c>
      <c r="P2" t="s">
        <v>124</v>
      </c>
      <c r="Q2">
        <v>1</v>
      </c>
      <c r="X2">
        <v>9.2100000000000009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7.3680000000000012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55810875</v>
      </c>
      <c r="C3">
        <v>55810866</v>
      </c>
      <c r="D3">
        <v>30359939</v>
      </c>
      <c r="E3">
        <v>27786564</v>
      </c>
      <c r="F3">
        <v>1</v>
      </c>
      <c r="G3">
        <v>27786564</v>
      </c>
      <c r="H3">
        <v>1</v>
      </c>
      <c r="I3" t="s">
        <v>122</v>
      </c>
      <c r="J3" t="s">
        <v>3</v>
      </c>
      <c r="K3" t="s">
        <v>123</v>
      </c>
      <c r="L3">
        <v>1191</v>
      </c>
      <c r="N3">
        <v>1013</v>
      </c>
      <c r="O3" t="s">
        <v>124</v>
      </c>
      <c r="P3" t="s">
        <v>124</v>
      </c>
      <c r="Q3">
        <v>1</v>
      </c>
      <c r="X3">
        <v>0.36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3</v>
      </c>
      <c r="AG3">
        <v>0.36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ROW(Source!A31)</f>
        <v>31</v>
      </c>
      <c r="B4">
        <v>55810876</v>
      </c>
      <c r="C4">
        <v>55810868</v>
      </c>
      <c r="D4">
        <v>30359939</v>
      </c>
      <c r="E4">
        <v>27786564</v>
      </c>
      <c r="F4">
        <v>1</v>
      </c>
      <c r="G4">
        <v>27786564</v>
      </c>
      <c r="H4">
        <v>1</v>
      </c>
      <c r="I4" t="s">
        <v>122</v>
      </c>
      <c r="J4" t="s">
        <v>3</v>
      </c>
      <c r="K4" t="s">
        <v>123</v>
      </c>
      <c r="L4">
        <v>1191</v>
      </c>
      <c r="N4">
        <v>1013</v>
      </c>
      <c r="O4" t="s">
        <v>124</v>
      </c>
      <c r="P4" t="s">
        <v>124</v>
      </c>
      <c r="Q4">
        <v>1</v>
      </c>
      <c r="X4">
        <v>0.9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</v>
      </c>
      <c r="AG4">
        <v>0.9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</v>
      </c>
      <c r="E1" t="s">
        <v>3</v>
      </c>
      <c r="F1" t="s">
        <v>3</v>
      </c>
      <c r="G1" t="s">
        <v>22</v>
      </c>
      <c r="H1" t="s">
        <v>3</v>
      </c>
      <c r="I1" t="s">
        <v>22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125</v>
      </c>
      <c r="T1" t="s">
        <v>126</v>
      </c>
      <c r="U1" t="s">
        <v>127</v>
      </c>
    </row>
    <row r="2" spans="1:21" x14ac:dyDescent="0.2">
      <c r="A2">
        <v>29</v>
      </c>
      <c r="B2">
        <v>1</v>
      </c>
      <c r="C2" t="s">
        <v>3</v>
      </c>
      <c r="D2" t="s">
        <v>3</v>
      </c>
      <c r="E2" t="s">
        <v>3</v>
      </c>
      <c r="F2" t="s">
        <v>3</v>
      </c>
      <c r="G2" t="s">
        <v>22</v>
      </c>
      <c r="H2" t="s">
        <v>3</v>
      </c>
      <c r="I2" t="s">
        <v>22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125</v>
      </c>
      <c r="T2" t="s">
        <v>126</v>
      </c>
      <c r="U2" t="s">
        <v>127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47858</v>
      </c>
      <c r="M1">
        <v>10</v>
      </c>
      <c r="N1">
        <v>11</v>
      </c>
      <c r="O1">
        <v>14</v>
      </c>
      <c r="P1">
        <v>0</v>
      </c>
      <c r="Q1">
        <v>1</v>
      </c>
    </row>
    <row r="12" spans="1:103" x14ac:dyDescent="0.2">
      <c r="F12" t="str">
        <f>Source!F12</f>
        <v>(ТСН-2001 (Мосгосэкспертиза)) (ТСН-2001 (Мосгосэкспертиза)) (ТСН-2001 (Мосгосэкспертиза))</v>
      </c>
      <c r="G12" t="str">
        <f>Source!G12</f>
        <v>09-01-02 ПНР КЛ 10 кВ (ТСН-2001 (Мосгосэкспертиза)) (ТСН-2001 (Мосгосэкспертиза))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UserSmeta</cp:lastModifiedBy>
  <dcterms:created xsi:type="dcterms:W3CDTF">2025-08-25T11:41:47Z</dcterms:created>
  <dcterms:modified xsi:type="dcterms:W3CDTF">2025-08-25T13:45:50Z</dcterms:modified>
</cp:coreProperties>
</file>