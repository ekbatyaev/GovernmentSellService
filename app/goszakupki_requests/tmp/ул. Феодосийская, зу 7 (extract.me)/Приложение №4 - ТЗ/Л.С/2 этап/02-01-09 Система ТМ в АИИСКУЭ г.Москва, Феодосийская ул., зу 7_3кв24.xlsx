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Z:\Сметный отдел\ЗАПОРОЖЧЕНКО М.Е\290729-ПС-22 Феодосийская зу 7\Для сдачи в МКС\"/>
    </mc:Choice>
  </mc:AlternateContent>
  <xr:revisionPtr revIDLastSave="0" documentId="13_ncr:1_{A3D48817-A3A2-4FF6-8FFC-007623ACE6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-01-09" sheetId="7" r:id="rId1"/>
    <sheet name="Source" sheetId="1" r:id="rId2"/>
    <sheet name="SourceObSm" sheetId="2" r:id="rId3"/>
    <sheet name="SmtRes" sheetId="3" r:id="rId4"/>
    <sheet name="EtalonRes" sheetId="4" r:id="rId5"/>
    <sheet name="SrcPoprs" sheetId="5" r:id="rId6"/>
    <sheet name="SrcKA" sheetId="6" r:id="rId7"/>
  </sheets>
  <definedNames>
    <definedName name="_xlnm.Print_Titles" localSheetId="0">'02-01-09'!$27:$27</definedName>
    <definedName name="_xlnm.Print_Area" localSheetId="0">'02-01-09'!$A$1:$K$64</definedName>
  </definedNames>
  <calcPr calcId="191029" iterate="1"/>
</workbook>
</file>

<file path=xl/calcChain.xml><?xml version="1.0" encoding="utf-8"?>
<calcChain xmlns="http://schemas.openxmlformats.org/spreadsheetml/2006/main">
  <c r="A8" i="7" l="1"/>
  <c r="H62" i="7" l="1"/>
  <c r="H59" i="7"/>
  <c r="C62" i="7"/>
  <c r="C59" i="7"/>
  <c r="J22" i="7"/>
  <c r="I22" i="7"/>
  <c r="H56" i="7"/>
  <c r="J56" i="7"/>
  <c r="H55" i="7"/>
  <c r="J55" i="7"/>
  <c r="H52" i="7"/>
  <c r="J52" i="7"/>
  <c r="H51" i="7"/>
  <c r="J51" i="7"/>
  <c r="AA47" i="7"/>
  <c r="Y47" i="7"/>
  <c r="X47" i="7"/>
  <c r="J46" i="7"/>
  <c r="H46" i="7"/>
  <c r="G46" i="7"/>
  <c r="F46" i="7"/>
  <c r="E46" i="7"/>
  <c r="D46" i="7"/>
  <c r="B46" i="7"/>
  <c r="A45" i="7"/>
  <c r="H43" i="7"/>
  <c r="J43" i="7"/>
  <c r="H42" i="7"/>
  <c r="J42" i="7"/>
  <c r="AA38" i="7"/>
  <c r="Z38" i="7"/>
  <c r="X38" i="7"/>
  <c r="I15" i="7" s="1"/>
  <c r="H37" i="7"/>
  <c r="G37" i="7"/>
  <c r="E37" i="7"/>
  <c r="J36" i="7"/>
  <c r="E36" i="7"/>
  <c r="J35" i="7"/>
  <c r="E35" i="7"/>
  <c r="J34" i="7"/>
  <c r="E34" i="7"/>
  <c r="J33" i="7"/>
  <c r="H33" i="7"/>
  <c r="G33" i="7"/>
  <c r="F33" i="7"/>
  <c r="J32" i="7"/>
  <c r="H32" i="7"/>
  <c r="G32" i="7"/>
  <c r="F32" i="7"/>
  <c r="J31" i="7"/>
  <c r="H31" i="7"/>
  <c r="G31" i="7"/>
  <c r="F31" i="7"/>
  <c r="E30" i="7"/>
  <c r="D30" i="7"/>
  <c r="B30" i="7"/>
  <c r="A29" i="7"/>
  <c r="A1" i="7"/>
  <c r="I18" i="7" l="1"/>
  <c r="A1" i="4"/>
  <c r="A2" i="4"/>
  <c r="A3" i="4"/>
  <c r="A4" i="4"/>
  <c r="A5" i="4"/>
  <c r="A6" i="4"/>
  <c r="A7" i="4"/>
  <c r="A8" i="4"/>
  <c r="A9" i="4"/>
  <c r="A10" i="4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DH18" i="1"/>
  <c r="DI18" i="1"/>
  <c r="DJ18" i="1"/>
  <c r="DK18" i="1"/>
  <c r="DL18" i="1"/>
  <c r="DM18" i="1"/>
  <c r="DN18" i="1"/>
  <c r="DO18" i="1"/>
  <c r="DP18" i="1"/>
  <c r="DQ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G18" i="1"/>
  <c r="EH18" i="1"/>
  <c r="EI18" i="1"/>
  <c r="EJ18" i="1"/>
  <c r="EK18" i="1"/>
  <c r="EL18" i="1"/>
  <c r="EM18" i="1"/>
  <c r="EN18" i="1"/>
  <c r="EO18" i="1"/>
  <c r="EP18" i="1"/>
  <c r="EQ18" i="1"/>
  <c r="ER18" i="1"/>
  <c r="ES18" i="1"/>
  <c r="ET18" i="1"/>
  <c r="EU18" i="1"/>
  <c r="EV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DI22" i="1"/>
  <c r="DJ22" i="1"/>
  <c r="DK22" i="1"/>
  <c r="DL22" i="1"/>
  <c r="DM22" i="1"/>
  <c r="DN22" i="1"/>
  <c r="DO22" i="1"/>
  <c r="DP22" i="1"/>
  <c r="DQ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G22" i="1"/>
  <c r="EH22" i="1"/>
  <c r="EI22" i="1"/>
  <c r="EJ22" i="1"/>
  <c r="EK22" i="1"/>
  <c r="EL22" i="1"/>
  <c r="EM22" i="1"/>
  <c r="EN22" i="1"/>
  <c r="EO22" i="1"/>
  <c r="EP22" i="1"/>
  <c r="EQ22" i="1"/>
  <c r="ER22" i="1"/>
  <c r="ES22" i="1"/>
  <c r="ET22" i="1"/>
  <c r="EU22" i="1"/>
  <c r="EV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G26" i="1"/>
  <c r="EH26" i="1"/>
  <c r="EI26" i="1"/>
  <c r="EJ26" i="1"/>
  <c r="EK26" i="1"/>
  <c r="EL26" i="1"/>
  <c r="EM26" i="1"/>
  <c r="EN26" i="1"/>
  <c r="EO26" i="1"/>
  <c r="EP26" i="1"/>
  <c r="EQ26" i="1"/>
  <c r="ER26" i="1"/>
  <c r="ES26" i="1"/>
  <c r="ET26" i="1"/>
  <c r="EU26" i="1"/>
  <c r="EV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FP26" i="1"/>
  <c r="FQ26" i="1"/>
  <c r="FR26" i="1"/>
  <c r="FS26" i="1"/>
  <c r="FT26" i="1"/>
  <c r="FU26" i="1"/>
  <c r="FV26" i="1"/>
  <c r="FW26" i="1"/>
  <c r="FX26" i="1"/>
  <c r="FY26" i="1"/>
  <c r="FZ26" i="1"/>
  <c r="GA26" i="1"/>
  <c r="GB26" i="1"/>
  <c r="GC26" i="1"/>
  <c r="GD26" i="1"/>
  <c r="GE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D28" i="1"/>
  <c r="AC28" i="1"/>
  <c r="CQ28" i="1" s="1"/>
  <c r="AE28" i="1"/>
  <c r="AF28" i="1"/>
  <c r="AG28" i="1"/>
  <c r="CU28" i="1" s="1"/>
  <c r="T28" i="1" s="1"/>
  <c r="AG30" i="1" s="1"/>
  <c r="AH28" i="1"/>
  <c r="AI28" i="1"/>
  <c r="AJ28" i="1"/>
  <c r="CX28" i="1" s="1"/>
  <c r="W28" i="1" s="1"/>
  <c r="AJ30" i="1" s="1"/>
  <c r="CT28" i="1"/>
  <c r="CV28" i="1"/>
  <c r="U28" i="1" s="1"/>
  <c r="CW28" i="1"/>
  <c r="V28" i="1" s="1"/>
  <c r="AI30" i="1" s="1"/>
  <c r="FR28" i="1"/>
  <c r="BY30" i="1" s="1"/>
  <c r="AP30" i="1" s="1"/>
  <c r="GL28" i="1"/>
  <c r="BZ30" i="1" s="1"/>
  <c r="AQ30" i="1" s="1"/>
  <c r="GN28" i="1"/>
  <c r="GP28" i="1"/>
  <c r="CD30" i="1" s="1"/>
  <c r="CD26" i="1" s="1"/>
  <c r="GV28" i="1"/>
  <c r="HC28" i="1" s="1"/>
  <c r="GX28" i="1" s="1"/>
  <c r="CJ30" i="1" s="1"/>
  <c r="B30" i="1"/>
  <c r="B26" i="1" s="1"/>
  <c r="C30" i="1"/>
  <c r="C26" i="1" s="1"/>
  <c r="D30" i="1"/>
  <c r="D26" i="1" s="1"/>
  <c r="F30" i="1"/>
  <c r="F26" i="1" s="1"/>
  <c r="G30" i="1"/>
  <c r="BX30" i="1"/>
  <c r="AO30" i="1" s="1"/>
  <c r="AO26" i="1" s="1"/>
  <c r="CB30" i="1"/>
  <c r="CB26" i="1" s="1"/>
  <c r="CK30" i="1"/>
  <c r="CL30" i="1"/>
  <c r="CM30" i="1"/>
  <c r="BD30" i="1" s="1"/>
  <c r="BD26" i="1" s="1"/>
  <c r="F55" i="1"/>
  <c r="D60" i="1"/>
  <c r="C62" i="1"/>
  <c r="E62" i="1"/>
  <c r="Z62" i="1"/>
  <c r="AA62" i="1"/>
  <c r="AM62" i="1"/>
  <c r="AN62" i="1"/>
  <c r="BE62" i="1"/>
  <c r="BF62" i="1"/>
  <c r="BG62" i="1"/>
  <c r="BH62" i="1"/>
  <c r="BI62" i="1"/>
  <c r="BJ62" i="1"/>
  <c r="BK62" i="1"/>
  <c r="BL62" i="1"/>
  <c r="BM62" i="1"/>
  <c r="BN62" i="1"/>
  <c r="BO62" i="1"/>
  <c r="BP62" i="1"/>
  <c r="BQ62" i="1"/>
  <c r="BR62" i="1"/>
  <c r="BS62" i="1"/>
  <c r="BT62" i="1"/>
  <c r="BU62" i="1"/>
  <c r="BV62" i="1"/>
  <c r="BW62" i="1"/>
  <c r="CM62" i="1"/>
  <c r="CN62" i="1"/>
  <c r="CO62" i="1"/>
  <c r="CP62" i="1"/>
  <c r="CQ62" i="1"/>
  <c r="CR62" i="1"/>
  <c r="CS62" i="1"/>
  <c r="CT62" i="1"/>
  <c r="CU62" i="1"/>
  <c r="CV62" i="1"/>
  <c r="CW62" i="1"/>
  <c r="CX62" i="1"/>
  <c r="CY62" i="1"/>
  <c r="CZ62" i="1"/>
  <c r="DA62" i="1"/>
  <c r="DB62" i="1"/>
  <c r="DC62" i="1"/>
  <c r="DD62" i="1"/>
  <c r="DE62" i="1"/>
  <c r="DF62" i="1"/>
  <c r="DG62" i="1"/>
  <c r="DH62" i="1"/>
  <c r="DI62" i="1"/>
  <c r="DJ62" i="1"/>
  <c r="DK62" i="1"/>
  <c r="DL62" i="1"/>
  <c r="DM62" i="1"/>
  <c r="DN62" i="1"/>
  <c r="DO62" i="1"/>
  <c r="DP62" i="1"/>
  <c r="DQ62" i="1"/>
  <c r="DR62" i="1"/>
  <c r="DS62" i="1"/>
  <c r="DT62" i="1"/>
  <c r="DU62" i="1"/>
  <c r="DV62" i="1"/>
  <c r="DW62" i="1"/>
  <c r="DX62" i="1"/>
  <c r="DY62" i="1"/>
  <c r="DZ62" i="1"/>
  <c r="EA62" i="1"/>
  <c r="EB62" i="1"/>
  <c r="EC62" i="1"/>
  <c r="ED62" i="1"/>
  <c r="EE62" i="1"/>
  <c r="EF62" i="1"/>
  <c r="EG62" i="1"/>
  <c r="EH62" i="1"/>
  <c r="EI62" i="1"/>
  <c r="EJ62" i="1"/>
  <c r="EK62" i="1"/>
  <c r="EL62" i="1"/>
  <c r="EM62" i="1"/>
  <c r="EN62" i="1"/>
  <c r="EO62" i="1"/>
  <c r="EP62" i="1"/>
  <c r="EQ62" i="1"/>
  <c r="ER62" i="1"/>
  <c r="ES62" i="1"/>
  <c r="ET62" i="1"/>
  <c r="EU62" i="1"/>
  <c r="EV62" i="1"/>
  <c r="EW62" i="1"/>
  <c r="EX62" i="1"/>
  <c r="EY62" i="1"/>
  <c r="EZ62" i="1"/>
  <c r="FA62" i="1"/>
  <c r="FB62" i="1"/>
  <c r="FC62" i="1"/>
  <c r="FD62" i="1"/>
  <c r="FE62" i="1"/>
  <c r="FF62" i="1"/>
  <c r="FG62" i="1"/>
  <c r="FH62" i="1"/>
  <c r="FI62" i="1"/>
  <c r="FJ62" i="1"/>
  <c r="FK62" i="1"/>
  <c r="FL62" i="1"/>
  <c r="FM62" i="1"/>
  <c r="FN62" i="1"/>
  <c r="FO62" i="1"/>
  <c r="FP62" i="1"/>
  <c r="FQ62" i="1"/>
  <c r="FR62" i="1"/>
  <c r="FS62" i="1"/>
  <c r="FT62" i="1"/>
  <c r="FU62" i="1"/>
  <c r="FV62" i="1"/>
  <c r="FW62" i="1"/>
  <c r="FX62" i="1"/>
  <c r="FY62" i="1"/>
  <c r="FZ62" i="1"/>
  <c r="GA62" i="1"/>
  <c r="GB62" i="1"/>
  <c r="GC62" i="1"/>
  <c r="GD62" i="1"/>
  <c r="GE62" i="1"/>
  <c r="GF62" i="1"/>
  <c r="GG62" i="1"/>
  <c r="GH62" i="1"/>
  <c r="GI62" i="1"/>
  <c r="GJ62" i="1"/>
  <c r="GK62" i="1"/>
  <c r="GL62" i="1"/>
  <c r="GM62" i="1"/>
  <c r="GN62" i="1"/>
  <c r="GO62" i="1"/>
  <c r="GP62" i="1"/>
  <c r="GQ62" i="1"/>
  <c r="GR62" i="1"/>
  <c r="GS62" i="1"/>
  <c r="GT62" i="1"/>
  <c r="GU62" i="1"/>
  <c r="GV62" i="1"/>
  <c r="GW62" i="1"/>
  <c r="GX62" i="1"/>
  <c r="P64" i="1"/>
  <c r="K46" i="7" s="1"/>
  <c r="P47" i="7" s="1"/>
  <c r="J50" i="7" s="1"/>
  <c r="Q64" i="1"/>
  <c r="AD66" i="1" s="1"/>
  <c r="AD62" i="1" s="1"/>
  <c r="S64" i="1"/>
  <c r="AC64" i="1"/>
  <c r="AE64" i="1"/>
  <c r="AF64" i="1"/>
  <c r="AG64" i="1"/>
  <c r="AH64" i="1"/>
  <c r="AI64" i="1"/>
  <c r="CW64" i="1" s="1"/>
  <c r="V64" i="1" s="1"/>
  <c r="AI66" i="1" s="1"/>
  <c r="AJ64" i="1"/>
  <c r="CX64" i="1" s="1"/>
  <c r="W64" i="1" s="1"/>
  <c r="AJ66" i="1" s="1"/>
  <c r="CS64" i="1"/>
  <c r="CT64" i="1"/>
  <c r="CU64" i="1"/>
  <c r="T64" i="1" s="1"/>
  <c r="AG66" i="1" s="1"/>
  <c r="CV64" i="1"/>
  <c r="U64" i="1" s="1"/>
  <c r="AH66" i="1" s="1"/>
  <c r="AH62" i="1" s="1"/>
  <c r="GL64" i="1"/>
  <c r="GN64" i="1"/>
  <c r="GO64" i="1"/>
  <c r="CC66" i="1" s="1"/>
  <c r="CC62" i="1" s="1"/>
  <c r="GP64" i="1"/>
  <c r="CD66" i="1" s="1"/>
  <c r="CD62" i="1" s="1"/>
  <c r="GV64" i="1"/>
  <c r="HC64" i="1" s="1"/>
  <c r="GX64" i="1" s="1"/>
  <c r="CJ66" i="1" s="1"/>
  <c r="B66" i="1"/>
  <c r="B62" i="1" s="1"/>
  <c r="C66" i="1"/>
  <c r="D66" i="1"/>
  <c r="D62" i="1" s="1"/>
  <c r="F66" i="1"/>
  <c r="F62" i="1" s="1"/>
  <c r="G66" i="1"/>
  <c r="A50" i="7" s="1"/>
  <c r="AT66" i="1"/>
  <c r="BD66" i="1"/>
  <c r="BD62" i="1" s="1"/>
  <c r="BX66" i="1"/>
  <c r="BZ66" i="1"/>
  <c r="BZ62" i="1" s="1"/>
  <c r="CB66" i="1"/>
  <c r="CB62" i="1" s="1"/>
  <c r="CK66" i="1"/>
  <c r="BB66" i="1" s="1"/>
  <c r="BB62" i="1" s="1"/>
  <c r="CL66" i="1"/>
  <c r="CL62" i="1" s="1"/>
  <c r="CM66" i="1"/>
  <c r="B96" i="1"/>
  <c r="B22" i="1" s="1"/>
  <c r="C96" i="1"/>
  <c r="C22" i="1" s="1"/>
  <c r="D96" i="1"/>
  <c r="D22" i="1" s="1"/>
  <c r="F96" i="1"/>
  <c r="F22" i="1" s="1"/>
  <c r="G96" i="1"/>
  <c r="BD96" i="1"/>
  <c r="BD22" i="1" s="1"/>
  <c r="F121" i="1"/>
  <c r="D126" i="1"/>
  <c r="E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BE128" i="1"/>
  <c r="BF128" i="1"/>
  <c r="BG128" i="1"/>
  <c r="BH128" i="1"/>
  <c r="BI128" i="1"/>
  <c r="BJ128" i="1"/>
  <c r="BK128" i="1"/>
  <c r="BL128" i="1"/>
  <c r="BM128" i="1"/>
  <c r="BN128" i="1"/>
  <c r="BO128" i="1"/>
  <c r="BP128" i="1"/>
  <c r="BQ128" i="1"/>
  <c r="BR128" i="1"/>
  <c r="BS128" i="1"/>
  <c r="BT128" i="1"/>
  <c r="BU128" i="1"/>
  <c r="BV128" i="1"/>
  <c r="BW128" i="1"/>
  <c r="BX128" i="1"/>
  <c r="BY128" i="1"/>
  <c r="BZ128" i="1"/>
  <c r="CA128" i="1"/>
  <c r="CB128" i="1"/>
  <c r="CC128" i="1"/>
  <c r="CD128" i="1"/>
  <c r="CE128" i="1"/>
  <c r="CF128" i="1"/>
  <c r="CG128" i="1"/>
  <c r="CH128" i="1"/>
  <c r="CI128" i="1"/>
  <c r="CJ128" i="1"/>
  <c r="CK128" i="1"/>
  <c r="CL128" i="1"/>
  <c r="CM128" i="1"/>
  <c r="CN128" i="1"/>
  <c r="CO128" i="1"/>
  <c r="CP128" i="1"/>
  <c r="CQ128" i="1"/>
  <c r="CR128" i="1"/>
  <c r="CS128" i="1"/>
  <c r="CT128" i="1"/>
  <c r="CU128" i="1"/>
  <c r="CV128" i="1"/>
  <c r="CW128" i="1"/>
  <c r="CX128" i="1"/>
  <c r="CY128" i="1"/>
  <c r="CZ128" i="1"/>
  <c r="DA128" i="1"/>
  <c r="DB128" i="1"/>
  <c r="DC128" i="1"/>
  <c r="DD128" i="1"/>
  <c r="DE128" i="1"/>
  <c r="DF128" i="1"/>
  <c r="DG128" i="1"/>
  <c r="DH128" i="1"/>
  <c r="DI128" i="1"/>
  <c r="DJ128" i="1"/>
  <c r="DK128" i="1"/>
  <c r="DL128" i="1"/>
  <c r="DM128" i="1"/>
  <c r="DN128" i="1"/>
  <c r="DO128" i="1"/>
  <c r="DP128" i="1"/>
  <c r="DQ128" i="1"/>
  <c r="DR128" i="1"/>
  <c r="DS128" i="1"/>
  <c r="DT128" i="1"/>
  <c r="DU128" i="1"/>
  <c r="DV128" i="1"/>
  <c r="DW128" i="1"/>
  <c r="DX128" i="1"/>
  <c r="DY128" i="1"/>
  <c r="DZ128" i="1"/>
  <c r="EA128" i="1"/>
  <c r="EB128" i="1"/>
  <c r="EC128" i="1"/>
  <c r="ED128" i="1"/>
  <c r="EE128" i="1"/>
  <c r="EF128" i="1"/>
  <c r="EG128" i="1"/>
  <c r="EH128" i="1"/>
  <c r="EI128" i="1"/>
  <c r="EJ128" i="1"/>
  <c r="EK128" i="1"/>
  <c r="EL128" i="1"/>
  <c r="EM128" i="1"/>
  <c r="EN128" i="1"/>
  <c r="EO128" i="1"/>
  <c r="EP128" i="1"/>
  <c r="EQ128" i="1"/>
  <c r="ER128" i="1"/>
  <c r="ES128" i="1"/>
  <c r="ET128" i="1"/>
  <c r="EU128" i="1"/>
  <c r="EV128" i="1"/>
  <c r="EW128" i="1"/>
  <c r="EX128" i="1"/>
  <c r="EY128" i="1"/>
  <c r="EZ128" i="1"/>
  <c r="FA128" i="1"/>
  <c r="FB128" i="1"/>
  <c r="FC128" i="1"/>
  <c r="FD128" i="1"/>
  <c r="FE128" i="1"/>
  <c r="FF128" i="1"/>
  <c r="FG128" i="1"/>
  <c r="FH128" i="1"/>
  <c r="FI128" i="1"/>
  <c r="FJ128" i="1"/>
  <c r="FK128" i="1"/>
  <c r="FL128" i="1"/>
  <c r="FM128" i="1"/>
  <c r="FN128" i="1"/>
  <c r="FO128" i="1"/>
  <c r="FP128" i="1"/>
  <c r="FQ128" i="1"/>
  <c r="FR128" i="1"/>
  <c r="FS128" i="1"/>
  <c r="FT128" i="1"/>
  <c r="FU128" i="1"/>
  <c r="FV128" i="1"/>
  <c r="FW128" i="1"/>
  <c r="FX128" i="1"/>
  <c r="FY128" i="1"/>
  <c r="FZ128" i="1"/>
  <c r="GA128" i="1"/>
  <c r="GB128" i="1"/>
  <c r="GC128" i="1"/>
  <c r="GD128" i="1"/>
  <c r="GE128" i="1"/>
  <c r="GF128" i="1"/>
  <c r="GG128" i="1"/>
  <c r="GH128" i="1"/>
  <c r="GI128" i="1"/>
  <c r="GJ128" i="1"/>
  <c r="GK128" i="1"/>
  <c r="GL128" i="1"/>
  <c r="GM128" i="1"/>
  <c r="GN128" i="1"/>
  <c r="GO128" i="1"/>
  <c r="GP128" i="1"/>
  <c r="GQ128" i="1"/>
  <c r="GR128" i="1"/>
  <c r="GS128" i="1"/>
  <c r="GT128" i="1"/>
  <c r="GU128" i="1"/>
  <c r="GV128" i="1"/>
  <c r="GW128" i="1"/>
  <c r="GX128" i="1"/>
  <c r="D130" i="1"/>
  <c r="E132" i="1"/>
  <c r="Z132" i="1"/>
  <c r="AA132" i="1"/>
  <c r="AM132" i="1"/>
  <c r="AN132" i="1"/>
  <c r="BE132" i="1"/>
  <c r="BF132" i="1"/>
  <c r="BG132" i="1"/>
  <c r="BH132" i="1"/>
  <c r="BI132" i="1"/>
  <c r="BJ132" i="1"/>
  <c r="BK132" i="1"/>
  <c r="BL132" i="1"/>
  <c r="BM132" i="1"/>
  <c r="BN132" i="1"/>
  <c r="BO132" i="1"/>
  <c r="BP132" i="1"/>
  <c r="BQ132" i="1"/>
  <c r="BR132" i="1"/>
  <c r="BS132" i="1"/>
  <c r="BT132" i="1"/>
  <c r="BU132" i="1"/>
  <c r="BV132" i="1"/>
  <c r="BW132" i="1"/>
  <c r="CN132" i="1"/>
  <c r="CO132" i="1"/>
  <c r="CP132" i="1"/>
  <c r="CQ132" i="1"/>
  <c r="CR132" i="1"/>
  <c r="CS132" i="1"/>
  <c r="CT132" i="1"/>
  <c r="CU132" i="1"/>
  <c r="CV132" i="1"/>
  <c r="CW132" i="1"/>
  <c r="CX132" i="1"/>
  <c r="CY132" i="1"/>
  <c r="CZ132" i="1"/>
  <c r="DA132" i="1"/>
  <c r="DB132" i="1"/>
  <c r="DC132" i="1"/>
  <c r="DD132" i="1"/>
  <c r="DE132" i="1"/>
  <c r="DF132" i="1"/>
  <c r="DG132" i="1"/>
  <c r="DH132" i="1"/>
  <c r="DI132" i="1"/>
  <c r="DJ132" i="1"/>
  <c r="DK132" i="1"/>
  <c r="DL132" i="1"/>
  <c r="DM132" i="1"/>
  <c r="DN132" i="1"/>
  <c r="DO132" i="1"/>
  <c r="DP132" i="1"/>
  <c r="DQ132" i="1"/>
  <c r="DR132" i="1"/>
  <c r="DS132" i="1"/>
  <c r="DT132" i="1"/>
  <c r="DU132" i="1"/>
  <c r="DV132" i="1"/>
  <c r="DW132" i="1"/>
  <c r="DX132" i="1"/>
  <c r="DY132" i="1"/>
  <c r="DZ132" i="1"/>
  <c r="EA132" i="1"/>
  <c r="EB132" i="1"/>
  <c r="EC132" i="1"/>
  <c r="ED132" i="1"/>
  <c r="EE132" i="1"/>
  <c r="EF132" i="1"/>
  <c r="EG132" i="1"/>
  <c r="EH132" i="1"/>
  <c r="EI132" i="1"/>
  <c r="EJ132" i="1"/>
  <c r="EK132" i="1"/>
  <c r="EL132" i="1"/>
  <c r="EM132" i="1"/>
  <c r="EN132" i="1"/>
  <c r="EO132" i="1"/>
  <c r="EP132" i="1"/>
  <c r="EQ132" i="1"/>
  <c r="ER132" i="1"/>
  <c r="ES132" i="1"/>
  <c r="ET132" i="1"/>
  <c r="EU132" i="1"/>
  <c r="EV132" i="1"/>
  <c r="EW132" i="1"/>
  <c r="EX132" i="1"/>
  <c r="EY132" i="1"/>
  <c r="EZ132" i="1"/>
  <c r="FA132" i="1"/>
  <c r="FB132" i="1"/>
  <c r="FC132" i="1"/>
  <c r="FD132" i="1"/>
  <c r="FE132" i="1"/>
  <c r="FF132" i="1"/>
  <c r="FG132" i="1"/>
  <c r="FH132" i="1"/>
  <c r="FI132" i="1"/>
  <c r="FJ132" i="1"/>
  <c r="FK132" i="1"/>
  <c r="FL132" i="1"/>
  <c r="FM132" i="1"/>
  <c r="FN132" i="1"/>
  <c r="FO132" i="1"/>
  <c r="FP132" i="1"/>
  <c r="FQ132" i="1"/>
  <c r="FR132" i="1"/>
  <c r="FS132" i="1"/>
  <c r="FT132" i="1"/>
  <c r="FU132" i="1"/>
  <c r="FV132" i="1"/>
  <c r="FW132" i="1"/>
  <c r="FX132" i="1"/>
  <c r="FY132" i="1"/>
  <c r="FZ132" i="1"/>
  <c r="GA132" i="1"/>
  <c r="GB132" i="1"/>
  <c r="GC132" i="1"/>
  <c r="GD132" i="1"/>
  <c r="GE132" i="1"/>
  <c r="GF132" i="1"/>
  <c r="GG132" i="1"/>
  <c r="GH132" i="1"/>
  <c r="GI132" i="1"/>
  <c r="GJ132" i="1"/>
  <c r="GK132" i="1"/>
  <c r="GL132" i="1"/>
  <c r="GM132" i="1"/>
  <c r="GN132" i="1"/>
  <c r="GO132" i="1"/>
  <c r="GP132" i="1"/>
  <c r="GQ132" i="1"/>
  <c r="GR132" i="1"/>
  <c r="GS132" i="1"/>
  <c r="GT132" i="1"/>
  <c r="GU132" i="1"/>
  <c r="GV132" i="1"/>
  <c r="GW132" i="1"/>
  <c r="GX132" i="1"/>
  <c r="D134" i="1"/>
  <c r="P134" i="1"/>
  <c r="Q134" i="1"/>
  <c r="R134" i="1"/>
  <c r="S134" i="1"/>
  <c r="AC134" i="1"/>
  <c r="CQ134" i="1" s="1"/>
  <c r="AE134" i="1"/>
  <c r="AF134" i="1"/>
  <c r="AG134" i="1"/>
  <c r="AH134" i="1"/>
  <c r="AI134" i="1"/>
  <c r="CW134" i="1" s="1"/>
  <c r="V134" i="1" s="1"/>
  <c r="AJ134" i="1"/>
  <c r="CX134" i="1" s="1"/>
  <c r="W134" i="1" s="1"/>
  <c r="CU134" i="1"/>
  <c r="T134" i="1" s="1"/>
  <c r="CV134" i="1"/>
  <c r="U134" i="1" s="1"/>
  <c r="FR134" i="1"/>
  <c r="BY142" i="1" s="1"/>
  <c r="BY132" i="1" s="1"/>
  <c r="GL134" i="1"/>
  <c r="BZ142" i="1" s="1"/>
  <c r="AQ142" i="1" s="1"/>
  <c r="F152" i="1" s="1"/>
  <c r="GN134" i="1"/>
  <c r="GO134" i="1"/>
  <c r="GV134" i="1"/>
  <c r="HC134" i="1" s="1"/>
  <c r="GX134" i="1" s="1"/>
  <c r="D135" i="1"/>
  <c r="AC135" i="1"/>
  <c r="P135" i="1" s="1"/>
  <c r="AE135" i="1"/>
  <c r="AF135" i="1"/>
  <c r="AG135" i="1"/>
  <c r="CU135" i="1" s="1"/>
  <c r="T135" i="1" s="1"/>
  <c r="AH135" i="1"/>
  <c r="CV135" i="1" s="1"/>
  <c r="U135" i="1" s="1"/>
  <c r="AI135" i="1"/>
  <c r="CW135" i="1" s="1"/>
  <c r="V135" i="1" s="1"/>
  <c r="AJ135" i="1"/>
  <c r="CX135" i="1" s="1"/>
  <c r="W135" i="1" s="1"/>
  <c r="FR135" i="1"/>
  <c r="GL135" i="1"/>
  <c r="GN135" i="1"/>
  <c r="GO135" i="1"/>
  <c r="GV135" i="1"/>
  <c r="HC135" i="1" s="1"/>
  <c r="GX135" i="1" s="1"/>
  <c r="D136" i="1"/>
  <c r="AC136" i="1"/>
  <c r="P136" i="1" s="1"/>
  <c r="AE136" i="1"/>
  <c r="AF136" i="1"/>
  <c r="S136" i="1" s="1"/>
  <c r="AG136" i="1"/>
  <c r="CU136" i="1" s="1"/>
  <c r="T136" i="1" s="1"/>
  <c r="AH136" i="1"/>
  <c r="CV136" i="1" s="1"/>
  <c r="U136" i="1" s="1"/>
  <c r="AI136" i="1"/>
  <c r="CW136" i="1" s="1"/>
  <c r="V136" i="1" s="1"/>
  <c r="AJ136" i="1"/>
  <c r="CX136" i="1" s="1"/>
  <c r="W136" i="1" s="1"/>
  <c r="FR136" i="1"/>
  <c r="GL136" i="1"/>
  <c r="GN136" i="1"/>
  <c r="GO136" i="1"/>
  <c r="GV136" i="1"/>
  <c r="HC136" i="1" s="1"/>
  <c r="GX136" i="1" s="1"/>
  <c r="D137" i="1"/>
  <c r="W137" i="1"/>
  <c r="AC137" i="1"/>
  <c r="P137" i="1" s="1"/>
  <c r="AD137" i="1"/>
  <c r="AE137" i="1"/>
  <c r="AF137" i="1"/>
  <c r="AG137" i="1"/>
  <c r="AH137" i="1"/>
  <c r="AI137" i="1"/>
  <c r="CW137" i="1" s="1"/>
  <c r="V137" i="1" s="1"/>
  <c r="AJ137" i="1"/>
  <c r="CX137" i="1" s="1"/>
  <c r="CR137" i="1"/>
  <c r="CS137" i="1"/>
  <c r="CT137" i="1"/>
  <c r="CU137" i="1"/>
  <c r="T137" i="1" s="1"/>
  <c r="CV137" i="1"/>
  <c r="U137" i="1" s="1"/>
  <c r="FR137" i="1"/>
  <c r="GL137" i="1"/>
  <c r="GN137" i="1"/>
  <c r="GO137" i="1"/>
  <c r="GV137" i="1"/>
  <c r="HC137" i="1" s="1"/>
  <c r="GX137" i="1" s="1"/>
  <c r="D138" i="1"/>
  <c r="AC138" i="1"/>
  <c r="CQ138" i="1" s="1"/>
  <c r="AE138" i="1"/>
  <c r="AF138" i="1"/>
  <c r="AG138" i="1"/>
  <c r="CU138" i="1" s="1"/>
  <c r="T138" i="1" s="1"/>
  <c r="AH138" i="1"/>
  <c r="CV138" i="1" s="1"/>
  <c r="U138" i="1" s="1"/>
  <c r="AI138" i="1"/>
  <c r="CW138" i="1" s="1"/>
  <c r="V138" i="1" s="1"/>
  <c r="AJ138" i="1"/>
  <c r="CX138" i="1"/>
  <c r="W138" i="1" s="1"/>
  <c r="FR138" i="1"/>
  <c r="GL138" i="1"/>
  <c r="GN138" i="1"/>
  <c r="GO138" i="1"/>
  <c r="GV138" i="1"/>
  <c r="HC138" i="1"/>
  <c r="GX138" i="1" s="1"/>
  <c r="D139" i="1"/>
  <c r="W139" i="1"/>
  <c r="AC139" i="1"/>
  <c r="P139" i="1" s="1"/>
  <c r="AE139" i="1"/>
  <c r="AD139" i="1" s="1"/>
  <c r="AF139" i="1"/>
  <c r="AG139" i="1"/>
  <c r="CU139" i="1" s="1"/>
  <c r="T139" i="1" s="1"/>
  <c r="AH139" i="1"/>
  <c r="CV139" i="1" s="1"/>
  <c r="U139" i="1" s="1"/>
  <c r="AI139" i="1"/>
  <c r="CW139" i="1" s="1"/>
  <c r="V139" i="1" s="1"/>
  <c r="AJ139" i="1"/>
  <c r="CX139" i="1" s="1"/>
  <c r="FR139" i="1"/>
  <c r="GL139" i="1"/>
  <c r="GN139" i="1"/>
  <c r="CB142" i="1" s="1"/>
  <c r="GO139" i="1"/>
  <c r="GV139" i="1"/>
  <c r="HC139" i="1" s="1"/>
  <c r="GX139" i="1" s="1"/>
  <c r="D140" i="1"/>
  <c r="AC140" i="1"/>
  <c r="P140" i="1" s="1"/>
  <c r="AE140" i="1"/>
  <c r="AF140" i="1"/>
  <c r="AG140" i="1"/>
  <c r="CU140" i="1" s="1"/>
  <c r="T140" i="1" s="1"/>
  <c r="AH140" i="1"/>
  <c r="CV140" i="1" s="1"/>
  <c r="U140" i="1" s="1"/>
  <c r="AI140" i="1"/>
  <c r="CW140" i="1" s="1"/>
  <c r="V140" i="1" s="1"/>
  <c r="AJ140" i="1"/>
  <c r="CX140" i="1" s="1"/>
  <c r="W140" i="1" s="1"/>
  <c r="CQ140" i="1"/>
  <c r="FR140" i="1"/>
  <c r="GL140" i="1"/>
  <c r="GN140" i="1"/>
  <c r="GO140" i="1"/>
  <c r="GV140" i="1"/>
  <c r="HC140" i="1"/>
  <c r="GX140" i="1" s="1"/>
  <c r="B142" i="1"/>
  <c r="B132" i="1" s="1"/>
  <c r="C142" i="1"/>
  <c r="C132" i="1" s="1"/>
  <c r="D142" i="1"/>
  <c r="D132" i="1" s="1"/>
  <c r="F142" i="1"/>
  <c r="F132" i="1" s="1"/>
  <c r="G142" i="1"/>
  <c r="BX142" i="1"/>
  <c r="AO142" i="1" s="1"/>
  <c r="AO172" i="1" s="1"/>
  <c r="F176" i="1" s="1"/>
  <c r="CK142" i="1"/>
  <c r="BB142" i="1" s="1"/>
  <c r="BB172" i="1" s="1"/>
  <c r="F185" i="1" s="1"/>
  <c r="CL142" i="1"/>
  <c r="BC142" i="1" s="1"/>
  <c r="BC132" i="1" s="1"/>
  <c r="CM142" i="1"/>
  <c r="BD142" i="1" s="1"/>
  <c r="BD132" i="1" s="1"/>
  <c r="F146" i="1"/>
  <c r="B172" i="1"/>
  <c r="B128" i="1" s="1"/>
  <c r="C172" i="1"/>
  <c r="C128" i="1" s="1"/>
  <c r="D172" i="1"/>
  <c r="D128" i="1" s="1"/>
  <c r="F172" i="1"/>
  <c r="F128" i="1" s="1"/>
  <c r="G172" i="1"/>
  <c r="B202" i="1"/>
  <c r="B18" i="1" s="1"/>
  <c r="C202" i="1"/>
  <c r="C18" i="1" s="1"/>
  <c r="D202" i="1"/>
  <c r="D18" i="1" s="1"/>
  <c r="F202" i="1"/>
  <c r="F18" i="1" s="1"/>
  <c r="G202" i="1"/>
  <c r="G18" i="1" s="1"/>
  <c r="F12" i="6"/>
  <c r="G12" i="6"/>
  <c r="CY12" i="6"/>
  <c r="CY136" i="1" l="1"/>
  <c r="X136" i="1" s="1"/>
  <c r="CT138" i="1"/>
  <c r="Q138" i="1"/>
  <c r="G26" i="1"/>
  <c r="A41" i="7"/>
  <c r="S139" i="1"/>
  <c r="AH142" i="1"/>
  <c r="F34" i="1"/>
  <c r="Q135" i="1"/>
  <c r="CP135" i="1" s="1"/>
  <c r="O135" i="1" s="1"/>
  <c r="AI142" i="1"/>
  <c r="CS139" i="1"/>
  <c r="AB139" i="1"/>
  <c r="S28" i="1"/>
  <c r="K31" i="7" s="1"/>
  <c r="S30" i="7"/>
  <c r="I35" i="7" s="1"/>
  <c r="Q30" i="7"/>
  <c r="I34" i="7" s="1"/>
  <c r="I31" i="7"/>
  <c r="BC172" i="1"/>
  <c r="BC128" i="1" s="1"/>
  <c r="CR139" i="1"/>
  <c r="Q46" i="7"/>
  <c r="S46" i="7"/>
  <c r="CR28" i="1"/>
  <c r="U30" i="7"/>
  <c r="I36" i="7" s="1"/>
  <c r="I33" i="7"/>
  <c r="W33" i="7" s="1"/>
  <c r="V30" i="7"/>
  <c r="K36" i="7" s="1"/>
  <c r="I32" i="7"/>
  <c r="AD138" i="1"/>
  <c r="AB138" i="1" s="1"/>
  <c r="AB137" i="1"/>
  <c r="P138" i="1"/>
  <c r="AC142" i="1" s="1"/>
  <c r="CT140" i="1"/>
  <c r="CT134" i="1"/>
  <c r="F91" i="1"/>
  <c r="U46" i="7"/>
  <c r="V46" i="7"/>
  <c r="G22" i="1"/>
  <c r="AQ54" i="7"/>
  <c r="A54" i="7"/>
  <c r="J47" i="7"/>
  <c r="CT139" i="1"/>
  <c r="AU66" i="1"/>
  <c r="CQ139" i="1"/>
  <c r="CS135" i="1"/>
  <c r="AC66" i="1"/>
  <c r="AC62" i="1" s="1"/>
  <c r="AD64" i="1"/>
  <c r="G62" i="1"/>
  <c r="CY134" i="1"/>
  <c r="X134" i="1" s="1"/>
  <c r="AH30" i="1"/>
  <c r="U30" i="1" s="1"/>
  <c r="I37" i="7"/>
  <c r="AB37" i="7" s="1"/>
  <c r="I20" i="7" s="1"/>
  <c r="Q139" i="1"/>
  <c r="CP139" i="1" s="1"/>
  <c r="O139" i="1" s="1"/>
  <c r="CT136" i="1"/>
  <c r="S135" i="1"/>
  <c r="CQ137" i="1"/>
  <c r="AJ142" i="1"/>
  <c r="W142" i="1" s="1"/>
  <c r="AD136" i="1"/>
  <c r="AD135" i="1"/>
  <c r="AB135" i="1" s="1"/>
  <c r="CC142" i="1"/>
  <c r="AT142" i="1" s="1"/>
  <c r="G132" i="1"/>
  <c r="R136" i="1"/>
  <c r="GK136" i="1" s="1"/>
  <c r="CT135" i="1"/>
  <c r="S137" i="1"/>
  <c r="Q136" i="1"/>
  <c r="CP136" i="1" s="1"/>
  <c r="O136" i="1" s="1"/>
  <c r="GM136" i="1" s="1"/>
  <c r="GP136" i="1" s="1"/>
  <c r="G128" i="1"/>
  <c r="Q137" i="1"/>
  <c r="CQ136" i="1"/>
  <c r="CR135" i="1"/>
  <c r="U66" i="1"/>
  <c r="CQ64" i="1"/>
  <c r="I46" i="7"/>
  <c r="AH132" i="1"/>
  <c r="U142" i="1"/>
  <c r="AG142" i="1"/>
  <c r="AJ132" i="1"/>
  <c r="BA66" i="1"/>
  <c r="CJ62" i="1"/>
  <c r="AI132" i="1"/>
  <c r="V142" i="1"/>
  <c r="CC132" i="1"/>
  <c r="CJ142" i="1"/>
  <c r="AS142" i="1"/>
  <c r="CB132" i="1"/>
  <c r="T66" i="1"/>
  <c r="AG62" i="1"/>
  <c r="BB128" i="1"/>
  <c r="AO66" i="1"/>
  <c r="CG66" i="1"/>
  <c r="CY64" i="1"/>
  <c r="X64" i="1" s="1"/>
  <c r="CZ64" i="1"/>
  <c r="Y64" i="1" s="1"/>
  <c r="CK62" i="1"/>
  <c r="CR140" i="1"/>
  <c r="CS140" i="1"/>
  <c r="F167" i="1"/>
  <c r="AD140" i="1"/>
  <c r="AB140" i="1" s="1"/>
  <c r="CY135" i="1"/>
  <c r="X135" i="1" s="1"/>
  <c r="CZ135" i="1"/>
  <c r="Y135" i="1" s="1"/>
  <c r="BC66" i="1"/>
  <c r="CP64" i="1"/>
  <c r="O64" i="1" s="1"/>
  <c r="CM132" i="1"/>
  <c r="BC30" i="1"/>
  <c r="CL26" i="1"/>
  <c r="BA30" i="1"/>
  <c r="CJ26" i="1"/>
  <c r="AG26" i="1"/>
  <c r="T30" i="1"/>
  <c r="CR138" i="1"/>
  <c r="CS138" i="1"/>
  <c r="GK134" i="1"/>
  <c r="CL132" i="1"/>
  <c r="AQ132" i="1"/>
  <c r="AU62" i="1"/>
  <c r="F85" i="1"/>
  <c r="BB30" i="1"/>
  <c r="CK26" i="1"/>
  <c r="CY28" i="1"/>
  <c r="X28" i="1" s="1"/>
  <c r="CZ28" i="1"/>
  <c r="Y28" i="1" s="1"/>
  <c r="AF30" i="1"/>
  <c r="CK132" i="1"/>
  <c r="AT62" i="1"/>
  <c r="F84" i="1"/>
  <c r="CP134" i="1"/>
  <c r="O134" i="1" s="1"/>
  <c r="AO132" i="1"/>
  <c r="AS66" i="1"/>
  <c r="Q66" i="1"/>
  <c r="BX62" i="1"/>
  <c r="F158" i="1"/>
  <c r="S140" i="1"/>
  <c r="CZ136" i="1"/>
  <c r="Y136" i="1" s="1"/>
  <c r="CR136" i="1"/>
  <c r="CS136" i="1"/>
  <c r="F40" i="1"/>
  <c r="AQ26" i="1"/>
  <c r="BD172" i="1"/>
  <c r="R140" i="1"/>
  <c r="GK140" i="1" s="1"/>
  <c r="CY139" i="1"/>
  <c r="X139" i="1" s="1"/>
  <c r="CZ139" i="1"/>
  <c r="Y139" i="1" s="1"/>
  <c r="AB136" i="1"/>
  <c r="CQ135" i="1"/>
  <c r="AO128" i="1"/>
  <c r="F79" i="1"/>
  <c r="AQ66" i="1"/>
  <c r="R64" i="1"/>
  <c r="CR64" i="1"/>
  <c r="F39" i="1"/>
  <c r="AP26" i="1"/>
  <c r="W30" i="1"/>
  <c r="AJ26" i="1"/>
  <c r="F155" i="1"/>
  <c r="Q140" i="1"/>
  <c r="AD142" i="1" s="1"/>
  <c r="CR134" i="1"/>
  <c r="CS134" i="1"/>
  <c r="V66" i="1"/>
  <c r="AI62" i="1"/>
  <c r="W66" i="1"/>
  <c r="AJ62" i="1"/>
  <c r="V30" i="1"/>
  <c r="AI26" i="1"/>
  <c r="AQ172" i="1"/>
  <c r="S138" i="1"/>
  <c r="CZ134" i="1"/>
  <c r="Y134" i="1" s="1"/>
  <c r="AD134" i="1"/>
  <c r="BB132" i="1"/>
  <c r="AP142" i="1"/>
  <c r="CI142" i="1"/>
  <c r="R138" i="1"/>
  <c r="GK138" i="1" s="1"/>
  <c r="BZ132" i="1"/>
  <c r="AF66" i="1"/>
  <c r="AB64" i="1"/>
  <c r="R28" i="1"/>
  <c r="K33" i="7" s="1"/>
  <c r="CM26" i="1"/>
  <c r="AU30" i="1"/>
  <c r="Q28" i="1"/>
  <c r="BZ26" i="1"/>
  <c r="AD28" i="1"/>
  <c r="AB28" i="1" s="1"/>
  <c r="P28" i="1"/>
  <c r="BY26" i="1"/>
  <c r="AS30" i="1"/>
  <c r="BX26" i="1"/>
  <c r="BX132" i="1"/>
  <c r="CI30" i="1"/>
  <c r="CS28" i="1"/>
  <c r="AB134" i="1"/>
  <c r="CG30" i="1"/>
  <c r="CG142" i="1"/>
  <c r="R139" i="1"/>
  <c r="GK139" i="1" s="1"/>
  <c r="R137" i="1"/>
  <c r="GK137" i="1" s="1"/>
  <c r="R135" i="1"/>
  <c r="GK135" i="1" s="1"/>
  <c r="CP140" i="1" l="1"/>
  <c r="O140" i="1" s="1"/>
  <c r="CY137" i="1"/>
  <c r="X137" i="1" s="1"/>
  <c r="AL66" i="1"/>
  <c r="AL62" i="1" s="1"/>
  <c r="T46" i="7"/>
  <c r="AD30" i="1"/>
  <c r="AD26" i="1" s="1"/>
  <c r="K32" i="7"/>
  <c r="AH26" i="1"/>
  <c r="P66" i="1"/>
  <c r="AK66" i="1"/>
  <c r="R46" i="7"/>
  <c r="CZ137" i="1"/>
  <c r="Y137" i="1" s="1"/>
  <c r="GM139" i="1"/>
  <c r="GP139" i="1" s="1"/>
  <c r="H38" i="7"/>
  <c r="W31" i="7"/>
  <c r="I19" i="7" s="1"/>
  <c r="Y38" i="7"/>
  <c r="I16" i="7" s="1"/>
  <c r="I14" i="7" s="1"/>
  <c r="O38" i="7"/>
  <c r="CP137" i="1"/>
  <c r="O137" i="1" s="1"/>
  <c r="AL30" i="1"/>
  <c r="AL26" i="1" s="1"/>
  <c r="T30" i="7"/>
  <c r="K35" i="7" s="1"/>
  <c r="AK30" i="1"/>
  <c r="X30" i="1" s="1"/>
  <c r="R30" i="7"/>
  <c r="K34" i="7" s="1"/>
  <c r="P38" i="7" s="1"/>
  <c r="F188" i="1"/>
  <c r="O47" i="7"/>
  <c r="H50" i="7" s="1"/>
  <c r="Z47" i="7"/>
  <c r="I17" i="7" s="1"/>
  <c r="H47" i="7"/>
  <c r="CE66" i="1"/>
  <c r="U62" i="1"/>
  <c r="F88" i="1"/>
  <c r="Q142" i="1"/>
  <c r="AD132" i="1"/>
  <c r="CY138" i="1"/>
  <c r="X138" i="1" s="1"/>
  <c r="CZ138" i="1"/>
  <c r="Y138" i="1" s="1"/>
  <c r="AF142" i="1"/>
  <c r="CY140" i="1"/>
  <c r="X140" i="1" s="1"/>
  <c r="CZ140" i="1"/>
  <c r="Y140" i="1" s="1"/>
  <c r="AK62" i="1"/>
  <c r="X66" i="1"/>
  <c r="AV66" i="1"/>
  <c r="CE62" i="1"/>
  <c r="AX66" i="1"/>
  <c r="CG62" i="1"/>
  <c r="F160" i="1"/>
  <c r="AT172" i="1"/>
  <c r="AT132" i="1"/>
  <c r="GM140" i="1"/>
  <c r="GP140" i="1" s="1"/>
  <c r="AQ128" i="1"/>
  <c r="F182" i="1"/>
  <c r="AF26" i="1"/>
  <c r="S30" i="1"/>
  <c r="F82" i="1"/>
  <c r="BC62" i="1"/>
  <c r="F70" i="1"/>
  <c r="AO62" i="1"/>
  <c r="AO96" i="1"/>
  <c r="GM135" i="1"/>
  <c r="GP135" i="1" s="1"/>
  <c r="W26" i="1"/>
  <c r="W96" i="1"/>
  <c r="F54" i="1"/>
  <c r="F78" i="1"/>
  <c r="Q62" i="1"/>
  <c r="V172" i="1"/>
  <c r="V132" i="1"/>
  <c r="F165" i="1"/>
  <c r="AF62" i="1"/>
  <c r="S66" i="1"/>
  <c r="AS26" i="1"/>
  <c r="F47" i="1"/>
  <c r="AS96" i="1"/>
  <c r="AS62" i="1"/>
  <c r="F83" i="1"/>
  <c r="T26" i="1"/>
  <c r="T96" i="1"/>
  <c r="F51" i="1"/>
  <c r="CI132" i="1"/>
  <c r="AZ142" i="1"/>
  <c r="V26" i="1"/>
  <c r="V96" i="1"/>
  <c r="F53" i="1"/>
  <c r="BD128" i="1"/>
  <c r="BD202" i="1"/>
  <c r="F197" i="1"/>
  <c r="T62" i="1"/>
  <c r="F87" i="1"/>
  <c r="CP28" i="1"/>
  <c r="O28" i="1" s="1"/>
  <c r="AC30" i="1"/>
  <c r="CF142" i="1"/>
  <c r="CH142" i="1"/>
  <c r="P142" i="1"/>
  <c r="CE142" i="1"/>
  <c r="AC132" i="1"/>
  <c r="BB26" i="1"/>
  <c r="F43" i="1"/>
  <c r="BB96" i="1"/>
  <c r="F86" i="1"/>
  <c r="BA62" i="1"/>
  <c r="CG132" i="1"/>
  <c r="AX142" i="1"/>
  <c r="AX30" i="1"/>
  <c r="CG26" i="1"/>
  <c r="GM134" i="1"/>
  <c r="F50" i="1"/>
  <c r="BA26" i="1"/>
  <c r="BA96" i="1"/>
  <c r="CP138" i="1"/>
  <c r="O138" i="1" s="1"/>
  <c r="W172" i="1"/>
  <c r="F166" i="1"/>
  <c r="W132" i="1"/>
  <c r="GK64" i="1"/>
  <c r="AE66" i="1"/>
  <c r="AU26" i="1"/>
  <c r="AU96" i="1"/>
  <c r="F49" i="1"/>
  <c r="U26" i="1"/>
  <c r="U96" i="1"/>
  <c r="F52" i="1"/>
  <c r="F76" i="1"/>
  <c r="AQ96" i="1"/>
  <c r="AQ62" i="1"/>
  <c r="F69" i="1"/>
  <c r="P62" i="1"/>
  <c r="W62" i="1"/>
  <c r="F90" i="1"/>
  <c r="V62" i="1"/>
  <c r="F89" i="1"/>
  <c r="BC26" i="1"/>
  <c r="F46" i="1"/>
  <c r="BC96" i="1"/>
  <c r="AS172" i="1"/>
  <c r="F159" i="1"/>
  <c r="AS132" i="1"/>
  <c r="AG132" i="1"/>
  <c r="T142" i="1"/>
  <c r="AP172" i="1"/>
  <c r="F151" i="1"/>
  <c r="AP132" i="1"/>
  <c r="GK28" i="1"/>
  <c r="AE30" i="1"/>
  <c r="F164" i="1"/>
  <c r="U132" i="1"/>
  <c r="U172" i="1"/>
  <c r="AZ30" i="1"/>
  <c r="CI26" i="1"/>
  <c r="AE142" i="1"/>
  <c r="AB66" i="1"/>
  <c r="GM64" i="1"/>
  <c r="Y66" i="1"/>
  <c r="BA142" i="1"/>
  <c r="CJ132" i="1"/>
  <c r="J41" i="7" l="1"/>
  <c r="J54" i="7"/>
  <c r="H54" i="7"/>
  <c r="H41" i="7"/>
  <c r="J38" i="7"/>
  <c r="AK26" i="1"/>
  <c r="Y30" i="1"/>
  <c r="F57" i="1" s="1"/>
  <c r="GM137" i="1"/>
  <c r="GP137" i="1" s="1"/>
  <c r="AL142" i="1"/>
  <c r="AL132" i="1" s="1"/>
  <c r="Q30" i="1"/>
  <c r="F42" i="1" s="1"/>
  <c r="AK142" i="1"/>
  <c r="GM138" i="1"/>
  <c r="GP138" i="1" s="1"/>
  <c r="AK132" i="1"/>
  <c r="X142" i="1"/>
  <c r="U128" i="1"/>
  <c r="F194" i="1"/>
  <c r="AS128" i="1"/>
  <c r="F189" i="1"/>
  <c r="F195" i="1"/>
  <c r="V128" i="1"/>
  <c r="AQ22" i="1"/>
  <c r="AQ202" i="1"/>
  <c r="F106" i="1"/>
  <c r="W128" i="1"/>
  <c r="F196" i="1"/>
  <c r="F71" i="1"/>
  <c r="AV62" i="1"/>
  <c r="BB22" i="1"/>
  <c r="BB202" i="1"/>
  <c r="F109" i="1"/>
  <c r="X26" i="1"/>
  <c r="X96" i="1"/>
  <c r="F56" i="1"/>
  <c r="F45" i="1"/>
  <c r="S26" i="1"/>
  <c r="S96" i="1"/>
  <c r="X62" i="1"/>
  <c r="F92" i="1"/>
  <c r="R30" i="1"/>
  <c r="AE26" i="1"/>
  <c r="BA22" i="1"/>
  <c r="BA202" i="1"/>
  <c r="F116" i="1"/>
  <c r="BD18" i="1"/>
  <c r="F227" i="1"/>
  <c r="F112" i="1"/>
  <c r="BC202" i="1"/>
  <c r="BC22" i="1"/>
  <c r="U22" i="1"/>
  <c r="U202" i="1"/>
  <c r="F118" i="1"/>
  <c r="F162" i="1"/>
  <c r="BA172" i="1"/>
  <c r="BA132" i="1"/>
  <c r="F93" i="1"/>
  <c r="Y62" i="1"/>
  <c r="F113" i="1"/>
  <c r="AS22" i="1"/>
  <c r="AS202" i="1"/>
  <c r="W22" i="1"/>
  <c r="W202" i="1"/>
  <c r="F120" i="1"/>
  <c r="S142" i="1"/>
  <c r="AF132" i="1"/>
  <c r="CA66" i="1"/>
  <c r="FR64" i="1"/>
  <c r="BY66" i="1" s="1"/>
  <c r="AV142" i="1"/>
  <c r="CE132" i="1"/>
  <c r="F115" i="1"/>
  <c r="AU22" i="1"/>
  <c r="AB142" i="1"/>
  <c r="P132" i="1"/>
  <c r="P172" i="1"/>
  <c r="F145" i="1"/>
  <c r="V22" i="1"/>
  <c r="V202" i="1"/>
  <c r="F119" i="1"/>
  <c r="F181" i="1"/>
  <c r="AP128" i="1"/>
  <c r="F163" i="1"/>
  <c r="T132" i="1"/>
  <c r="T172" i="1"/>
  <c r="T202" i="1" s="1"/>
  <c r="CH132" i="1"/>
  <c r="AY142" i="1"/>
  <c r="AZ172" i="1"/>
  <c r="AZ132" i="1"/>
  <c r="F153" i="1"/>
  <c r="F81" i="1"/>
  <c r="S62" i="1"/>
  <c r="AT128" i="1"/>
  <c r="F190" i="1"/>
  <c r="R142" i="1"/>
  <c r="AE132" i="1"/>
  <c r="R66" i="1"/>
  <c r="AE62" i="1"/>
  <c r="F37" i="1"/>
  <c r="AX26" i="1"/>
  <c r="AX96" i="1"/>
  <c r="CF132" i="1"/>
  <c r="AW142" i="1"/>
  <c r="AO22" i="1"/>
  <c r="F100" i="1"/>
  <c r="AO202" i="1"/>
  <c r="CA142" i="1"/>
  <c r="GP134" i="1"/>
  <c r="CD142" i="1" s="1"/>
  <c r="Y142" i="1"/>
  <c r="AX172" i="1"/>
  <c r="F149" i="1"/>
  <c r="AX132" i="1"/>
  <c r="CE30" i="1"/>
  <c r="CF30" i="1"/>
  <c r="CH30" i="1"/>
  <c r="P30" i="1"/>
  <c r="AC26" i="1"/>
  <c r="Q172" i="1"/>
  <c r="F154" i="1"/>
  <c r="Q132" i="1"/>
  <c r="O66" i="1"/>
  <c r="AB62" i="1"/>
  <c r="AZ26" i="1"/>
  <c r="F41" i="1"/>
  <c r="AB30" i="1"/>
  <c r="GM28" i="1"/>
  <c r="T22" i="1"/>
  <c r="F117" i="1"/>
  <c r="F73" i="1"/>
  <c r="AX62" i="1"/>
  <c r="Q96" i="1" l="1"/>
  <c r="Q26" i="1"/>
  <c r="H16" i="2"/>
  <c r="J18" i="7"/>
  <c r="Y26" i="1"/>
  <c r="Y96" i="1"/>
  <c r="Y22" i="1" s="1"/>
  <c r="E16" i="2"/>
  <c r="J15" i="7"/>
  <c r="G17" i="2"/>
  <c r="F17" i="2"/>
  <c r="E17" i="2"/>
  <c r="F123" i="1"/>
  <c r="AV132" i="1"/>
  <c r="AV172" i="1"/>
  <c r="F147" i="1"/>
  <c r="F212" i="1"/>
  <c r="AQ18" i="1"/>
  <c r="AP66" i="1"/>
  <c r="CI66" i="1"/>
  <c r="BY62" i="1"/>
  <c r="CH66" i="1"/>
  <c r="CF66" i="1"/>
  <c r="F222" i="1"/>
  <c r="BA18" i="1"/>
  <c r="AR66" i="1"/>
  <c r="CA62" i="1"/>
  <c r="F192" i="1"/>
  <c r="BA128" i="1"/>
  <c r="X22" i="1"/>
  <c r="F122" i="1"/>
  <c r="AW30" i="1"/>
  <c r="CF26" i="1"/>
  <c r="V18" i="1"/>
  <c r="F225" i="1"/>
  <c r="F179" i="1"/>
  <c r="AX128" i="1"/>
  <c r="AY30" i="1"/>
  <c r="CH26" i="1"/>
  <c r="O62" i="1"/>
  <c r="F68" i="1"/>
  <c r="S132" i="1"/>
  <c r="F157" i="1"/>
  <c r="S172" i="1"/>
  <c r="R26" i="1"/>
  <c r="F44" i="1"/>
  <c r="R96" i="1"/>
  <c r="GO28" i="1"/>
  <c r="CC30" i="1" s="1"/>
  <c r="CA30" i="1"/>
  <c r="F148" i="1"/>
  <c r="AW132" i="1"/>
  <c r="AW172" i="1"/>
  <c r="Y132" i="1"/>
  <c r="Y172" i="1"/>
  <c r="F169" i="1"/>
  <c r="R62" i="1"/>
  <c r="F80" i="1"/>
  <c r="F183" i="1"/>
  <c r="AZ128" i="1"/>
  <c r="P128" i="1"/>
  <c r="F175" i="1"/>
  <c r="F224" i="1"/>
  <c r="U18" i="1"/>
  <c r="BB18" i="1"/>
  <c r="F215" i="1"/>
  <c r="CE26" i="1"/>
  <c r="AV30" i="1"/>
  <c r="AU142" i="1"/>
  <c r="CD132" i="1"/>
  <c r="Q22" i="1"/>
  <c r="Q202" i="1"/>
  <c r="F108" i="1"/>
  <c r="AY172" i="1"/>
  <c r="F150" i="1"/>
  <c r="AY132" i="1"/>
  <c r="W18" i="1"/>
  <c r="F226" i="1"/>
  <c r="O142" i="1"/>
  <c r="AB132" i="1"/>
  <c r="S22" i="1"/>
  <c r="F111" i="1"/>
  <c r="O30" i="1"/>
  <c r="AB26" i="1"/>
  <c r="F103" i="1"/>
  <c r="AX22" i="1"/>
  <c r="AX202" i="1"/>
  <c r="F184" i="1"/>
  <c r="Q128" i="1"/>
  <c r="F223" i="1"/>
  <c r="T18" i="1"/>
  <c r="AO18" i="1"/>
  <c r="F206" i="1"/>
  <c r="T128" i="1"/>
  <c r="F193" i="1"/>
  <c r="AS18" i="1"/>
  <c r="F219" i="1"/>
  <c r="BC18" i="1"/>
  <c r="F218" i="1"/>
  <c r="X132" i="1"/>
  <c r="X172" i="1"/>
  <c r="F168" i="1"/>
  <c r="R132" i="1"/>
  <c r="F156" i="1"/>
  <c r="R172" i="1"/>
  <c r="AR142" i="1"/>
  <c r="CA132" i="1"/>
  <c r="F33" i="1"/>
  <c r="P26" i="1"/>
  <c r="P96" i="1"/>
  <c r="S128" i="1" l="1"/>
  <c r="F187" i="1"/>
  <c r="F36" i="1"/>
  <c r="AW26" i="1"/>
  <c r="AZ66" i="1"/>
  <c r="CI62" i="1"/>
  <c r="F198" i="1"/>
  <c r="X128" i="1"/>
  <c r="AP62" i="1"/>
  <c r="AP96" i="1"/>
  <c r="F75" i="1"/>
  <c r="F178" i="1"/>
  <c r="AW128" i="1"/>
  <c r="X202" i="1"/>
  <c r="AX18" i="1"/>
  <c r="F209" i="1"/>
  <c r="F35" i="1"/>
  <c r="AV26" i="1"/>
  <c r="AV96" i="1"/>
  <c r="O172" i="1"/>
  <c r="O132" i="1"/>
  <c r="F144" i="1"/>
  <c r="AR30" i="1"/>
  <c r="CA26" i="1"/>
  <c r="F38" i="1"/>
  <c r="AY26" i="1"/>
  <c r="F177" i="1"/>
  <c r="AV128" i="1"/>
  <c r="CC26" i="1"/>
  <c r="AT30" i="1"/>
  <c r="AR62" i="1"/>
  <c r="F94" i="1"/>
  <c r="P22" i="1"/>
  <c r="P202" i="1"/>
  <c r="F99" i="1"/>
  <c r="F180" i="1"/>
  <c r="AY128" i="1"/>
  <c r="F214" i="1"/>
  <c r="Q18" i="1"/>
  <c r="F199" i="1"/>
  <c r="Y128" i="1"/>
  <c r="F170" i="1"/>
  <c r="AR172" i="1"/>
  <c r="AR132" i="1"/>
  <c r="S202" i="1"/>
  <c r="R22" i="1"/>
  <c r="F110" i="1"/>
  <c r="J19" i="7" s="1"/>
  <c r="R202" i="1"/>
  <c r="F186" i="1"/>
  <c r="R128" i="1"/>
  <c r="J16" i="2"/>
  <c r="CF62" i="1"/>
  <c r="AW66" i="1"/>
  <c r="AW96" i="1" s="1"/>
  <c r="Y202" i="1"/>
  <c r="O26" i="1"/>
  <c r="O96" i="1"/>
  <c r="F32" i="1"/>
  <c r="F161" i="1"/>
  <c r="AU172" i="1"/>
  <c r="AU132" i="1"/>
  <c r="AY66" i="1"/>
  <c r="AY96" i="1" s="1"/>
  <c r="CH62" i="1"/>
  <c r="F102" i="1" l="1"/>
  <c r="AW22" i="1"/>
  <c r="AW202" i="1"/>
  <c r="AY22" i="1"/>
  <c r="AY202" i="1"/>
  <c r="F104" i="1"/>
  <c r="P18" i="1"/>
  <c r="F205" i="1"/>
  <c r="AR26" i="1"/>
  <c r="AR96" i="1"/>
  <c r="F58" i="1"/>
  <c r="O128" i="1"/>
  <c r="F174" i="1"/>
  <c r="F77" i="1"/>
  <c r="AZ62" i="1"/>
  <c r="AZ96" i="1"/>
  <c r="AP22" i="1"/>
  <c r="AP202" i="1"/>
  <c r="F105" i="1"/>
  <c r="AT26" i="1"/>
  <c r="F48" i="1"/>
  <c r="AT96" i="1"/>
  <c r="S18" i="1"/>
  <c r="F217" i="1"/>
  <c r="F101" i="1"/>
  <c r="AV22" i="1"/>
  <c r="AV202" i="1"/>
  <c r="AY62" i="1"/>
  <c r="F74" i="1"/>
  <c r="X18" i="1"/>
  <c r="F228" i="1"/>
  <c r="O22" i="1"/>
  <c r="O202" i="1"/>
  <c r="F98" i="1"/>
  <c r="Y18" i="1"/>
  <c r="F229" i="1"/>
  <c r="AW62" i="1"/>
  <c r="F72" i="1"/>
  <c r="R18" i="1"/>
  <c r="F216" i="1"/>
  <c r="J17" i="2"/>
  <c r="AR128" i="1"/>
  <c r="F200" i="1"/>
  <c r="F191" i="1"/>
  <c r="AU128" i="1"/>
  <c r="AU202" i="1"/>
  <c r="H17" i="2" l="1"/>
  <c r="I17" i="2" s="1"/>
  <c r="G16" i="2"/>
  <c r="J17" i="7"/>
  <c r="AU18" i="1"/>
  <c r="F221" i="1"/>
  <c r="F124" i="1"/>
  <c r="AR22" i="1"/>
  <c r="AR202" i="1"/>
  <c r="F210" i="1"/>
  <c r="AY18" i="1"/>
  <c r="AZ22" i="1"/>
  <c r="AZ202" i="1"/>
  <c r="F107" i="1"/>
  <c r="F114" i="1"/>
  <c r="AT22" i="1"/>
  <c r="AT202" i="1"/>
  <c r="AV18" i="1"/>
  <c r="F207" i="1"/>
  <c r="AW18" i="1"/>
  <c r="F208" i="1"/>
  <c r="F211" i="1"/>
  <c r="AP18" i="1"/>
  <c r="O18" i="1"/>
  <c r="F204" i="1"/>
  <c r="F16" i="2" l="1"/>
  <c r="I16" i="2" s="1"/>
  <c r="J16" i="7"/>
  <c r="J14" i="7" s="1"/>
  <c r="AR18" i="1"/>
  <c r="F230" i="1"/>
  <c r="AZ18" i="1"/>
  <c r="F213" i="1"/>
  <c r="AT18" i="1"/>
  <c r="F220" i="1"/>
</calcChain>
</file>

<file path=xl/sharedStrings.xml><?xml version="1.0" encoding="utf-8"?>
<sst xmlns="http://schemas.openxmlformats.org/spreadsheetml/2006/main" count="1426" uniqueCount="190">
  <si>
    <t>Smeta.RU  (495) 974-1589</t>
  </si>
  <si>
    <t>_PS_</t>
  </si>
  <si>
    <t>Smeta.RU</t>
  </si>
  <si>
    <t/>
  </si>
  <si>
    <t>319703/ПС-24-ТП-ТМ</t>
  </si>
  <si>
    <t>ПНР ТП с ИБ г.Москва, Феодосийская ул., зу 7_3кв24</t>
  </si>
  <si>
    <t>Сметные нормы списания</t>
  </si>
  <si>
    <t>Коды ОКП для ТСН-2001 МГЭ Дополнение 77</t>
  </si>
  <si>
    <t>ТСН-2001 (МГЭ) Доп 77 - Новое строительство</t>
  </si>
  <si>
    <t>Типовой расчет для ТСН-2001 МГЭ, Новая методика с выпуска доп. 43 (Строительство), Доп 77</t>
  </si>
  <si>
    <t>Территориальные сметные нормативы для Москвы ТСН-2001 (МГЭ), дополнение 77</t>
  </si>
  <si>
    <t>Поправки для ТСН-2001 от 30.06.2025 г. доп.77</t>
  </si>
  <si>
    <t>Территориальные сметные нормативы для Москвы (ТСН-2001)</t>
  </si>
  <si>
    <t>ТЕР</t>
  </si>
  <si>
    <t>02-01-01</t>
  </si>
  <si>
    <t>Система телемеханики с включением в АИИС КУЭ в ТП</t>
  </si>
  <si>
    <t>322640-2024-ТМ</t>
  </si>
  <si>
    <t>Новый раздел</t>
  </si>
  <si>
    <t>Монтажные работы</t>
  </si>
  <si>
    <t>1</t>
  </si>
  <si>
    <t>4.11-12-1</t>
  </si>
  <si>
    <t>Установка съемных и выдвижных блоков (модулей, ячеек, ТЭЗ) массой до 5 кг (Оборудование ИБ)</t>
  </si>
  <si>
    <t>1  ШТ.</t>
  </si>
  <si>
    <t>ТСН-2001.4 Доп. 68, Сб. 11, т. 12, поз. 1</t>
  </si>
  <si>
    <t>Монтаж оборудования</t>
  </si>
  <si>
    <t>ТСН-2001.4-11. 11-1...11-30</t>
  </si>
  <si>
    <t>ТСН-2001.4-11-1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</si>
  <si>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</si>
  <si>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</si>
  <si>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</si>
  <si>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</si>
  <si>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</si>
  <si>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</si>
  <si>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</si>
  <si>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</si>
  <si>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</si>
  <si>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</si>
  <si>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</si>
  <si>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</si>
  <si>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</si>
  <si>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</si>
  <si>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</si>
  <si>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</si>
  <si>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</si>
  <si>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</si>
  <si>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</si>
  <si>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</si>
  <si>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</si>
  <si>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</si>
  <si>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</si>
  <si>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</si>
  <si>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</si>
  <si>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</si>
  <si>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</si>
  <si>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</si>
  <si>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</si>
  <si>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</si>
  <si>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</si>
  <si>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</si>
  <si>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</si>
  <si>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</si>
  <si>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</si>
  <si>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</si>
  <si>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</si>
  <si>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</si>
  <si>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</si>
  <si>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</si>
  <si>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</si>
  <si>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</si>
  <si>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</si>
  <si>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</si>
  <si>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</si>
  <si>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</si>
  <si>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</si>
  <si>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</si>
  <si>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</si>
  <si>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</si>
  <si>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</si>
  <si>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</si>
  <si>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</si>
  <si>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</si>
  <si>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Оборудование</t>
  </si>
  <si>
    <t>2</t>
  </si>
  <si>
    <t>КП № 08-5439 от 05.08.2025г. ООО "ИТ Компания Д-Системс"</t>
  </si>
  <si>
    <t>Программно-технический комплекс телемеханики, автоматики, АСУ ТП диспетчеризации и телекоммуникаций TOPAZ "ПТК информационной безопасности TOPAZ Gateway*</t>
  </si>
  <si>
    <t>шт.</t>
  </si>
  <si>
    <t>Материалы</t>
  </si>
  <si>
    <t>Материалы, изделия и конструкции</t>
  </si>
  <si>
    <t>[137 440,22 /  7,11] +  3% Трансп +  1,2% Заг.скл</t>
  </si>
  <si>
    <t>3</t>
  </si>
  <si>
    <t>1,2</t>
  </si>
  <si>
    <t>09-01-01</t>
  </si>
  <si>
    <t>Система телемеханики с включением в АИИС КУЭ в ТП. ПНР</t>
  </si>
  <si>
    <t>Пусконаладочные работы</t>
  </si>
  <si>
    <t>5.2-29-2</t>
  </si>
  <si>
    <t>Система АПД КП - АДП ПУ аппаратуры сопряжения с ЭВМ</t>
  </si>
  <si>
    <t>1 комплекс</t>
  </si>
  <si>
    <t>ТСН-2001.5. Доп. 1-42. Сб. 2, т. 29, поз. 2</t>
  </si>
  <si>
    <t>Поправка: Гл.5.Прил.2.2.п.2.2.23_05.00.01.37.001  Наименование: При выполнении монтажных и пусконаладочных работ по какому-либо оборудованию одним и тем же звеном (бригадой)</t>
  </si>
  <si>
    <t>)*0,8</t>
  </si>
  <si>
    <t>ТСН-2001.5-2. 2-1...2-32</t>
  </si>
  <si>
    <t>ТСН-2001.5-2-1</t>
  </si>
  <si>
    <t>Поправка: Гл.5.Прил.2.2.п.2.2.23_05.00.01.37.001</t>
  </si>
  <si>
    <t>5.2-23-1</t>
  </si>
  <si>
    <t>Устройство телемеханики на стороне контролируемого пункта</t>
  </si>
  <si>
    <t>1 устройство</t>
  </si>
  <si>
    <t>ТСН-2001.5. Доп. 1-42. Сб. 2, т. 23, поз. 1</t>
  </si>
  <si>
    <t>5.2-19-9</t>
  </si>
  <si>
    <t>Система подготовки информации и выполнения процедур обмена информацией со смежными и вышестоящими системами управления с количеством сигналов измерительной информации до 2</t>
  </si>
  <si>
    <t>1 система</t>
  </si>
  <si>
    <t>ТСН-2001.5. Доп. 1-42. Сб. 2, т. 19, поз. 9</t>
  </si>
  <si>
    <t>4</t>
  </si>
  <si>
    <t>5.2-19-10</t>
  </si>
  <si>
    <t>За каждый последующий сигнал измерительной информации добавлять к позиции 5.2-19-9</t>
  </si>
  <si>
    <t>1 сигнал</t>
  </si>
  <si>
    <t>ТСН-2001.5. Доп. 1-42. Сб. 2, т. 19, поз. 10</t>
  </si>
  <si>
    <t>5</t>
  </si>
  <si>
    <t>5.2-21-1</t>
  </si>
  <si>
    <t>1 комплекс систем</t>
  </si>
  <si>
    <t>ТСН-2001.5. Доп. 1-42. Сб. 2, т. 21, поз. 1</t>
  </si>
  <si>
    <t>6</t>
  </si>
  <si>
    <t>5.2-21-2</t>
  </si>
  <si>
    <t>За каждый последующий параметр или сигнал управления добавлять к позиции 5.2-21-1</t>
  </si>
  <si>
    <t>ТСН-2001.5. Доп. 1-42. Сб. 2, т. 21, поз. 2</t>
  </si>
  <si>
    <t>7</t>
  </si>
  <si>
    <t>5.2-32-1</t>
  </si>
  <si>
    <t>Проверка всего технологического комплекса в режимах работы и контроля, сдача в эксплуатацию</t>
  </si>
  <si>
    <t>ТСН-2001.5. Доп. 1-42. Сб. 2, т. 32, поз. 1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</si>
  <si>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</si>
  <si>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</si>
  <si>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</si>
  <si>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</si>
  <si>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Текущий уровень цен</t>
  </si>
  <si>
    <t>Сборник индексов</t>
  </si>
  <si>
    <t>_OBSM_</t>
  </si>
  <si>
    <t>9999990008</t>
  </si>
  <si>
    <t>Трудозатраты рабочих</t>
  </si>
  <si>
    <t>чел.-ч.</t>
  </si>
  <si>
    <t>2.1-18-7</t>
  </si>
  <si>
    <t>ТСН-2001.2. Доп. 68. п.1-18-7 (183001)</t>
  </si>
  <si>
    <t>Автомобили грузовые бортовые, грузоподъемность до 5 т</t>
  </si>
  <si>
    <t>маш.-ч</t>
  </si>
  <si>
    <t>4200000000</t>
  </si>
  <si>
    <t>Съемные и выдвижные блоки, ячейки, модули, типовые элементы замены (4300000000)</t>
  </si>
  <si>
    <t>Комплексная наладка систем, реализующих функции: контроля технологического объекта с двумя параметрами (точками) контроля, вычислительных или логических операций информационного характера технологического объекта с двумя обрабатываемыми параметрами; программной или логической операции управления технологическим объектом с двумя обрабатываемыми сигналами управления</t>
  </si>
  <si>
    <t>(наименование стройки и/или объекта)</t>
  </si>
  <si>
    <t>(наименование работ и затрат)</t>
  </si>
  <si>
    <t>В базисном уровне цен</t>
  </si>
  <si>
    <t>В текущем уровне цен</t>
  </si>
  <si>
    <t>Сметная стоимость</t>
  </si>
  <si>
    <t>Строительные работы</t>
  </si>
  <si>
    <t>Работы по монтажу оборудования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</si>
  <si>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</si>
  <si>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</si>
  <si>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</si>
  <si>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</si>
  <si>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</si>
  <si>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</si>
  <si>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</si>
  <si>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</si>
  <si>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</si>
  <si>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</si>
  <si>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</si>
  <si>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</si>
  <si>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Всего
затрат в
базисном
уровне цен,
руб.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</si>
  <si>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</si>
  <si>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</si>
  <si>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</si>
  <si>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>ЗП</t>
  </si>
  <si>
    <t>ЭМ</t>
  </si>
  <si>
    <t>в т.ч. ЗПМ</t>
  </si>
  <si>
    <t>НР от ЗП</t>
  </si>
  <si>
    <t>%</t>
  </si>
  <si>
    <t>СП от ЗП</t>
  </si>
  <si>
    <t>НР и СП от ЗПМ</t>
  </si>
  <si>
    <t>ЗТР</t>
  </si>
  <si>
    <t>чел-ч</t>
  </si>
  <si>
    <t>Всего по позиции:</t>
  </si>
  <si>
    <t xml:space="preserve">   Итого по ТСН-2001.16</t>
  </si>
  <si>
    <t xml:space="preserve">   Итого возвратных сумм</t>
  </si>
  <si>
    <r>
      <t>Программно-технический комплекс телемеханики, автоматики, АСУ ТП диспетчеризации и телекоммуникаций TOPAZ "ПТК информационной безопасности TOPAZ Gateway*</t>
    </r>
    <r>
      <rPr>
        <i/>
        <sz val="10"/>
        <rFont val="Arial"/>
        <family val="2"/>
        <charset val="204"/>
      </rPr>
      <t xml:space="preserve">
20 149,40 = [137 440,22 /  7,11] +  3% Трансп +  1,2% Заг.скл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</si>
  <si>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</si>
  <si>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</si>
  <si>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</si>
  <si>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</si>
  <si>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Строительство ТП-10/0,4кВ с тр-ми 2х400кВА, 4КЛ-10кВ от ТП-10/0,4кВ луч А,Б до КЛ-10кВ направлением ТП-10/0,4кВ № № 21782 - ТП-10/0,4кВ № 24478 луч А,Б, 8КЛ-0,4кВ от ТП-10/0,4кВ до ВРЩ-0,4кВ №1-3, в т.ч. ПИР: г.Москва, ул.Феодосийская, з/у 7</t>
  </si>
  <si>
    <t>Основание: чертежи №290729/ПС-22-ТП-ТМ</t>
  </si>
  <si>
    <t>Составлен(а) по ТСН-2001 с учетом Дополнения №: 73</t>
  </si>
  <si>
    <t>№ и период сборника коэффициентов (индексов) пересчета: ТСН-2001-МГЭ №212 июль 2024 года</t>
  </si>
  <si>
    <t>ЛОКАЛЬНАЯ СМЕТА № 02-01-09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</si>
</sst>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[Red]\-\ #,##0.00"/>
    <numFmt numFmtId="165" formatCode="General;\-General;"/>
  </numFmts>
  <fonts count="18" x14ac:knownFonts="1">
    <font>
      <sz val="10"/>
      <name val="Arial"/>
      <charset val="204"/>
    </font>
    <font>
      <b/>
      <sz val="10"/>
      <color indexed="12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i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left" wrapText="1"/>
    </xf>
    <xf numFmtId="0" fontId="10" fillId="0" borderId="0" xfId="0" applyFont="1" applyAlignment="1">
      <alignment horizontal="center" vertical="top" wrapText="1"/>
    </xf>
    <xf numFmtId="164" fontId="14" fillId="0" borderId="0" xfId="0" applyNumberFormat="1" applyFont="1"/>
    <xf numFmtId="0" fontId="14" fillId="0" borderId="0" xfId="0" applyFont="1"/>
    <xf numFmtId="164" fontId="10" fillId="0" borderId="0" xfId="0" applyNumberFormat="1" applyFont="1"/>
    <xf numFmtId="0" fontId="10" fillId="0" borderId="0" xfId="0" applyFont="1" applyAlignment="1">
      <alignment horizontal="left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right"/>
    </xf>
    <xf numFmtId="0" fontId="16" fillId="0" borderId="0" xfId="0" applyFont="1" applyAlignment="1">
      <alignment horizontal="right" wrapText="1"/>
    </xf>
    <xf numFmtId="165" fontId="10" fillId="0" borderId="0" xfId="0" applyNumberFormat="1" applyFont="1" applyAlignment="1">
      <alignment horizontal="right" wrapText="1"/>
    </xf>
    <xf numFmtId="164" fontId="10" fillId="0" borderId="0" xfId="0" applyNumberFormat="1" applyFont="1" applyAlignment="1">
      <alignment horizontal="right"/>
    </xf>
    <xf numFmtId="164" fontId="16" fillId="0" borderId="0" xfId="0" applyNumberFormat="1" applyFont="1" applyAlignment="1">
      <alignment horizontal="right"/>
    </xf>
    <xf numFmtId="164" fontId="0" fillId="0" borderId="0" xfId="0" applyNumberFormat="1"/>
    <xf numFmtId="0" fontId="10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right" wrapText="1"/>
    </xf>
    <xf numFmtId="0" fontId="10" fillId="0" borderId="1" xfId="0" applyFont="1" applyBorder="1" applyAlignment="1">
      <alignment horizontal="right"/>
    </xf>
    <xf numFmtId="164" fontId="10" fillId="0" borderId="1" xfId="0" applyNumberFormat="1" applyFont="1" applyBorder="1" applyAlignment="1">
      <alignment horizontal="right"/>
    </xf>
    <xf numFmtId="165" fontId="10" fillId="0" borderId="1" xfId="0" applyNumberFormat="1" applyFont="1" applyBorder="1" applyAlignment="1">
      <alignment horizontal="right" wrapText="1"/>
    </xf>
    <xf numFmtId="0" fontId="14" fillId="0" borderId="0" xfId="0" applyFont="1" applyAlignment="1">
      <alignment horizontal="left" wrapText="1"/>
    </xf>
    <xf numFmtId="0" fontId="10" fillId="0" borderId="1" xfId="0" applyFont="1" applyBorder="1"/>
    <xf numFmtId="0" fontId="10" fillId="0" borderId="0" xfId="0" applyFont="1" applyAlignment="1">
      <alignment horizontal="right"/>
    </xf>
    <xf numFmtId="0" fontId="15" fillId="0" borderId="0" xfId="0" applyFont="1" applyAlignment="1">
      <alignment horizontal="center" wrapText="1"/>
    </xf>
    <xf numFmtId="0" fontId="14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1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0" fillId="0" borderId="0" xfId="0"/>
    <xf numFmtId="0" fontId="10" fillId="0" borderId="1" xfId="0" applyFont="1" applyBorder="1" applyAlignment="1">
      <alignment horizontal="left" wrapText="1"/>
    </xf>
    <xf numFmtId="0" fontId="10" fillId="0" borderId="0" xfId="1" applyFont="1" applyAlignment="1">
      <alignment horizontal="left"/>
    </xf>
    <xf numFmtId="164" fontId="14" fillId="0" borderId="2" xfId="0" applyNumberFormat="1" applyFont="1" applyBorder="1" applyAlignment="1">
      <alignment horizontal="right"/>
    </xf>
    <xf numFmtId="164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right"/>
    </xf>
    <xf numFmtId="0" fontId="14" fillId="0" borderId="0" xfId="0" applyFont="1" applyAlignment="1">
      <alignment horizontal="left" wrapText="1"/>
    </xf>
    <xf numFmtId="0" fontId="10" fillId="0" borderId="0" xfId="0" applyFont="1" applyAlignment="1">
      <alignment horizontal="right" vertical="center"/>
    </xf>
  </cellXfs>
  <cellStyles count="2">
    <cellStyle name="Обычный" xfId="0" builtinId="0"/>
    <cellStyle name="Обычный 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3"/>
  <sheetViews>
    <sheetView tabSelected="1" zoomScaleNormal="100" workbookViewId="0">
      <selection activeCell="C26" sqref="C26"/>
    </sheetView>
  </sheetViews>
  <sheetFormatPr defaultRowHeight="12.75" x14ac:dyDescent="0.2"/>
  <cols>
    <col min="1" max="1" width="5.7109375" customWidth="1"/>
    <col min="2" max="2" width="11.7109375" customWidth="1"/>
    <col min="3" max="3" width="40.7109375" customWidth="1"/>
    <col min="4" max="4" width="11.7109375" customWidth="1"/>
    <col min="5" max="5" width="8.140625" bestFit="1" customWidth="1"/>
    <col min="6" max="6" width="10.140625" bestFit="1" customWidth="1"/>
    <col min="7" max="7" width="8.5703125" bestFit="1" customWidth="1"/>
    <col min="9" max="9" width="10.140625" bestFit="1" customWidth="1"/>
    <col min="11" max="11" width="11.28515625" bestFit="1" customWidth="1"/>
    <col min="14" max="42" width="0" hidden="1" customWidth="1"/>
    <col min="43" max="43" width="96" hidden="1" customWidth="1"/>
    <col min="44" max="47" width="0" hidden="1" customWidth="1"/>
  </cols>
  <sheetData>
    <row r="1" spans="1:11" x14ac:dyDescent="0.2">
      <c r="A1" s="8" t="str">
        <f>Source!B1</f>
        <v>Smeta.RU  (495) 974-1589</v>
      </c>
    </row>
    <row r="2" spans="1:11" ht="14.25" x14ac:dyDescent="0.2">
      <c r="A2" s="9"/>
      <c r="B2" s="9"/>
      <c r="C2" s="9"/>
      <c r="D2" s="9"/>
      <c r="E2" s="9"/>
      <c r="F2" s="9"/>
      <c r="G2" s="9"/>
      <c r="H2" s="9"/>
      <c r="I2" s="9"/>
      <c r="J2" s="32" t="s">
        <v>167</v>
      </c>
      <c r="K2" s="32"/>
    </row>
    <row r="3" spans="1:11" ht="51.75" customHeight="1" x14ac:dyDescent="0.25">
      <c r="A3" s="36" t="s">
        <v>185</v>
      </c>
      <c r="B3" s="36"/>
      <c r="C3" s="36"/>
      <c r="D3" s="36"/>
      <c r="E3" s="36"/>
      <c r="F3" s="36"/>
      <c r="G3" s="36"/>
      <c r="H3" s="36"/>
      <c r="I3" s="36"/>
      <c r="J3" s="36"/>
      <c r="K3" s="36"/>
    </row>
    <row r="4" spans="1:11" x14ac:dyDescent="0.2">
      <c r="A4" s="37" t="s">
        <v>145</v>
      </c>
      <c r="B4" s="37"/>
      <c r="C4" s="37"/>
      <c r="D4" s="37"/>
      <c r="E4" s="37"/>
      <c r="F4" s="37"/>
      <c r="G4" s="37"/>
      <c r="H4" s="37"/>
      <c r="I4" s="37"/>
      <c r="J4" s="37"/>
      <c r="K4" s="37"/>
    </row>
    <row r="5" spans="1:11" ht="14.25" x14ac:dyDescent="0.2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ht="15.75" x14ac:dyDescent="0.25">
      <c r="A6" s="36" t="s">
        <v>189</v>
      </c>
      <c r="B6" s="38"/>
      <c r="C6" s="38"/>
      <c r="D6" s="38"/>
      <c r="E6" s="38"/>
      <c r="F6" s="38"/>
      <c r="G6" s="38"/>
      <c r="H6" s="38"/>
      <c r="I6" s="38"/>
      <c r="J6" s="38"/>
      <c r="K6" s="38"/>
    </row>
    <row r="7" spans="1:11" ht="14.25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ht="18" x14ac:dyDescent="0.25">
      <c r="A8" s="39" t="str">
        <f>IF(Source!G20&lt;&gt;"Новая локальная смета", Source!G20, "")</f>
        <v>Система телемеханики с включением в АИИС КУЭ в ТП</v>
      </c>
      <c r="B8" s="39"/>
      <c r="C8" s="39"/>
      <c r="D8" s="39"/>
      <c r="E8" s="39"/>
      <c r="F8" s="39"/>
      <c r="G8" s="39"/>
      <c r="H8" s="39"/>
      <c r="I8" s="39"/>
      <c r="J8" s="39"/>
      <c r="K8" s="39"/>
    </row>
    <row r="9" spans="1:11" x14ac:dyDescent="0.2">
      <c r="A9" s="40" t="s">
        <v>146</v>
      </c>
      <c r="B9" s="41"/>
      <c r="C9" s="41"/>
      <c r="D9" s="41"/>
      <c r="E9" s="41"/>
      <c r="F9" s="41"/>
      <c r="G9" s="41"/>
      <c r="H9" s="41"/>
      <c r="I9" s="41"/>
      <c r="J9" s="41"/>
      <c r="K9" s="41"/>
    </row>
    <row r="10" spans="1:11" ht="14.25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1" ht="14.25" customHeight="1" x14ac:dyDescent="0.2">
      <c r="A11" s="42" t="s">
        <v>186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</row>
    <row r="12" spans="1:11" ht="14.25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ht="71.25" x14ac:dyDescent="0.2">
      <c r="A13" s="9"/>
      <c r="B13" s="9"/>
      <c r="C13" s="9"/>
      <c r="D13" s="9"/>
      <c r="E13" s="9"/>
      <c r="F13" s="9"/>
      <c r="G13" s="9"/>
      <c r="H13" s="9"/>
      <c r="I13" s="11" t="s">
        <v>147</v>
      </c>
      <c r="J13" s="11" t="s">
        <v>148</v>
      </c>
      <c r="K13" s="9"/>
    </row>
    <row r="14" spans="1:11" ht="15" x14ac:dyDescent="0.25">
      <c r="A14" s="9"/>
      <c r="B14" s="9"/>
      <c r="C14" s="9"/>
      <c r="D14" s="9"/>
      <c r="E14" s="34" t="s">
        <v>149</v>
      </c>
      <c r="F14" s="34"/>
      <c r="G14" s="34"/>
      <c r="H14" s="34"/>
      <c r="I14" s="12">
        <f>I15+I16+I17+I18</f>
        <v>20.189999999999998</v>
      </c>
      <c r="J14" s="12">
        <f>J15+J16+J17+J18</f>
        <v>144.23999999999998</v>
      </c>
      <c r="K14" s="13" t="s">
        <v>181</v>
      </c>
    </row>
    <row r="15" spans="1:11" ht="14.25" x14ac:dyDescent="0.2">
      <c r="A15" s="9"/>
      <c r="B15" s="9"/>
      <c r="C15" s="9"/>
      <c r="D15" s="9"/>
      <c r="E15" s="35" t="s">
        <v>150</v>
      </c>
      <c r="F15" s="35"/>
      <c r="G15" s="35"/>
      <c r="H15" s="35"/>
      <c r="I15" s="14">
        <f>ROUND(SUM(X28:X56)/1000, 2)</f>
        <v>0</v>
      </c>
      <c r="J15" s="14">
        <f>ROUND((Source!F113)/1000, 2)</f>
        <v>0</v>
      </c>
      <c r="K15" s="9" t="s">
        <v>181</v>
      </c>
    </row>
    <row r="16" spans="1:11" ht="14.25" x14ac:dyDescent="0.2">
      <c r="A16" s="9"/>
      <c r="B16" s="9"/>
      <c r="C16" s="9"/>
      <c r="D16" s="9"/>
      <c r="E16" s="35" t="s">
        <v>151</v>
      </c>
      <c r="F16" s="35"/>
      <c r="G16" s="35"/>
      <c r="H16" s="35"/>
      <c r="I16" s="14">
        <f>ROUND(SUM(Y28:Y56)/1000, 2)</f>
        <v>0.04</v>
      </c>
      <c r="J16" s="14">
        <f>ROUND((Source!F114)/1000, 2)</f>
        <v>0.98</v>
      </c>
      <c r="K16" s="9" t="s">
        <v>181</v>
      </c>
    </row>
    <row r="17" spans="1:35" ht="14.25" x14ac:dyDescent="0.2">
      <c r="A17" s="9"/>
      <c r="B17" s="9"/>
      <c r="C17" s="9"/>
      <c r="D17" s="9"/>
      <c r="E17" s="35" t="s">
        <v>81</v>
      </c>
      <c r="F17" s="35"/>
      <c r="G17" s="35"/>
      <c r="H17" s="35"/>
      <c r="I17" s="14">
        <f>ROUND(SUM(Z28:Z56)/1000, 2)</f>
        <v>20.149999999999999</v>
      </c>
      <c r="J17" s="14">
        <f>ROUND((Source!F105)/1000, 2)</f>
        <v>143.26</v>
      </c>
      <c r="K17" s="9" t="s">
        <v>181</v>
      </c>
    </row>
    <row r="18" spans="1:35" ht="14.25" x14ac:dyDescent="0.2">
      <c r="A18" s="9"/>
      <c r="B18" s="9"/>
      <c r="C18" s="9"/>
      <c r="D18" s="9"/>
      <c r="E18" s="35" t="s">
        <v>152</v>
      </c>
      <c r="F18" s="35"/>
      <c r="G18" s="35"/>
      <c r="H18" s="35"/>
      <c r="I18" s="14">
        <f>ROUND(SUM(AA28:AA56)/1000, 2)</f>
        <v>0</v>
      </c>
      <c r="J18" s="14">
        <f>ROUND((Source!F115+Source!F116)/1000, 2)</f>
        <v>0</v>
      </c>
      <c r="K18" s="9" t="s">
        <v>181</v>
      </c>
    </row>
    <row r="19" spans="1:35" ht="14.25" x14ac:dyDescent="0.2">
      <c r="A19" s="9"/>
      <c r="B19" s="9"/>
      <c r="C19" s="9"/>
      <c r="D19" s="9"/>
      <c r="E19" s="35" t="s">
        <v>153</v>
      </c>
      <c r="F19" s="35"/>
      <c r="G19" s="35"/>
      <c r="H19" s="35"/>
      <c r="I19" s="14">
        <f>ROUND(SUM(W28:W56)/1000, 2)</f>
        <v>0.01</v>
      </c>
      <c r="J19" s="14">
        <f>(Source!F111+ Source!F110)/1000</f>
        <v>0.41863</v>
      </c>
      <c r="K19" s="9" t="s">
        <v>181</v>
      </c>
    </row>
    <row r="20" spans="1:35" ht="14.25" x14ac:dyDescent="0.2">
      <c r="A20" s="9"/>
      <c r="B20" s="9"/>
      <c r="C20" s="9"/>
      <c r="D20" s="9"/>
      <c r="E20" s="35" t="s">
        <v>154</v>
      </c>
      <c r="F20" s="35"/>
      <c r="G20" s="35"/>
      <c r="H20" s="35"/>
      <c r="I20" s="14">
        <f>SUM(AB28:AB56)</f>
        <v>1.0784099999999999</v>
      </c>
      <c r="J20" s="14"/>
      <c r="K20" s="9" t="s">
        <v>137</v>
      </c>
    </row>
    <row r="21" spans="1:35" ht="14.25" hidden="1" x14ac:dyDescent="0.2">
      <c r="A21" s="9"/>
      <c r="B21" s="9"/>
      <c r="C21" s="9"/>
      <c r="D21" s="9"/>
      <c r="E21" s="35" t="s">
        <v>155</v>
      </c>
      <c r="F21" s="35"/>
      <c r="G21" s="35"/>
      <c r="H21" s="35"/>
      <c r="I21" s="14"/>
      <c r="J21" s="14"/>
      <c r="K21" s="9"/>
    </row>
    <row r="22" spans="1:35" ht="14.25" hidden="1" x14ac:dyDescent="0.2">
      <c r="A22" s="9"/>
      <c r="B22" s="9"/>
      <c r="C22" s="9"/>
      <c r="D22" s="9"/>
      <c r="E22" s="43" t="s">
        <v>66</v>
      </c>
      <c r="F22" s="43"/>
      <c r="G22" s="43"/>
      <c r="H22" s="43"/>
      <c r="I22" s="14">
        <f>ROUND(SUM(AE28:AE56)/1000, 2)</f>
        <v>0</v>
      </c>
      <c r="J22" s="14">
        <f>SUM(AF28:AF56)/1000</f>
        <v>0</v>
      </c>
      <c r="K22" s="9" t="s">
        <v>181</v>
      </c>
    </row>
    <row r="23" spans="1:35" ht="14.25" x14ac:dyDescent="0.2">
      <c r="A23" s="9"/>
      <c r="B23" s="9"/>
      <c r="C23" s="9"/>
      <c r="D23" s="9"/>
      <c r="E23" s="9"/>
      <c r="F23" s="15"/>
      <c r="G23" s="15"/>
      <c r="H23" s="15"/>
      <c r="I23" s="14"/>
      <c r="J23" s="14"/>
      <c r="K23" s="9"/>
    </row>
    <row r="24" spans="1:35" ht="14.25" x14ac:dyDescent="0.2">
      <c r="A24" s="9" t="s">
        <v>187</v>
      </c>
      <c r="B24" s="9"/>
      <c r="C24" s="9"/>
      <c r="D24" s="9"/>
      <c r="E24" s="9"/>
      <c r="F24" s="15"/>
      <c r="G24" s="15"/>
      <c r="H24" s="15"/>
      <c r="I24" s="14"/>
      <c r="J24" s="14"/>
      <c r="K24" s="9"/>
    </row>
    <row r="25" spans="1:35" ht="14.25" customHeight="1" x14ac:dyDescent="0.2">
      <c r="A25" s="42" t="s">
        <v>188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</row>
    <row r="26" spans="1:35" ht="114" x14ac:dyDescent="0.2">
      <c r="A26" s="16" t="s">
        <v>156</v>
      </c>
      <c r="B26" s="16" t="s">
        <v>157</v>
      </c>
      <c r="C26" s="16" t="s">
        <v>158</v>
      </c>
      <c r="D26" s="16" t="s">
        <v>159</v>
      </c>
      <c r="E26" s="16" t="s">
        <v>160</v>
      </c>
      <c r="F26" s="16" t="s">
        <v>161</v>
      </c>
      <c r="G26" s="17" t="s">
        <v>162</v>
      </c>
      <c r="H26" s="17" t="s">
        <v>163</v>
      </c>
      <c r="I26" s="16" t="s">
        <v>164</v>
      </c>
      <c r="J26" s="16" t="s">
        <v>165</v>
      </c>
      <c r="K26" s="16" t="s">
        <v>166</v>
      </c>
    </row>
    <row r="27" spans="1:35" ht="14.25" x14ac:dyDescent="0.2">
      <c r="A27" s="16">
        <v>1</v>
      </c>
      <c r="B27" s="16">
        <v>2</v>
      </c>
      <c r="C27" s="16">
        <v>3</v>
      </c>
      <c r="D27" s="16">
        <v>4</v>
      </c>
      <c r="E27" s="16">
        <v>5</v>
      </c>
      <c r="F27" s="16">
        <v>6</v>
      </c>
      <c r="G27" s="16">
        <v>7</v>
      </c>
      <c r="H27" s="16">
        <v>8</v>
      </c>
      <c r="I27" s="16">
        <v>9</v>
      </c>
      <c r="J27" s="16">
        <v>10</v>
      </c>
      <c r="K27" s="16">
        <v>11</v>
      </c>
    </row>
    <row r="29" spans="1:35" ht="16.5" x14ac:dyDescent="0.25">
      <c r="A29" s="33" t="str">
        <f>CONCATENATE("Раздел: ",IF(Source!G24&lt;&gt;"Новый раздел", Source!G24, ""))</f>
        <v>Раздел: Монтажные работы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</row>
    <row r="30" spans="1:35" ht="42.75" x14ac:dyDescent="0.2">
      <c r="A30" s="18">
        <v>1</v>
      </c>
      <c r="B30" s="18" t="str">
        <f>Source!F28</f>
        <v>4.11-12-1</v>
      </c>
      <c r="C30" s="18" t="s">
        <v>21</v>
      </c>
      <c r="D30" s="20" t="str">
        <f>Source!H28</f>
        <v>1  ШТ.</v>
      </c>
      <c r="E30" s="19">
        <f>Source!I28</f>
        <v>1</v>
      </c>
      <c r="F30" s="22"/>
      <c r="G30" s="21"/>
      <c r="H30" s="19"/>
      <c r="I30" s="22"/>
      <c r="J30" s="19"/>
      <c r="K30" s="22"/>
      <c r="Q30">
        <f>ROUND((Source!DN28/100)*ROUND((ROUND((Source!AF28*Source!AV28*Source!I28),2)),2), 2)</f>
        <v>13.66</v>
      </c>
      <c r="R30">
        <f>Source!X28</f>
        <v>382.63</v>
      </c>
      <c r="S30">
        <f>ROUND((Source!DO28/100)*ROUND((ROUND((Source!AF28*Source!AV28*Source!I28),2)),2), 2)</f>
        <v>8.5399999999999991</v>
      </c>
      <c r="T30">
        <f>Source!Y28</f>
        <v>170.52</v>
      </c>
      <c r="U30">
        <f>ROUND((175/100)*ROUND((ROUND((Source!AE28*Source!AV28*Source!I28),2)),2), 2)</f>
        <v>0.14000000000000001</v>
      </c>
      <c r="V30">
        <f>ROUND((160/100)*ROUND(ROUND((ROUND((Source!AE28*Source!AV28*Source!I28),2)*Source!BS28),2), 2), 2)</f>
        <v>4.37</v>
      </c>
      <c r="AI30">
        <v>0</v>
      </c>
    </row>
    <row r="31" spans="1:35" ht="14.25" x14ac:dyDescent="0.2">
      <c r="A31" s="18"/>
      <c r="B31" s="18"/>
      <c r="C31" s="18" t="s">
        <v>168</v>
      </c>
      <c r="D31" s="20"/>
      <c r="E31" s="19"/>
      <c r="F31" s="22">
        <f>Source!AO28</f>
        <v>11.65</v>
      </c>
      <c r="G31" s="21" t="str">
        <f>Source!DG28</f>
        <v/>
      </c>
      <c r="H31" s="19">
        <f>Source!AV28</f>
        <v>1.0469999999999999</v>
      </c>
      <c r="I31" s="22">
        <f>ROUND((ROUND((Source!AF28*Source!AV28*Source!I28),2)),2)</f>
        <v>12.2</v>
      </c>
      <c r="J31" s="19">
        <f>IF(Source!BA28&lt;&gt; 0, Source!BA28, 1)</f>
        <v>34.090000000000003</v>
      </c>
      <c r="K31" s="22">
        <f>Source!S28</f>
        <v>415.9</v>
      </c>
      <c r="W31">
        <f>I31</f>
        <v>12.2</v>
      </c>
    </row>
    <row r="32" spans="1:35" ht="14.25" x14ac:dyDescent="0.2">
      <c r="A32" s="18"/>
      <c r="B32" s="18"/>
      <c r="C32" s="18" t="s">
        <v>169</v>
      </c>
      <c r="D32" s="20"/>
      <c r="E32" s="19"/>
      <c r="F32" s="22">
        <f>Source!AM28</f>
        <v>0.5</v>
      </c>
      <c r="G32" s="21" t="str">
        <f>Source!DE28</f>
        <v/>
      </c>
      <c r="H32" s="19">
        <f>Source!AV28</f>
        <v>1.0469999999999999</v>
      </c>
      <c r="I32" s="22">
        <f>(ROUND((ROUND(((Source!ET28)*Source!AV28*Source!I28),2)),2)+ROUND((ROUND(((Source!AE28-(Source!EU28))*Source!AV28*Source!I28),2)),2))</f>
        <v>0.52</v>
      </c>
      <c r="J32" s="19">
        <f>IF(Source!BB28&lt;&gt; 0, Source!BB28, 1)</f>
        <v>12.68</v>
      </c>
      <c r="K32" s="22">
        <f>Source!Q28</f>
        <v>6.59</v>
      </c>
    </row>
    <row r="33" spans="1:35" ht="14.25" x14ac:dyDescent="0.2">
      <c r="A33" s="18"/>
      <c r="B33" s="18"/>
      <c r="C33" s="18" t="s">
        <v>170</v>
      </c>
      <c r="D33" s="20"/>
      <c r="E33" s="19"/>
      <c r="F33" s="22">
        <f>Source!AN28</f>
        <v>0.08</v>
      </c>
      <c r="G33" s="21" t="str">
        <f>Source!DF28</f>
        <v/>
      </c>
      <c r="H33" s="19">
        <f>Source!AV28</f>
        <v>1.0469999999999999</v>
      </c>
      <c r="I33" s="23">
        <f>ROUND((ROUND((Source!AE28*Source!AV28*Source!I28),2)),2)</f>
        <v>0.08</v>
      </c>
      <c r="J33" s="19">
        <f>IF(Source!BS28&lt;&gt; 0, Source!BS28, 1)</f>
        <v>34.090000000000003</v>
      </c>
      <c r="K33" s="23">
        <f>Source!R28</f>
        <v>2.73</v>
      </c>
      <c r="W33">
        <f>I33</f>
        <v>0.08</v>
      </c>
    </row>
    <row r="34" spans="1:35" ht="14.25" x14ac:dyDescent="0.2">
      <c r="A34" s="18"/>
      <c r="B34" s="18"/>
      <c r="C34" s="18" t="s">
        <v>171</v>
      </c>
      <c r="D34" s="20" t="s">
        <v>172</v>
      </c>
      <c r="E34" s="19">
        <f>Source!DN28</f>
        <v>112</v>
      </c>
      <c r="F34" s="22"/>
      <c r="G34" s="21"/>
      <c r="H34" s="19"/>
      <c r="I34" s="22">
        <f>SUM(Q30:Q33)</f>
        <v>13.66</v>
      </c>
      <c r="J34" s="19">
        <f>Source!BZ28</f>
        <v>92</v>
      </c>
      <c r="K34" s="22">
        <f>SUM(R30:R33)</f>
        <v>382.63</v>
      </c>
    </row>
    <row r="35" spans="1:35" ht="14.25" x14ac:dyDescent="0.2">
      <c r="A35" s="18"/>
      <c r="B35" s="18"/>
      <c r="C35" s="18" t="s">
        <v>173</v>
      </c>
      <c r="D35" s="20" t="s">
        <v>172</v>
      </c>
      <c r="E35" s="19">
        <f>Source!DO28</f>
        <v>70</v>
      </c>
      <c r="F35" s="22"/>
      <c r="G35" s="21"/>
      <c r="H35" s="19"/>
      <c r="I35" s="22">
        <f>SUM(S30:S34)</f>
        <v>8.5399999999999991</v>
      </c>
      <c r="J35" s="19">
        <f>Source!CA28</f>
        <v>41</v>
      </c>
      <c r="K35" s="22">
        <f>SUM(T30:T34)</f>
        <v>170.52</v>
      </c>
    </row>
    <row r="36" spans="1:35" ht="14.25" x14ac:dyDescent="0.2">
      <c r="A36" s="18"/>
      <c r="B36" s="18"/>
      <c r="C36" s="18" t="s">
        <v>174</v>
      </c>
      <c r="D36" s="20" t="s">
        <v>172</v>
      </c>
      <c r="E36" s="19">
        <f>175</f>
        <v>175</v>
      </c>
      <c r="F36" s="22"/>
      <c r="G36" s="21"/>
      <c r="H36" s="19"/>
      <c r="I36" s="22">
        <f>SUM(U30:U35)</f>
        <v>0.14000000000000001</v>
      </c>
      <c r="J36" s="19">
        <f>160</f>
        <v>160</v>
      </c>
      <c r="K36" s="22">
        <f>SUM(V30:V35)</f>
        <v>4.37</v>
      </c>
    </row>
    <row r="37" spans="1:35" ht="14.25" x14ac:dyDescent="0.2">
      <c r="A37" s="25"/>
      <c r="B37" s="25"/>
      <c r="C37" s="25" t="s">
        <v>175</v>
      </c>
      <c r="D37" s="26" t="s">
        <v>176</v>
      </c>
      <c r="E37" s="27">
        <f>Source!AQ28</f>
        <v>1.03</v>
      </c>
      <c r="F37" s="28"/>
      <c r="G37" s="29" t="str">
        <f>Source!DI28</f>
        <v/>
      </c>
      <c r="H37" s="27">
        <f>Source!AV28</f>
        <v>1.0469999999999999</v>
      </c>
      <c r="I37" s="28">
        <f>Source!U28</f>
        <v>1.0784099999999999</v>
      </c>
      <c r="J37" s="27"/>
      <c r="K37" s="28"/>
      <c r="AB37" s="24">
        <f>I37</f>
        <v>1.0784099999999999</v>
      </c>
    </row>
    <row r="38" spans="1:35" ht="15" x14ac:dyDescent="0.25">
      <c r="C38" s="13" t="s">
        <v>177</v>
      </c>
      <c r="H38" s="44">
        <f>I31+I32+I34+I35+I36+0</f>
        <v>35.06</v>
      </c>
      <c r="I38" s="44"/>
      <c r="J38" s="44">
        <f>K31+K32+K34+K35+K36+0</f>
        <v>980.00999999999988</v>
      </c>
      <c r="K38" s="44"/>
      <c r="O38" s="24">
        <f>I31+I32+I34+I35+I36+0</f>
        <v>35.06</v>
      </c>
      <c r="P38" s="24">
        <f>K31+K32+K34+K35+K36+0</f>
        <v>980.00999999999988</v>
      </c>
      <c r="X38">
        <f>IF(Source!BI28&lt;=1,I31+I32+I34+I35+I36-0, 0)</f>
        <v>0</v>
      </c>
      <c r="Y38">
        <f>IF(Source!BI28=2,I31+I32+I34+I35+I36-0, 0)</f>
        <v>35.06</v>
      </c>
      <c r="Z38">
        <f>IF(Source!BI28=3,I31+I32+I34+I35+I36-0, 0)</f>
        <v>0</v>
      </c>
      <c r="AA38">
        <f>IF(Source!BI28=4,I31+I32+I34+I35+I36,0)</f>
        <v>0</v>
      </c>
    </row>
    <row r="41" spans="1:35" ht="15" x14ac:dyDescent="0.25">
      <c r="A41" s="47" t="str">
        <f>CONCATENATE("Итого по разделу: ",IF(Source!G30&lt;&gt;"Новый раздел", Source!G30, ""))</f>
        <v>Итого по разделу: Монтажные работы</v>
      </c>
      <c r="B41" s="47"/>
      <c r="C41" s="47"/>
      <c r="D41" s="47"/>
      <c r="E41" s="47"/>
      <c r="F41" s="47"/>
      <c r="G41" s="47"/>
      <c r="H41" s="45">
        <f>SUM(O29:O40)</f>
        <v>35.06</v>
      </c>
      <c r="I41" s="46"/>
      <c r="J41" s="45">
        <f>SUM(P29:P40)</f>
        <v>980.00999999999988</v>
      </c>
      <c r="K41" s="46"/>
    </row>
    <row r="42" spans="1:35" hidden="1" x14ac:dyDescent="0.2">
      <c r="A42" t="s">
        <v>178</v>
      </c>
      <c r="H42">
        <f>SUM(AC29:AC41)</f>
        <v>0</v>
      </c>
      <c r="J42">
        <f>SUM(AD29:AD41)</f>
        <v>0</v>
      </c>
    </row>
    <row r="43" spans="1:35" hidden="1" x14ac:dyDescent="0.2">
      <c r="A43" t="s">
        <v>179</v>
      </c>
      <c r="H43">
        <f>SUM(AE29:AE42)</f>
        <v>0</v>
      </c>
      <c r="J43">
        <f>SUM(AF29:AF42)</f>
        <v>0</v>
      </c>
    </row>
    <row r="45" spans="1:35" ht="16.5" x14ac:dyDescent="0.25">
      <c r="A45" s="33" t="str">
        <f>CONCATENATE("Раздел: ",IF(Source!G60&lt;&gt;"Новый раздел", Source!G60, ""))</f>
        <v>Раздел: Оборудование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</row>
    <row r="46" spans="1:35" ht="114" x14ac:dyDescent="0.2">
      <c r="A46" s="25">
        <v>2</v>
      </c>
      <c r="B46" s="25" t="str">
        <f>Source!F64</f>
        <v>КП № 08-5439 от 05.08.2025г. ООО "ИТ Компания Д-Системс"</v>
      </c>
      <c r="C46" s="25" t="s">
        <v>180</v>
      </c>
      <c r="D46" s="26" t="str">
        <f>Source!H64</f>
        <v>шт.</v>
      </c>
      <c r="E46" s="27">
        <f>Source!I64</f>
        <v>1</v>
      </c>
      <c r="F46" s="28">
        <f>Source!AL64</f>
        <v>20149.399999999998</v>
      </c>
      <c r="G46" s="29" t="str">
        <f>Source!DD64</f>
        <v/>
      </c>
      <c r="H46" s="27">
        <f>Source!AW64</f>
        <v>1</v>
      </c>
      <c r="I46" s="28">
        <f>ROUND((ROUND((Source!AC64*Source!AW64*Source!I64),2)),2)</f>
        <v>20149.400000000001</v>
      </c>
      <c r="J46" s="27">
        <f>IF(Source!BC64&lt;&gt; 0, Source!BC64, 1)</f>
        <v>7.11</v>
      </c>
      <c r="K46" s="28">
        <f>Source!P64</f>
        <v>143262.23000000001</v>
      </c>
      <c r="Q46">
        <f>ROUND((Source!DN64/100)*ROUND((ROUND((Source!AF64*Source!AV64*Source!I64),2)),2), 2)</f>
        <v>0</v>
      </c>
      <c r="R46">
        <f>Source!X64</f>
        <v>0</v>
      </c>
      <c r="S46">
        <f>ROUND((Source!DO64/100)*ROUND((ROUND((Source!AF64*Source!AV64*Source!I64),2)),2), 2)</f>
        <v>0</v>
      </c>
      <c r="T46">
        <f>Source!Y64</f>
        <v>0</v>
      </c>
      <c r="U46">
        <f>ROUND((175/100)*ROUND((ROUND((Source!AE64*Source!AV64*Source!I64),2)),2), 2)</f>
        <v>0</v>
      </c>
      <c r="V46">
        <f>ROUND((160/100)*ROUND(ROUND((ROUND((Source!AE64*Source!AV64*Source!I64),2)*Source!BS64),2), 2), 2)</f>
        <v>0</v>
      </c>
      <c r="AI46">
        <v>5</v>
      </c>
    </row>
    <row r="47" spans="1:35" ht="15" x14ac:dyDescent="0.25">
      <c r="C47" s="13" t="s">
        <v>177</v>
      </c>
      <c r="H47" s="44">
        <f>I46+0</f>
        <v>20149.400000000001</v>
      </c>
      <c r="I47" s="44"/>
      <c r="J47" s="44">
        <f>K46+0</f>
        <v>143262.23000000001</v>
      </c>
      <c r="K47" s="44"/>
      <c r="O47" s="24">
        <f>I46+0</f>
        <v>20149.400000000001</v>
      </c>
      <c r="P47" s="24">
        <f>K46+0</f>
        <v>143262.23000000001</v>
      </c>
      <c r="X47">
        <f>IF(Source!BI64&lt;=1,I46-0, 0)</f>
        <v>0</v>
      </c>
      <c r="Y47">
        <f>IF(Source!BI64=2,I46-0, 0)</f>
        <v>0</v>
      </c>
      <c r="Z47">
        <f>IF(Source!BI64=3,I46-0, 0)</f>
        <v>20149.400000000001</v>
      </c>
      <c r="AA47">
        <f>IF(Source!BI64=4,I46,0)</f>
        <v>0</v>
      </c>
    </row>
    <row r="50" spans="1:43" ht="15" x14ac:dyDescent="0.25">
      <c r="A50" s="47" t="str">
        <f>CONCATENATE("Итого по разделу: ",IF(Source!G66&lt;&gt;"Новый раздел", Source!G66, ""))</f>
        <v>Итого по разделу: Оборудование</v>
      </c>
      <c r="B50" s="47"/>
      <c r="C50" s="47"/>
      <c r="D50" s="47"/>
      <c r="E50" s="47"/>
      <c r="F50" s="47"/>
      <c r="G50" s="47"/>
      <c r="H50" s="45">
        <f>SUM(O45:O49)</f>
        <v>20149.400000000001</v>
      </c>
      <c r="I50" s="46"/>
      <c r="J50" s="45">
        <f>SUM(P45:P49)</f>
        <v>143262.23000000001</v>
      </c>
      <c r="K50" s="46"/>
    </row>
    <row r="51" spans="1:43" hidden="1" x14ac:dyDescent="0.2">
      <c r="A51" t="s">
        <v>178</v>
      </c>
      <c r="H51">
        <f>SUM(AC45:AC50)</f>
        <v>0</v>
      </c>
      <c r="J51">
        <f>SUM(AD45:AD50)</f>
        <v>0</v>
      </c>
    </row>
    <row r="52" spans="1:43" hidden="1" x14ac:dyDescent="0.2">
      <c r="A52" t="s">
        <v>179</v>
      </c>
      <c r="H52">
        <f>SUM(AE45:AE51)</f>
        <v>0</v>
      </c>
      <c r="J52">
        <f>SUM(AF45:AF51)</f>
        <v>0</v>
      </c>
    </row>
    <row r="54" spans="1:43" ht="15" x14ac:dyDescent="0.25">
      <c r="A54" s="47" t="str">
        <f>CONCATENATE("Итого по локальной смете: ",IF(Source!G96&lt;&gt;"Новая локальная смета", Source!G96, ""))</f>
        <v>Итого по локальной смете: Система телемеханики с включением в АИИС КУЭ в ТП</v>
      </c>
      <c r="B54" s="47"/>
      <c r="C54" s="47"/>
      <c r="D54" s="47"/>
      <c r="E54" s="47"/>
      <c r="F54" s="47"/>
      <c r="G54" s="47"/>
      <c r="H54" s="45">
        <f>SUM(O28:O53)</f>
        <v>20184.460000000003</v>
      </c>
      <c r="I54" s="46"/>
      <c r="J54" s="45">
        <f>SUM(P28:P53)</f>
        <v>144242.24000000002</v>
      </c>
      <c r="K54" s="46"/>
      <c r="AQ54" s="30" t="str">
        <f>CONCATENATE("Итого по локальной смете: ",IF(Source!G96&lt;&gt;"Новая локальная смета", Source!G96, ""))</f>
        <v>Итого по локальной смете: Система телемеханики с включением в АИИС КУЭ в ТП</v>
      </c>
    </row>
    <row r="55" spans="1:43" hidden="1" x14ac:dyDescent="0.2">
      <c r="A55" t="s">
        <v>178</v>
      </c>
      <c r="H55">
        <f>SUM(AC28:AC54)</f>
        <v>0</v>
      </c>
      <c r="J55">
        <f>SUM(AD28:AD54)</f>
        <v>0</v>
      </c>
    </row>
    <row r="56" spans="1:43" hidden="1" x14ac:dyDescent="0.2">
      <c r="A56" t="s">
        <v>179</v>
      </c>
      <c r="H56">
        <f>SUM(AE28:AE55)</f>
        <v>0</v>
      </c>
      <c r="J56">
        <f>SUM(AF28:AF55)</f>
        <v>0</v>
      </c>
    </row>
    <row r="59" spans="1:43" ht="14.25" x14ac:dyDescent="0.2">
      <c r="A59" s="48" t="s">
        <v>182</v>
      </c>
      <c r="B59" s="48"/>
      <c r="C59" s="31" t="str">
        <f>IF(Source!AC12&lt;&gt;"", Source!AC12," ")</f>
        <v xml:space="preserve"> </v>
      </c>
      <c r="D59" s="31"/>
      <c r="E59" s="31"/>
      <c r="F59" s="31"/>
      <c r="G59" s="31"/>
      <c r="H59" s="35" t="str">
        <f>IF(Source!AB12&lt;&gt;"", Source!AB12," ")</f>
        <v xml:space="preserve"> </v>
      </c>
      <c r="I59" s="35"/>
      <c r="J59" s="35"/>
      <c r="K59" s="35"/>
    </row>
    <row r="60" spans="1:43" ht="14.25" x14ac:dyDescent="0.2">
      <c r="A60" s="9"/>
      <c r="B60" s="9"/>
      <c r="C60" s="37" t="s">
        <v>183</v>
      </c>
      <c r="D60" s="37"/>
      <c r="E60" s="37"/>
      <c r="F60" s="37"/>
      <c r="G60" s="37"/>
      <c r="H60" s="9"/>
      <c r="I60" s="9"/>
      <c r="J60" s="9"/>
      <c r="K60" s="9"/>
    </row>
    <row r="61" spans="1:43" ht="14.25" x14ac:dyDescent="0.2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</row>
    <row r="62" spans="1:43" ht="14.25" x14ac:dyDescent="0.2">
      <c r="A62" s="48" t="s">
        <v>184</v>
      </c>
      <c r="B62" s="48"/>
      <c r="C62" s="31" t="str">
        <f>IF(Source!AE12&lt;&gt;"", Source!AE12," ")</f>
        <v xml:space="preserve"> </v>
      </c>
      <c r="D62" s="31"/>
      <c r="E62" s="31"/>
      <c r="F62" s="31"/>
      <c r="G62" s="31"/>
      <c r="H62" s="35" t="str">
        <f>IF(Source!AD12&lt;&gt;"", Source!AD12," ")</f>
        <v xml:space="preserve"> </v>
      </c>
      <c r="I62" s="35"/>
      <c r="J62" s="35"/>
      <c r="K62" s="35"/>
    </row>
    <row r="63" spans="1:43" ht="14.25" x14ac:dyDescent="0.2">
      <c r="A63" s="9"/>
      <c r="B63" s="9"/>
      <c r="C63" s="37" t="s">
        <v>183</v>
      </c>
      <c r="D63" s="37"/>
      <c r="E63" s="37"/>
      <c r="F63" s="37"/>
      <c r="G63" s="37"/>
      <c r="H63" s="9"/>
      <c r="I63" s="9"/>
      <c r="J63" s="9"/>
      <c r="K63" s="9"/>
    </row>
  </sheetData>
  <mergeCells count="38">
    <mergeCell ref="C63:G63"/>
    <mergeCell ref="H47:I47"/>
    <mergeCell ref="J47:K47"/>
    <mergeCell ref="J50:K50"/>
    <mergeCell ref="H50:I50"/>
    <mergeCell ref="A50:G50"/>
    <mergeCell ref="J54:K54"/>
    <mergeCell ref="H54:I54"/>
    <mergeCell ref="A54:G54"/>
    <mergeCell ref="A59:B59"/>
    <mergeCell ref="H59:K59"/>
    <mergeCell ref="C60:G60"/>
    <mergeCell ref="A62:B62"/>
    <mergeCell ref="H62:K62"/>
    <mergeCell ref="A45:K45"/>
    <mergeCell ref="E20:H20"/>
    <mergeCell ref="E21:H21"/>
    <mergeCell ref="E22:H22"/>
    <mergeCell ref="A25:K25"/>
    <mergeCell ref="H38:I38"/>
    <mergeCell ref="J38:K38"/>
    <mergeCell ref="J41:K41"/>
    <mergeCell ref="H41:I41"/>
    <mergeCell ref="A41:G41"/>
    <mergeCell ref="J2:K2"/>
    <mergeCell ref="A29:K29"/>
    <mergeCell ref="E14:H14"/>
    <mergeCell ref="E15:H15"/>
    <mergeCell ref="E16:H16"/>
    <mergeCell ref="E17:H17"/>
    <mergeCell ref="E18:H18"/>
    <mergeCell ref="E19:H19"/>
    <mergeCell ref="A3:K3"/>
    <mergeCell ref="A4:K4"/>
    <mergeCell ref="A6:K6"/>
    <mergeCell ref="A8:K8"/>
    <mergeCell ref="A9:K9"/>
    <mergeCell ref="A11:K11"/>
  </mergeCells>
  <pageMargins left="0.4" right="0.2" top="0.2" bottom="0.4" header="0.2" footer="0.2"/>
  <pageSetup paperSize="9" scale="72" fitToHeight="0" orientation="portrait" horizontalDpi="1200" verticalDpi="1200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K245"/>
  <sheetViews>
    <sheetView workbookViewId="0">
      <selection activeCell="A241" sqref="A241:AX241"/>
    </sheetView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73582</v>
      </c>
      <c r="M1">
        <v>10</v>
      </c>
      <c r="N1">
        <v>11</v>
      </c>
      <c r="O1">
        <v>13</v>
      </c>
      <c r="P1">
        <v>0</v>
      </c>
      <c r="Q1">
        <v>1</v>
      </c>
    </row>
    <row r="12" spans="1:133" x14ac:dyDescent="0.2">
      <c r="A12" s="1">
        <v>1</v>
      </c>
      <c r="B12" s="1">
        <v>240</v>
      </c>
      <c r="C12" s="1">
        <v>0</v>
      </c>
      <c r="D12" s="1">
        <f>ROW(A202)</f>
        <v>202</v>
      </c>
      <c r="E12" s="1">
        <v>0</v>
      </c>
      <c r="F12" s="1" t="s">
        <v>4</v>
      </c>
      <c r="G12" s="1" t="s">
        <v>5</v>
      </c>
      <c r="H12" s="1" t="s">
        <v>3</v>
      </c>
      <c r="I12" s="1">
        <v>0</v>
      </c>
      <c r="J12" s="1" t="s">
        <v>3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160</v>
      </c>
      <c r="S12" s="1"/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6</v>
      </c>
      <c r="BI12" s="1" t="s">
        <v>7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8</v>
      </c>
      <c r="BZ12" s="1" t="s">
        <v>9</v>
      </c>
      <c r="CA12" s="1" t="s">
        <v>10</v>
      </c>
      <c r="CB12" s="1" t="s">
        <v>10</v>
      </c>
      <c r="CC12" s="1" t="s">
        <v>10</v>
      </c>
      <c r="CD12" s="1" t="s">
        <v>10</v>
      </c>
      <c r="CE12" s="1" t="s">
        <v>11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77</v>
      </c>
      <c r="CL12" s="1"/>
      <c r="CM12" s="1"/>
      <c r="CN12" s="1"/>
      <c r="CO12" s="1"/>
      <c r="CP12" s="1"/>
      <c r="CQ12" s="1" t="s">
        <v>12</v>
      </c>
      <c r="CR12" s="1" t="s">
        <v>13</v>
      </c>
      <c r="CS12" s="1">
        <v>41660</v>
      </c>
      <c r="CT12" s="1">
        <v>1</v>
      </c>
      <c r="CU12" s="1">
        <v>77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5" spans="1:133" x14ac:dyDescent="0.2">
      <c r="A15" s="1">
        <v>15</v>
      </c>
      <c r="B15" s="1">
        <v>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</row>
    <row r="18" spans="1:245" x14ac:dyDescent="0.2">
      <c r="A18" s="2">
        <v>52</v>
      </c>
      <c r="B18" s="2">
        <f t="shared" ref="B18:G18" si="0">B202</f>
        <v>240</v>
      </c>
      <c r="C18" s="2">
        <f t="shared" si="0"/>
        <v>1</v>
      </c>
      <c r="D18" s="2">
        <f t="shared" si="0"/>
        <v>12</v>
      </c>
      <c r="E18" s="2">
        <f t="shared" si="0"/>
        <v>0</v>
      </c>
      <c r="F18" s="2" t="str">
        <f t="shared" si="0"/>
        <v>319703/ПС-24-ТП-ТМ</v>
      </c>
      <c r="G18" s="2" t="str">
        <f t="shared" si="0"/>
        <v>ПНР ТП с ИБ г.Москва, Феодосийская ул., зу 7_3кв24</v>
      </c>
      <c r="H18" s="2"/>
      <c r="I18" s="2"/>
      <c r="J18" s="2"/>
      <c r="K18" s="2"/>
      <c r="L18" s="2"/>
      <c r="M18" s="2"/>
      <c r="N18" s="2"/>
      <c r="O18" s="2">
        <f t="shared" ref="O18:AT18" si="1">O202</f>
        <v>349935.35999999999</v>
      </c>
      <c r="P18" s="2">
        <f t="shared" si="1"/>
        <v>143262.23000000001</v>
      </c>
      <c r="Q18" s="2">
        <f t="shared" si="1"/>
        <v>6.59</v>
      </c>
      <c r="R18" s="2">
        <f t="shared" si="1"/>
        <v>2.73</v>
      </c>
      <c r="S18" s="2">
        <f t="shared" si="1"/>
        <v>206666.54</v>
      </c>
      <c r="T18" s="2">
        <f t="shared" si="1"/>
        <v>0</v>
      </c>
      <c r="U18" s="2">
        <f t="shared" si="1"/>
        <v>326.11841000000004</v>
      </c>
      <c r="V18" s="2">
        <f t="shared" si="1"/>
        <v>0</v>
      </c>
      <c r="W18" s="2">
        <f t="shared" si="1"/>
        <v>0</v>
      </c>
      <c r="X18" s="2">
        <f t="shared" si="1"/>
        <v>144758.07999999999</v>
      </c>
      <c r="Y18" s="2">
        <f t="shared" si="1"/>
        <v>84733.28</v>
      </c>
      <c r="Z18" s="2">
        <f t="shared" si="1"/>
        <v>0</v>
      </c>
      <c r="AA18" s="2">
        <f t="shared" si="1"/>
        <v>0</v>
      </c>
      <c r="AB18" s="2">
        <f t="shared" si="1"/>
        <v>0</v>
      </c>
      <c r="AC18" s="2">
        <f t="shared" si="1"/>
        <v>0</v>
      </c>
      <c r="AD18" s="2">
        <f t="shared" si="1"/>
        <v>0</v>
      </c>
      <c r="AE18" s="2">
        <f t="shared" si="1"/>
        <v>0</v>
      </c>
      <c r="AF18" s="2">
        <f t="shared" si="1"/>
        <v>0</v>
      </c>
      <c r="AG18" s="2">
        <f t="shared" si="1"/>
        <v>0</v>
      </c>
      <c r="AH18" s="2">
        <f t="shared" si="1"/>
        <v>0</v>
      </c>
      <c r="AI18" s="2">
        <f t="shared" si="1"/>
        <v>0</v>
      </c>
      <c r="AJ18" s="2">
        <f t="shared" si="1"/>
        <v>0</v>
      </c>
      <c r="AK18" s="2">
        <f t="shared" si="1"/>
        <v>0</v>
      </c>
      <c r="AL18" s="2">
        <f t="shared" si="1"/>
        <v>0</v>
      </c>
      <c r="AM18" s="2">
        <f t="shared" si="1"/>
        <v>0</v>
      </c>
      <c r="AN18" s="2">
        <f t="shared" si="1"/>
        <v>0</v>
      </c>
      <c r="AO18" s="2">
        <f t="shared" si="1"/>
        <v>0</v>
      </c>
      <c r="AP18" s="2">
        <f t="shared" si="1"/>
        <v>143262.23000000001</v>
      </c>
      <c r="AQ18" s="2">
        <f t="shared" si="1"/>
        <v>0</v>
      </c>
      <c r="AR18" s="2">
        <f t="shared" si="1"/>
        <v>579431.09</v>
      </c>
      <c r="AS18" s="2">
        <f t="shared" si="1"/>
        <v>0</v>
      </c>
      <c r="AT18" s="2">
        <f t="shared" si="1"/>
        <v>980.01</v>
      </c>
      <c r="AU18" s="2">
        <f t="shared" ref="AU18:BZ18" si="2">AU202</f>
        <v>435188.85</v>
      </c>
      <c r="AV18" s="2">
        <f t="shared" si="2"/>
        <v>143262.23000000001</v>
      </c>
      <c r="AW18" s="2">
        <f t="shared" si="2"/>
        <v>0</v>
      </c>
      <c r="AX18" s="2">
        <f t="shared" si="2"/>
        <v>0</v>
      </c>
      <c r="AY18" s="2">
        <f t="shared" si="2"/>
        <v>0</v>
      </c>
      <c r="AZ18" s="2">
        <f t="shared" si="2"/>
        <v>143262.23000000001</v>
      </c>
      <c r="BA18" s="2">
        <f t="shared" si="2"/>
        <v>0</v>
      </c>
      <c r="BB18" s="2">
        <f t="shared" si="2"/>
        <v>0</v>
      </c>
      <c r="BC18" s="2">
        <f t="shared" si="2"/>
        <v>0</v>
      </c>
      <c r="BD18" s="2">
        <f t="shared" si="2"/>
        <v>0</v>
      </c>
      <c r="BE18" s="2">
        <f t="shared" si="2"/>
        <v>0</v>
      </c>
      <c r="BF18" s="2">
        <f t="shared" si="2"/>
        <v>0</v>
      </c>
      <c r="BG18" s="2">
        <f t="shared" si="2"/>
        <v>0</v>
      </c>
      <c r="BH18" s="2">
        <f t="shared" si="2"/>
        <v>0</v>
      </c>
      <c r="BI18" s="2">
        <f t="shared" si="2"/>
        <v>0</v>
      </c>
      <c r="BJ18" s="2">
        <f t="shared" si="2"/>
        <v>0</v>
      </c>
      <c r="BK18" s="2">
        <f t="shared" si="2"/>
        <v>0</v>
      </c>
      <c r="BL18" s="2">
        <f t="shared" si="2"/>
        <v>0</v>
      </c>
      <c r="BM18" s="2">
        <f t="shared" si="2"/>
        <v>0</v>
      </c>
      <c r="BN18" s="2">
        <f t="shared" si="2"/>
        <v>0</v>
      </c>
      <c r="BO18" s="2">
        <f t="shared" si="2"/>
        <v>0</v>
      </c>
      <c r="BP18" s="2">
        <f t="shared" si="2"/>
        <v>0</v>
      </c>
      <c r="BQ18" s="2">
        <f t="shared" si="2"/>
        <v>0</v>
      </c>
      <c r="BR18" s="2">
        <f t="shared" si="2"/>
        <v>0</v>
      </c>
      <c r="BS18" s="2">
        <f t="shared" si="2"/>
        <v>0</v>
      </c>
      <c r="BT18" s="2">
        <f t="shared" si="2"/>
        <v>0</v>
      </c>
      <c r="BU18" s="2">
        <f t="shared" si="2"/>
        <v>0</v>
      </c>
      <c r="BV18" s="2">
        <f t="shared" si="2"/>
        <v>0</v>
      </c>
      <c r="BW18" s="2">
        <f t="shared" si="2"/>
        <v>0</v>
      </c>
      <c r="BX18" s="2">
        <f t="shared" si="2"/>
        <v>0</v>
      </c>
      <c r="BY18" s="2">
        <f t="shared" si="2"/>
        <v>0</v>
      </c>
      <c r="BZ18" s="2">
        <f t="shared" si="2"/>
        <v>0</v>
      </c>
      <c r="CA18" s="2">
        <f t="shared" ref="CA18:DF18" si="3">CA202</f>
        <v>0</v>
      </c>
      <c r="CB18" s="2">
        <f t="shared" si="3"/>
        <v>0</v>
      </c>
      <c r="CC18" s="2">
        <f t="shared" si="3"/>
        <v>0</v>
      </c>
      <c r="CD18" s="2">
        <f t="shared" si="3"/>
        <v>0</v>
      </c>
      <c r="CE18" s="2">
        <f t="shared" si="3"/>
        <v>0</v>
      </c>
      <c r="CF18" s="2">
        <f t="shared" si="3"/>
        <v>0</v>
      </c>
      <c r="CG18" s="2">
        <f t="shared" si="3"/>
        <v>0</v>
      </c>
      <c r="CH18" s="2">
        <f t="shared" si="3"/>
        <v>0</v>
      </c>
      <c r="CI18" s="2">
        <f t="shared" si="3"/>
        <v>0</v>
      </c>
      <c r="CJ18" s="2">
        <f t="shared" si="3"/>
        <v>0</v>
      </c>
      <c r="CK18" s="2">
        <f t="shared" si="3"/>
        <v>0</v>
      </c>
      <c r="CL18" s="2">
        <f t="shared" si="3"/>
        <v>0</v>
      </c>
      <c r="CM18" s="2">
        <f t="shared" si="3"/>
        <v>0</v>
      </c>
      <c r="CN18" s="2">
        <f t="shared" si="3"/>
        <v>0</v>
      </c>
      <c r="CO18" s="2">
        <f t="shared" si="3"/>
        <v>0</v>
      </c>
      <c r="CP18" s="2">
        <f t="shared" si="3"/>
        <v>0</v>
      </c>
      <c r="CQ18" s="2">
        <f t="shared" si="3"/>
        <v>0</v>
      </c>
      <c r="CR18" s="2">
        <f t="shared" si="3"/>
        <v>0</v>
      </c>
      <c r="CS18" s="2">
        <f t="shared" si="3"/>
        <v>0</v>
      </c>
      <c r="CT18" s="2">
        <f t="shared" si="3"/>
        <v>0</v>
      </c>
      <c r="CU18" s="2">
        <f t="shared" si="3"/>
        <v>0</v>
      </c>
      <c r="CV18" s="2">
        <f t="shared" si="3"/>
        <v>0</v>
      </c>
      <c r="CW18" s="2">
        <f t="shared" si="3"/>
        <v>0</v>
      </c>
      <c r="CX18" s="2">
        <f t="shared" si="3"/>
        <v>0</v>
      </c>
      <c r="CY18" s="2">
        <f t="shared" si="3"/>
        <v>0</v>
      </c>
      <c r="CZ18" s="2">
        <f t="shared" si="3"/>
        <v>0</v>
      </c>
      <c r="DA18" s="2">
        <f t="shared" si="3"/>
        <v>0</v>
      </c>
      <c r="DB18" s="2">
        <f t="shared" si="3"/>
        <v>0</v>
      </c>
      <c r="DC18" s="2">
        <f t="shared" si="3"/>
        <v>0</v>
      </c>
      <c r="DD18" s="2">
        <f t="shared" si="3"/>
        <v>0</v>
      </c>
      <c r="DE18" s="2">
        <f t="shared" si="3"/>
        <v>0</v>
      </c>
      <c r="DF18" s="2">
        <f t="shared" si="3"/>
        <v>0</v>
      </c>
      <c r="DG18" s="3">
        <f t="shared" ref="DG18:EL18" si="4">DG202</f>
        <v>0</v>
      </c>
      <c r="DH18" s="3">
        <f t="shared" si="4"/>
        <v>0</v>
      </c>
      <c r="DI18" s="3">
        <f t="shared" si="4"/>
        <v>0</v>
      </c>
      <c r="DJ18" s="3">
        <f t="shared" si="4"/>
        <v>0</v>
      </c>
      <c r="DK18" s="3">
        <f t="shared" si="4"/>
        <v>0</v>
      </c>
      <c r="DL18" s="3">
        <f t="shared" si="4"/>
        <v>0</v>
      </c>
      <c r="DM18" s="3">
        <f t="shared" si="4"/>
        <v>0</v>
      </c>
      <c r="DN18" s="3">
        <f t="shared" si="4"/>
        <v>0</v>
      </c>
      <c r="DO18" s="3">
        <f t="shared" si="4"/>
        <v>0</v>
      </c>
      <c r="DP18" s="3">
        <f t="shared" si="4"/>
        <v>0</v>
      </c>
      <c r="DQ18" s="3">
        <f t="shared" si="4"/>
        <v>0</v>
      </c>
      <c r="DR18" s="3">
        <f t="shared" si="4"/>
        <v>0</v>
      </c>
      <c r="DS18" s="3">
        <f t="shared" si="4"/>
        <v>0</v>
      </c>
      <c r="DT18" s="3">
        <f t="shared" si="4"/>
        <v>0</v>
      </c>
      <c r="DU18" s="3">
        <f t="shared" si="4"/>
        <v>0</v>
      </c>
      <c r="DV18" s="3">
        <f t="shared" si="4"/>
        <v>0</v>
      </c>
      <c r="DW18" s="3">
        <f t="shared" si="4"/>
        <v>0</v>
      </c>
      <c r="DX18" s="3">
        <f t="shared" si="4"/>
        <v>0</v>
      </c>
      <c r="DY18" s="3">
        <f t="shared" si="4"/>
        <v>0</v>
      </c>
      <c r="DZ18" s="3">
        <f t="shared" si="4"/>
        <v>0</v>
      </c>
      <c r="EA18" s="3">
        <f t="shared" si="4"/>
        <v>0</v>
      </c>
      <c r="EB18" s="3">
        <f t="shared" si="4"/>
        <v>0</v>
      </c>
      <c r="EC18" s="3">
        <f t="shared" si="4"/>
        <v>0</v>
      </c>
      <c r="ED18" s="3">
        <f t="shared" si="4"/>
        <v>0</v>
      </c>
      <c r="EE18" s="3">
        <f t="shared" si="4"/>
        <v>0</v>
      </c>
      <c r="EF18" s="3">
        <f t="shared" si="4"/>
        <v>0</v>
      </c>
      <c r="EG18" s="3">
        <f t="shared" si="4"/>
        <v>0</v>
      </c>
      <c r="EH18" s="3">
        <f t="shared" si="4"/>
        <v>0</v>
      </c>
      <c r="EI18" s="3">
        <f t="shared" si="4"/>
        <v>0</v>
      </c>
      <c r="EJ18" s="3">
        <f t="shared" si="4"/>
        <v>0</v>
      </c>
      <c r="EK18" s="3">
        <f t="shared" si="4"/>
        <v>0</v>
      </c>
      <c r="EL18" s="3">
        <f t="shared" si="4"/>
        <v>0</v>
      </c>
      <c r="EM18" s="3">
        <f t="shared" ref="EM18:FR18" si="5">EM202</f>
        <v>0</v>
      </c>
      <c r="EN18" s="3">
        <f t="shared" si="5"/>
        <v>0</v>
      </c>
      <c r="EO18" s="3">
        <f t="shared" si="5"/>
        <v>0</v>
      </c>
      <c r="EP18" s="3">
        <f t="shared" si="5"/>
        <v>0</v>
      </c>
      <c r="EQ18" s="3">
        <f t="shared" si="5"/>
        <v>0</v>
      </c>
      <c r="ER18" s="3">
        <f t="shared" si="5"/>
        <v>0</v>
      </c>
      <c r="ES18" s="3">
        <f t="shared" si="5"/>
        <v>0</v>
      </c>
      <c r="ET18" s="3">
        <f t="shared" si="5"/>
        <v>0</v>
      </c>
      <c r="EU18" s="3">
        <f t="shared" si="5"/>
        <v>0</v>
      </c>
      <c r="EV18" s="3">
        <f t="shared" si="5"/>
        <v>0</v>
      </c>
      <c r="EW18" s="3">
        <f t="shared" si="5"/>
        <v>0</v>
      </c>
      <c r="EX18" s="3">
        <f t="shared" si="5"/>
        <v>0</v>
      </c>
      <c r="EY18" s="3">
        <f t="shared" si="5"/>
        <v>0</v>
      </c>
      <c r="EZ18" s="3">
        <f t="shared" si="5"/>
        <v>0</v>
      </c>
      <c r="FA18" s="3">
        <f t="shared" si="5"/>
        <v>0</v>
      </c>
      <c r="FB18" s="3">
        <f t="shared" si="5"/>
        <v>0</v>
      </c>
      <c r="FC18" s="3">
        <f t="shared" si="5"/>
        <v>0</v>
      </c>
      <c r="FD18" s="3">
        <f t="shared" si="5"/>
        <v>0</v>
      </c>
      <c r="FE18" s="3">
        <f t="shared" si="5"/>
        <v>0</v>
      </c>
      <c r="FF18" s="3">
        <f t="shared" si="5"/>
        <v>0</v>
      </c>
      <c r="FG18" s="3">
        <f t="shared" si="5"/>
        <v>0</v>
      </c>
      <c r="FH18" s="3">
        <f t="shared" si="5"/>
        <v>0</v>
      </c>
      <c r="FI18" s="3">
        <f t="shared" si="5"/>
        <v>0</v>
      </c>
      <c r="FJ18" s="3">
        <f t="shared" si="5"/>
        <v>0</v>
      </c>
      <c r="FK18" s="3">
        <f t="shared" si="5"/>
        <v>0</v>
      </c>
      <c r="FL18" s="3">
        <f t="shared" si="5"/>
        <v>0</v>
      </c>
      <c r="FM18" s="3">
        <f t="shared" si="5"/>
        <v>0</v>
      </c>
      <c r="FN18" s="3">
        <f t="shared" si="5"/>
        <v>0</v>
      </c>
      <c r="FO18" s="3">
        <f t="shared" si="5"/>
        <v>0</v>
      </c>
      <c r="FP18" s="3">
        <f t="shared" si="5"/>
        <v>0</v>
      </c>
      <c r="FQ18" s="3">
        <f t="shared" si="5"/>
        <v>0</v>
      </c>
      <c r="FR18" s="3">
        <f t="shared" si="5"/>
        <v>0</v>
      </c>
      <c r="FS18" s="3">
        <f t="shared" ref="FS18:GX18" si="6">FS202</f>
        <v>0</v>
      </c>
      <c r="FT18" s="3">
        <f t="shared" si="6"/>
        <v>0</v>
      </c>
      <c r="FU18" s="3">
        <f t="shared" si="6"/>
        <v>0</v>
      </c>
      <c r="FV18" s="3">
        <f t="shared" si="6"/>
        <v>0</v>
      </c>
      <c r="FW18" s="3">
        <f t="shared" si="6"/>
        <v>0</v>
      </c>
      <c r="FX18" s="3">
        <f t="shared" si="6"/>
        <v>0</v>
      </c>
      <c r="FY18" s="3">
        <f t="shared" si="6"/>
        <v>0</v>
      </c>
      <c r="FZ18" s="3">
        <f t="shared" si="6"/>
        <v>0</v>
      </c>
      <c r="GA18" s="3">
        <f t="shared" si="6"/>
        <v>0</v>
      </c>
      <c r="GB18" s="3">
        <f t="shared" si="6"/>
        <v>0</v>
      </c>
      <c r="GC18" s="3">
        <f t="shared" si="6"/>
        <v>0</v>
      </c>
      <c r="GD18" s="3">
        <f t="shared" si="6"/>
        <v>0</v>
      </c>
      <c r="GE18" s="3">
        <f t="shared" si="6"/>
        <v>0</v>
      </c>
      <c r="GF18" s="3">
        <f t="shared" si="6"/>
        <v>0</v>
      </c>
      <c r="GG18" s="3">
        <f t="shared" si="6"/>
        <v>0</v>
      </c>
      <c r="GH18" s="3">
        <f t="shared" si="6"/>
        <v>0</v>
      </c>
      <c r="GI18" s="3">
        <f t="shared" si="6"/>
        <v>0</v>
      </c>
      <c r="GJ18" s="3">
        <f t="shared" si="6"/>
        <v>0</v>
      </c>
      <c r="GK18" s="3">
        <f t="shared" si="6"/>
        <v>0</v>
      </c>
      <c r="GL18" s="3">
        <f t="shared" si="6"/>
        <v>0</v>
      </c>
      <c r="GM18" s="3">
        <f t="shared" si="6"/>
        <v>0</v>
      </c>
      <c r="GN18" s="3">
        <f t="shared" si="6"/>
        <v>0</v>
      </c>
      <c r="GO18" s="3">
        <f t="shared" si="6"/>
        <v>0</v>
      </c>
      <c r="GP18" s="3">
        <f t="shared" si="6"/>
        <v>0</v>
      </c>
      <c r="GQ18" s="3">
        <f t="shared" si="6"/>
        <v>0</v>
      </c>
      <c r="GR18" s="3">
        <f t="shared" si="6"/>
        <v>0</v>
      </c>
      <c r="GS18" s="3">
        <f t="shared" si="6"/>
        <v>0</v>
      </c>
      <c r="GT18" s="3">
        <f t="shared" si="6"/>
        <v>0</v>
      </c>
      <c r="GU18" s="3">
        <f t="shared" si="6"/>
        <v>0</v>
      </c>
      <c r="GV18" s="3">
        <f t="shared" si="6"/>
        <v>0</v>
      </c>
      <c r="GW18" s="3">
        <f t="shared" si="6"/>
        <v>0</v>
      </c>
      <c r="GX18" s="3">
        <f t="shared" si="6"/>
        <v>0</v>
      </c>
    </row>
    <row r="20" spans="1:245" x14ac:dyDescent="0.2">
      <c r="A20" s="1">
        <v>3</v>
      </c>
      <c r="B20" s="1">
        <v>1</v>
      </c>
      <c r="C20" s="1"/>
      <c r="D20" s="1">
        <f>ROW(A96)</f>
        <v>96</v>
      </c>
      <c r="E20" s="1"/>
      <c r="F20" s="1" t="s">
        <v>14</v>
      </c>
      <c r="G20" s="1" t="s">
        <v>15</v>
      </c>
      <c r="H20" s="1" t="s">
        <v>3</v>
      </c>
      <c r="I20" s="1">
        <v>0</v>
      </c>
      <c r="J20" s="1" t="s">
        <v>16</v>
      </c>
      <c r="K20" s="1">
        <v>-1</v>
      </c>
      <c r="L20" s="1" t="s">
        <v>14</v>
      </c>
      <c r="M20" s="1" t="s">
        <v>3</v>
      </c>
      <c r="N20" s="1"/>
      <c r="O20" s="1"/>
      <c r="P20" s="1"/>
      <c r="Q20" s="1"/>
      <c r="R20" s="1"/>
      <c r="S20" s="1">
        <v>0</v>
      </c>
      <c r="T20" s="1"/>
      <c r="U20" s="1" t="s">
        <v>3</v>
      </c>
      <c r="V20" s="1">
        <v>0</v>
      </c>
      <c r="W20" s="1"/>
      <c r="X20" s="1"/>
      <c r="Y20" s="1"/>
      <c r="Z20" s="1"/>
      <c r="AA20" s="1"/>
      <c r="AB20" s="1" t="s">
        <v>3</v>
      </c>
      <c r="AC20" s="1" t="s">
        <v>3</v>
      </c>
      <c r="AD20" s="1" t="s">
        <v>3</v>
      </c>
      <c r="AE20" s="1" t="s">
        <v>3</v>
      </c>
      <c r="AF20" s="1" t="s">
        <v>3</v>
      </c>
      <c r="AG20" s="1" t="s">
        <v>3</v>
      </c>
      <c r="AH20" s="1"/>
      <c r="AI20" s="1"/>
      <c r="AJ20" s="1"/>
      <c r="AK20" s="1"/>
      <c r="AL20" s="1"/>
      <c r="AM20" s="1"/>
      <c r="AN20" s="1"/>
      <c r="AO20" s="1"/>
      <c r="AP20" s="1" t="s">
        <v>3</v>
      </c>
      <c r="AQ20" s="1" t="s">
        <v>3</v>
      </c>
      <c r="AR20" s="1" t="s">
        <v>3</v>
      </c>
      <c r="AS20" s="1"/>
      <c r="AT20" s="1"/>
      <c r="AU20" s="1"/>
      <c r="AV20" s="1"/>
      <c r="AW20" s="1"/>
      <c r="AX20" s="1"/>
      <c r="AY20" s="1"/>
      <c r="AZ20" s="1" t="s">
        <v>3</v>
      </c>
      <c r="BA20" s="1"/>
      <c r="BB20" s="1" t="s">
        <v>3</v>
      </c>
      <c r="BC20" s="1" t="s">
        <v>3</v>
      </c>
      <c r="BD20" s="1" t="s">
        <v>3</v>
      </c>
      <c r="BE20" s="1" t="s">
        <v>3</v>
      </c>
      <c r="BF20" s="1" t="s">
        <v>3</v>
      </c>
      <c r="BG20" s="1" t="s">
        <v>3</v>
      </c>
      <c r="BH20" s="1" t="s">
        <v>3</v>
      </c>
      <c r="BI20" s="1" t="s">
        <v>3</v>
      </c>
      <c r="BJ20" s="1" t="s">
        <v>3</v>
      </c>
      <c r="BK20" s="1" t="s">
        <v>3</v>
      </c>
      <c r="BL20" s="1" t="s">
        <v>3</v>
      </c>
      <c r="BM20" s="1" t="s">
        <v>3</v>
      </c>
      <c r="BN20" s="1" t="s">
        <v>3</v>
      </c>
      <c r="BO20" s="1" t="s">
        <v>3</v>
      </c>
      <c r="BP20" s="1" t="s">
        <v>3</v>
      </c>
      <c r="BQ20" s="1"/>
      <c r="BR20" s="1"/>
      <c r="BS20" s="1"/>
      <c r="BT20" s="1"/>
      <c r="BU20" s="1"/>
      <c r="BV20" s="1"/>
      <c r="BW20" s="1"/>
      <c r="BX20" s="1">
        <v>0</v>
      </c>
      <c r="BY20" s="1"/>
      <c r="BZ20" s="1"/>
      <c r="CA20" s="1"/>
      <c r="CB20" s="1"/>
      <c r="CC20" s="1"/>
      <c r="CD20" s="1"/>
      <c r="CE20" s="1"/>
      <c r="CF20" s="1">
        <v>0</v>
      </c>
      <c r="CG20" s="1">
        <v>0</v>
      </c>
      <c r="CH20" s="1"/>
      <c r="CI20" s="1" t="s">
        <v>3</v>
      </c>
      <c r="CJ20" s="1" t="s">
        <v>3</v>
      </c>
      <c r="CK20" t="s">
        <v>3</v>
      </c>
      <c r="CL20" t="s">
        <v>3</v>
      </c>
      <c r="CM20" t="s">
        <v>3</v>
      </c>
      <c r="CN20" t="s">
        <v>3</v>
      </c>
      <c r="CO20" t="s">
        <v>3</v>
      </c>
      <c r="CP20" t="s">
        <v>3</v>
      </c>
      <c r="CQ20" t="s">
        <v>3</v>
      </c>
    </row>
    <row r="22" spans="1:245" x14ac:dyDescent="0.2">
      <c r="A22" s="2">
        <v>52</v>
      </c>
      <c r="B22" s="2">
        <f t="shared" ref="B22:G22" si="7">B96</f>
        <v>1</v>
      </c>
      <c r="C22" s="2">
        <f t="shared" si="7"/>
        <v>3</v>
      </c>
      <c r="D22" s="2">
        <f t="shared" si="7"/>
        <v>20</v>
      </c>
      <c r="E22" s="2">
        <f t="shared" si="7"/>
        <v>0</v>
      </c>
      <c r="F22" s="2" t="str">
        <f t="shared" si="7"/>
        <v>02-01-01</v>
      </c>
      <c r="G22" s="2" t="str">
        <f t="shared" si="7"/>
        <v>Система телемеханики с включением в АИИС КУЭ в ТП</v>
      </c>
      <c r="H22" s="2"/>
      <c r="I22" s="2"/>
      <c r="J22" s="2"/>
      <c r="K22" s="2"/>
      <c r="L22" s="2"/>
      <c r="M22" s="2"/>
      <c r="N22" s="2"/>
      <c r="O22" s="2">
        <f t="shared" ref="O22:AT22" si="8">O96</f>
        <v>143684.72</v>
      </c>
      <c r="P22" s="2">
        <f t="shared" si="8"/>
        <v>143262.23000000001</v>
      </c>
      <c r="Q22" s="2">
        <f t="shared" si="8"/>
        <v>6.59</v>
      </c>
      <c r="R22" s="2">
        <f t="shared" si="8"/>
        <v>2.73</v>
      </c>
      <c r="S22" s="2">
        <f t="shared" si="8"/>
        <v>415.9</v>
      </c>
      <c r="T22" s="2">
        <f t="shared" si="8"/>
        <v>0</v>
      </c>
      <c r="U22" s="2">
        <f t="shared" si="8"/>
        <v>1.0784099999999999</v>
      </c>
      <c r="V22" s="2">
        <f t="shared" si="8"/>
        <v>0</v>
      </c>
      <c r="W22" s="2">
        <f t="shared" si="8"/>
        <v>0</v>
      </c>
      <c r="X22" s="2">
        <f t="shared" si="8"/>
        <v>382.63</v>
      </c>
      <c r="Y22" s="2">
        <f t="shared" si="8"/>
        <v>170.52</v>
      </c>
      <c r="Z22" s="2">
        <f t="shared" si="8"/>
        <v>0</v>
      </c>
      <c r="AA22" s="2">
        <f t="shared" si="8"/>
        <v>0</v>
      </c>
      <c r="AB22" s="2">
        <f t="shared" si="8"/>
        <v>0</v>
      </c>
      <c r="AC22" s="2">
        <f t="shared" si="8"/>
        <v>0</v>
      </c>
      <c r="AD22" s="2">
        <f t="shared" si="8"/>
        <v>0</v>
      </c>
      <c r="AE22" s="2">
        <f t="shared" si="8"/>
        <v>0</v>
      </c>
      <c r="AF22" s="2">
        <f t="shared" si="8"/>
        <v>0</v>
      </c>
      <c r="AG22" s="2">
        <f t="shared" si="8"/>
        <v>0</v>
      </c>
      <c r="AH22" s="2">
        <f t="shared" si="8"/>
        <v>0</v>
      </c>
      <c r="AI22" s="2">
        <f t="shared" si="8"/>
        <v>0</v>
      </c>
      <c r="AJ22" s="2">
        <f t="shared" si="8"/>
        <v>0</v>
      </c>
      <c r="AK22" s="2">
        <f t="shared" si="8"/>
        <v>0</v>
      </c>
      <c r="AL22" s="2">
        <f t="shared" si="8"/>
        <v>0</v>
      </c>
      <c r="AM22" s="2">
        <f t="shared" si="8"/>
        <v>0</v>
      </c>
      <c r="AN22" s="2">
        <f t="shared" si="8"/>
        <v>0</v>
      </c>
      <c r="AO22" s="2">
        <f t="shared" si="8"/>
        <v>0</v>
      </c>
      <c r="AP22" s="2">
        <f t="shared" si="8"/>
        <v>143262.23000000001</v>
      </c>
      <c r="AQ22" s="2">
        <f t="shared" si="8"/>
        <v>0</v>
      </c>
      <c r="AR22" s="2">
        <f t="shared" si="8"/>
        <v>144242.23999999999</v>
      </c>
      <c r="AS22" s="2">
        <f t="shared" si="8"/>
        <v>0</v>
      </c>
      <c r="AT22" s="2">
        <f t="shared" si="8"/>
        <v>980.01</v>
      </c>
      <c r="AU22" s="2">
        <f t="shared" ref="AU22:BZ22" si="9">AU96</f>
        <v>0</v>
      </c>
      <c r="AV22" s="2">
        <f t="shared" si="9"/>
        <v>143262.23000000001</v>
      </c>
      <c r="AW22" s="2">
        <f t="shared" si="9"/>
        <v>0</v>
      </c>
      <c r="AX22" s="2">
        <f t="shared" si="9"/>
        <v>0</v>
      </c>
      <c r="AY22" s="2">
        <f t="shared" si="9"/>
        <v>0</v>
      </c>
      <c r="AZ22" s="2">
        <f t="shared" si="9"/>
        <v>143262.23000000001</v>
      </c>
      <c r="BA22" s="2">
        <f t="shared" si="9"/>
        <v>0</v>
      </c>
      <c r="BB22" s="2">
        <f t="shared" si="9"/>
        <v>0</v>
      </c>
      <c r="BC22" s="2">
        <f t="shared" si="9"/>
        <v>0</v>
      </c>
      <c r="BD22" s="2">
        <f t="shared" si="9"/>
        <v>0</v>
      </c>
      <c r="BE22" s="2">
        <f t="shared" si="9"/>
        <v>0</v>
      </c>
      <c r="BF22" s="2">
        <f t="shared" si="9"/>
        <v>0</v>
      </c>
      <c r="BG22" s="2">
        <f t="shared" si="9"/>
        <v>0</v>
      </c>
      <c r="BH22" s="2">
        <f t="shared" si="9"/>
        <v>0</v>
      </c>
      <c r="BI22" s="2">
        <f t="shared" si="9"/>
        <v>0</v>
      </c>
      <c r="BJ22" s="2">
        <f t="shared" si="9"/>
        <v>0</v>
      </c>
      <c r="BK22" s="2">
        <f t="shared" si="9"/>
        <v>0</v>
      </c>
      <c r="BL22" s="2">
        <f t="shared" si="9"/>
        <v>0</v>
      </c>
      <c r="BM22" s="2">
        <f t="shared" si="9"/>
        <v>0</v>
      </c>
      <c r="BN22" s="2">
        <f t="shared" si="9"/>
        <v>0</v>
      </c>
      <c r="BO22" s="2">
        <f t="shared" si="9"/>
        <v>0</v>
      </c>
      <c r="BP22" s="2">
        <f t="shared" si="9"/>
        <v>0</v>
      </c>
      <c r="BQ22" s="2">
        <f t="shared" si="9"/>
        <v>0</v>
      </c>
      <c r="BR22" s="2">
        <f t="shared" si="9"/>
        <v>0</v>
      </c>
      <c r="BS22" s="2">
        <f t="shared" si="9"/>
        <v>0</v>
      </c>
      <c r="BT22" s="2">
        <f t="shared" si="9"/>
        <v>0</v>
      </c>
      <c r="BU22" s="2">
        <f t="shared" si="9"/>
        <v>0</v>
      </c>
      <c r="BV22" s="2">
        <f t="shared" si="9"/>
        <v>0</v>
      </c>
      <c r="BW22" s="2">
        <f t="shared" si="9"/>
        <v>0</v>
      </c>
      <c r="BX22" s="2">
        <f t="shared" si="9"/>
        <v>0</v>
      </c>
      <c r="BY22" s="2">
        <f t="shared" si="9"/>
        <v>0</v>
      </c>
      <c r="BZ22" s="2">
        <f t="shared" si="9"/>
        <v>0</v>
      </c>
      <c r="CA22" s="2">
        <f t="shared" ref="CA22:DF22" si="10">CA96</f>
        <v>0</v>
      </c>
      <c r="CB22" s="2">
        <f t="shared" si="10"/>
        <v>0</v>
      </c>
      <c r="CC22" s="2">
        <f t="shared" si="10"/>
        <v>0</v>
      </c>
      <c r="CD22" s="2">
        <f t="shared" si="10"/>
        <v>0</v>
      </c>
      <c r="CE22" s="2">
        <f t="shared" si="10"/>
        <v>0</v>
      </c>
      <c r="CF22" s="2">
        <f t="shared" si="10"/>
        <v>0</v>
      </c>
      <c r="CG22" s="2">
        <f t="shared" si="10"/>
        <v>0</v>
      </c>
      <c r="CH22" s="2">
        <f t="shared" si="10"/>
        <v>0</v>
      </c>
      <c r="CI22" s="2">
        <f t="shared" si="10"/>
        <v>0</v>
      </c>
      <c r="CJ22" s="2">
        <f t="shared" si="10"/>
        <v>0</v>
      </c>
      <c r="CK22" s="2">
        <f t="shared" si="10"/>
        <v>0</v>
      </c>
      <c r="CL22" s="2">
        <f t="shared" si="10"/>
        <v>0</v>
      </c>
      <c r="CM22" s="2">
        <f t="shared" si="10"/>
        <v>0</v>
      </c>
      <c r="CN22" s="2">
        <f t="shared" si="10"/>
        <v>0</v>
      </c>
      <c r="CO22" s="2">
        <f t="shared" si="10"/>
        <v>0</v>
      </c>
      <c r="CP22" s="2">
        <f t="shared" si="10"/>
        <v>0</v>
      </c>
      <c r="CQ22" s="2">
        <f t="shared" si="10"/>
        <v>0</v>
      </c>
      <c r="CR22" s="2">
        <f t="shared" si="10"/>
        <v>0</v>
      </c>
      <c r="CS22" s="2">
        <f t="shared" si="10"/>
        <v>0</v>
      </c>
      <c r="CT22" s="2">
        <f t="shared" si="10"/>
        <v>0</v>
      </c>
      <c r="CU22" s="2">
        <f t="shared" si="10"/>
        <v>0</v>
      </c>
      <c r="CV22" s="2">
        <f t="shared" si="10"/>
        <v>0</v>
      </c>
      <c r="CW22" s="2">
        <f t="shared" si="10"/>
        <v>0</v>
      </c>
      <c r="CX22" s="2">
        <f t="shared" si="10"/>
        <v>0</v>
      </c>
      <c r="CY22" s="2">
        <f t="shared" si="10"/>
        <v>0</v>
      </c>
      <c r="CZ22" s="2">
        <f t="shared" si="10"/>
        <v>0</v>
      </c>
      <c r="DA22" s="2">
        <f t="shared" si="10"/>
        <v>0</v>
      </c>
      <c r="DB22" s="2">
        <f t="shared" si="10"/>
        <v>0</v>
      </c>
      <c r="DC22" s="2">
        <f t="shared" si="10"/>
        <v>0</v>
      </c>
      <c r="DD22" s="2">
        <f t="shared" si="10"/>
        <v>0</v>
      </c>
      <c r="DE22" s="2">
        <f t="shared" si="10"/>
        <v>0</v>
      </c>
      <c r="DF22" s="2">
        <f t="shared" si="10"/>
        <v>0</v>
      </c>
      <c r="DG22" s="3">
        <f t="shared" ref="DG22:EL22" si="11">DG96</f>
        <v>0</v>
      </c>
      <c r="DH22" s="3">
        <f t="shared" si="11"/>
        <v>0</v>
      </c>
      <c r="DI22" s="3">
        <f t="shared" si="11"/>
        <v>0</v>
      </c>
      <c r="DJ22" s="3">
        <f t="shared" si="11"/>
        <v>0</v>
      </c>
      <c r="DK22" s="3">
        <f t="shared" si="11"/>
        <v>0</v>
      </c>
      <c r="DL22" s="3">
        <f t="shared" si="11"/>
        <v>0</v>
      </c>
      <c r="DM22" s="3">
        <f t="shared" si="11"/>
        <v>0</v>
      </c>
      <c r="DN22" s="3">
        <f t="shared" si="11"/>
        <v>0</v>
      </c>
      <c r="DO22" s="3">
        <f t="shared" si="11"/>
        <v>0</v>
      </c>
      <c r="DP22" s="3">
        <f t="shared" si="11"/>
        <v>0</v>
      </c>
      <c r="DQ22" s="3">
        <f t="shared" si="11"/>
        <v>0</v>
      </c>
      <c r="DR22" s="3">
        <f t="shared" si="11"/>
        <v>0</v>
      </c>
      <c r="DS22" s="3">
        <f t="shared" si="11"/>
        <v>0</v>
      </c>
      <c r="DT22" s="3">
        <f t="shared" si="11"/>
        <v>0</v>
      </c>
      <c r="DU22" s="3">
        <f t="shared" si="11"/>
        <v>0</v>
      </c>
      <c r="DV22" s="3">
        <f t="shared" si="11"/>
        <v>0</v>
      </c>
      <c r="DW22" s="3">
        <f t="shared" si="11"/>
        <v>0</v>
      </c>
      <c r="DX22" s="3">
        <f t="shared" si="11"/>
        <v>0</v>
      </c>
      <c r="DY22" s="3">
        <f t="shared" si="11"/>
        <v>0</v>
      </c>
      <c r="DZ22" s="3">
        <f t="shared" si="11"/>
        <v>0</v>
      </c>
      <c r="EA22" s="3">
        <f t="shared" si="11"/>
        <v>0</v>
      </c>
      <c r="EB22" s="3">
        <f t="shared" si="11"/>
        <v>0</v>
      </c>
      <c r="EC22" s="3">
        <f t="shared" si="11"/>
        <v>0</v>
      </c>
      <c r="ED22" s="3">
        <f t="shared" si="11"/>
        <v>0</v>
      </c>
      <c r="EE22" s="3">
        <f t="shared" si="11"/>
        <v>0</v>
      </c>
      <c r="EF22" s="3">
        <f t="shared" si="11"/>
        <v>0</v>
      </c>
      <c r="EG22" s="3">
        <f t="shared" si="11"/>
        <v>0</v>
      </c>
      <c r="EH22" s="3">
        <f t="shared" si="11"/>
        <v>0</v>
      </c>
      <c r="EI22" s="3">
        <f t="shared" si="11"/>
        <v>0</v>
      </c>
      <c r="EJ22" s="3">
        <f t="shared" si="11"/>
        <v>0</v>
      </c>
      <c r="EK22" s="3">
        <f t="shared" si="11"/>
        <v>0</v>
      </c>
      <c r="EL22" s="3">
        <f t="shared" si="11"/>
        <v>0</v>
      </c>
      <c r="EM22" s="3">
        <f t="shared" ref="EM22:FR22" si="12">EM96</f>
        <v>0</v>
      </c>
      <c r="EN22" s="3">
        <f t="shared" si="12"/>
        <v>0</v>
      </c>
      <c r="EO22" s="3">
        <f t="shared" si="12"/>
        <v>0</v>
      </c>
      <c r="EP22" s="3">
        <f t="shared" si="12"/>
        <v>0</v>
      </c>
      <c r="EQ22" s="3">
        <f t="shared" si="12"/>
        <v>0</v>
      </c>
      <c r="ER22" s="3">
        <f t="shared" si="12"/>
        <v>0</v>
      </c>
      <c r="ES22" s="3">
        <f t="shared" si="12"/>
        <v>0</v>
      </c>
      <c r="ET22" s="3">
        <f t="shared" si="12"/>
        <v>0</v>
      </c>
      <c r="EU22" s="3">
        <f t="shared" si="12"/>
        <v>0</v>
      </c>
      <c r="EV22" s="3">
        <f t="shared" si="12"/>
        <v>0</v>
      </c>
      <c r="EW22" s="3">
        <f t="shared" si="12"/>
        <v>0</v>
      </c>
      <c r="EX22" s="3">
        <f t="shared" si="12"/>
        <v>0</v>
      </c>
      <c r="EY22" s="3">
        <f t="shared" si="12"/>
        <v>0</v>
      </c>
      <c r="EZ22" s="3">
        <f t="shared" si="12"/>
        <v>0</v>
      </c>
      <c r="FA22" s="3">
        <f t="shared" si="12"/>
        <v>0</v>
      </c>
      <c r="FB22" s="3">
        <f t="shared" si="12"/>
        <v>0</v>
      </c>
      <c r="FC22" s="3">
        <f t="shared" si="12"/>
        <v>0</v>
      </c>
      <c r="FD22" s="3">
        <f t="shared" si="12"/>
        <v>0</v>
      </c>
      <c r="FE22" s="3">
        <f t="shared" si="12"/>
        <v>0</v>
      </c>
      <c r="FF22" s="3">
        <f t="shared" si="12"/>
        <v>0</v>
      </c>
      <c r="FG22" s="3">
        <f t="shared" si="12"/>
        <v>0</v>
      </c>
      <c r="FH22" s="3">
        <f t="shared" si="12"/>
        <v>0</v>
      </c>
      <c r="FI22" s="3">
        <f t="shared" si="12"/>
        <v>0</v>
      </c>
      <c r="FJ22" s="3">
        <f t="shared" si="12"/>
        <v>0</v>
      </c>
      <c r="FK22" s="3">
        <f t="shared" si="12"/>
        <v>0</v>
      </c>
      <c r="FL22" s="3">
        <f t="shared" si="12"/>
        <v>0</v>
      </c>
      <c r="FM22" s="3">
        <f t="shared" si="12"/>
        <v>0</v>
      </c>
      <c r="FN22" s="3">
        <f t="shared" si="12"/>
        <v>0</v>
      </c>
      <c r="FO22" s="3">
        <f t="shared" si="12"/>
        <v>0</v>
      </c>
      <c r="FP22" s="3">
        <f t="shared" si="12"/>
        <v>0</v>
      </c>
      <c r="FQ22" s="3">
        <f t="shared" si="12"/>
        <v>0</v>
      </c>
      <c r="FR22" s="3">
        <f t="shared" si="12"/>
        <v>0</v>
      </c>
      <c r="FS22" s="3">
        <f t="shared" ref="FS22:GX22" si="13">FS96</f>
        <v>0</v>
      </c>
      <c r="FT22" s="3">
        <f t="shared" si="13"/>
        <v>0</v>
      </c>
      <c r="FU22" s="3">
        <f t="shared" si="13"/>
        <v>0</v>
      </c>
      <c r="FV22" s="3">
        <f t="shared" si="13"/>
        <v>0</v>
      </c>
      <c r="FW22" s="3">
        <f t="shared" si="13"/>
        <v>0</v>
      </c>
      <c r="FX22" s="3">
        <f t="shared" si="13"/>
        <v>0</v>
      </c>
      <c r="FY22" s="3">
        <f t="shared" si="13"/>
        <v>0</v>
      </c>
      <c r="FZ22" s="3">
        <f t="shared" si="13"/>
        <v>0</v>
      </c>
      <c r="GA22" s="3">
        <f t="shared" si="13"/>
        <v>0</v>
      </c>
      <c r="GB22" s="3">
        <f t="shared" si="13"/>
        <v>0</v>
      </c>
      <c r="GC22" s="3">
        <f t="shared" si="13"/>
        <v>0</v>
      </c>
      <c r="GD22" s="3">
        <f t="shared" si="13"/>
        <v>0</v>
      </c>
      <c r="GE22" s="3">
        <f t="shared" si="13"/>
        <v>0</v>
      </c>
      <c r="GF22" s="3">
        <f t="shared" si="13"/>
        <v>0</v>
      </c>
      <c r="GG22" s="3">
        <f t="shared" si="13"/>
        <v>0</v>
      </c>
      <c r="GH22" s="3">
        <f t="shared" si="13"/>
        <v>0</v>
      </c>
      <c r="GI22" s="3">
        <f t="shared" si="13"/>
        <v>0</v>
      </c>
      <c r="GJ22" s="3">
        <f t="shared" si="13"/>
        <v>0</v>
      </c>
      <c r="GK22" s="3">
        <f t="shared" si="13"/>
        <v>0</v>
      </c>
      <c r="GL22" s="3">
        <f t="shared" si="13"/>
        <v>0</v>
      </c>
      <c r="GM22" s="3">
        <f t="shared" si="13"/>
        <v>0</v>
      </c>
      <c r="GN22" s="3">
        <f t="shared" si="13"/>
        <v>0</v>
      </c>
      <c r="GO22" s="3">
        <f t="shared" si="13"/>
        <v>0</v>
      </c>
      <c r="GP22" s="3">
        <f t="shared" si="13"/>
        <v>0</v>
      </c>
      <c r="GQ22" s="3">
        <f t="shared" si="13"/>
        <v>0</v>
      </c>
      <c r="GR22" s="3">
        <f t="shared" si="13"/>
        <v>0</v>
      </c>
      <c r="GS22" s="3">
        <f t="shared" si="13"/>
        <v>0</v>
      </c>
      <c r="GT22" s="3">
        <f t="shared" si="13"/>
        <v>0</v>
      </c>
      <c r="GU22" s="3">
        <f t="shared" si="13"/>
        <v>0</v>
      </c>
      <c r="GV22" s="3">
        <f t="shared" si="13"/>
        <v>0</v>
      </c>
      <c r="GW22" s="3">
        <f t="shared" si="13"/>
        <v>0</v>
      </c>
      <c r="GX22" s="3">
        <f t="shared" si="13"/>
        <v>0</v>
      </c>
    </row>
    <row r="24" spans="1:245" x14ac:dyDescent="0.2">
      <c r="A24" s="1">
        <v>4</v>
      </c>
      <c r="B24" s="1">
        <v>1</v>
      </c>
      <c r="C24" s="1"/>
      <c r="D24" s="1">
        <f>ROW(A30)</f>
        <v>30</v>
      </c>
      <c r="E24" s="1"/>
      <c r="F24" s="1" t="s">
        <v>17</v>
      </c>
      <c r="G24" s="1" t="s">
        <v>18</v>
      </c>
      <c r="H24" s="1" t="s">
        <v>3</v>
      </c>
      <c r="I24" s="1">
        <v>0</v>
      </c>
      <c r="J24" s="1"/>
      <c r="K24" s="1">
        <v>0</v>
      </c>
      <c r="L24" s="1"/>
      <c r="M24" s="1" t="s">
        <v>3</v>
      </c>
      <c r="N24" s="1"/>
      <c r="O24" s="1"/>
      <c r="P24" s="1"/>
      <c r="Q24" s="1"/>
      <c r="R24" s="1"/>
      <c r="S24" s="1">
        <v>0</v>
      </c>
      <c r="T24" s="1"/>
      <c r="U24" s="1" t="s">
        <v>3</v>
      </c>
      <c r="V24" s="1">
        <v>0</v>
      </c>
      <c r="W24" s="1"/>
      <c r="X24" s="1"/>
      <c r="Y24" s="1"/>
      <c r="Z24" s="1"/>
      <c r="AA24" s="1"/>
      <c r="AB24" s="1" t="s">
        <v>3</v>
      </c>
      <c r="AC24" s="1" t="s">
        <v>3</v>
      </c>
      <c r="AD24" s="1" t="s">
        <v>3</v>
      </c>
      <c r="AE24" s="1" t="s">
        <v>3</v>
      </c>
      <c r="AF24" s="1" t="s">
        <v>3</v>
      </c>
      <c r="AG24" s="1" t="s">
        <v>3</v>
      </c>
      <c r="AH24" s="1"/>
      <c r="AI24" s="1"/>
      <c r="AJ24" s="1"/>
      <c r="AK24" s="1"/>
      <c r="AL24" s="1"/>
      <c r="AM24" s="1"/>
      <c r="AN24" s="1"/>
      <c r="AO24" s="1"/>
      <c r="AP24" s="1" t="s">
        <v>3</v>
      </c>
      <c r="AQ24" s="1" t="s">
        <v>3</v>
      </c>
      <c r="AR24" s="1" t="s">
        <v>3</v>
      </c>
      <c r="AS24" s="1"/>
      <c r="AT24" s="1"/>
      <c r="AU24" s="1"/>
      <c r="AV24" s="1"/>
      <c r="AW24" s="1"/>
      <c r="AX24" s="1"/>
      <c r="AY24" s="1"/>
      <c r="AZ24" s="1" t="s">
        <v>3</v>
      </c>
      <c r="BA24" s="1"/>
      <c r="BB24" s="1" t="s">
        <v>3</v>
      </c>
      <c r="BC24" s="1" t="s">
        <v>3</v>
      </c>
      <c r="BD24" s="1" t="s">
        <v>3</v>
      </c>
      <c r="BE24" s="1" t="s">
        <v>3</v>
      </c>
      <c r="BF24" s="1" t="s">
        <v>3</v>
      </c>
      <c r="BG24" s="1" t="s">
        <v>3</v>
      </c>
      <c r="BH24" s="1" t="s">
        <v>3</v>
      </c>
      <c r="BI24" s="1" t="s">
        <v>3</v>
      </c>
      <c r="BJ24" s="1" t="s">
        <v>3</v>
      </c>
      <c r="BK24" s="1" t="s">
        <v>3</v>
      </c>
      <c r="BL24" s="1" t="s">
        <v>3</v>
      </c>
      <c r="BM24" s="1" t="s">
        <v>3</v>
      </c>
      <c r="BN24" s="1" t="s">
        <v>3</v>
      </c>
      <c r="BO24" s="1" t="s">
        <v>3</v>
      </c>
      <c r="BP24" s="1" t="s">
        <v>3</v>
      </c>
      <c r="BQ24" s="1"/>
      <c r="BR24" s="1"/>
      <c r="BS24" s="1"/>
      <c r="BT24" s="1"/>
      <c r="BU24" s="1"/>
      <c r="BV24" s="1"/>
      <c r="BW24" s="1"/>
      <c r="BX24" s="1">
        <v>0</v>
      </c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>
        <v>0</v>
      </c>
    </row>
    <row r="26" spans="1:245" x14ac:dyDescent="0.2">
      <c r="A26" s="2">
        <v>52</v>
      </c>
      <c r="B26" s="2">
        <f t="shared" ref="B26:G26" si="14">B30</f>
        <v>1</v>
      </c>
      <c r="C26" s="2">
        <f t="shared" si="14"/>
        <v>4</v>
      </c>
      <c r="D26" s="2">
        <f t="shared" si="14"/>
        <v>24</v>
      </c>
      <c r="E26" s="2">
        <f t="shared" si="14"/>
        <v>0</v>
      </c>
      <c r="F26" s="2" t="str">
        <f t="shared" si="14"/>
        <v>Новый раздел</v>
      </c>
      <c r="G26" s="2" t="str">
        <f t="shared" si="14"/>
        <v>Монтажные работы</v>
      </c>
      <c r="H26" s="2"/>
      <c r="I26" s="2"/>
      <c r="J26" s="2"/>
      <c r="K26" s="2"/>
      <c r="L26" s="2"/>
      <c r="M26" s="2"/>
      <c r="N26" s="2"/>
      <c r="O26" s="2">
        <f t="shared" ref="O26:AT26" si="15">O30</f>
        <v>422.49</v>
      </c>
      <c r="P26" s="2">
        <f t="shared" si="15"/>
        <v>0</v>
      </c>
      <c r="Q26" s="2">
        <f t="shared" si="15"/>
        <v>6.59</v>
      </c>
      <c r="R26" s="2">
        <f t="shared" si="15"/>
        <v>2.73</v>
      </c>
      <c r="S26" s="2">
        <f t="shared" si="15"/>
        <v>415.9</v>
      </c>
      <c r="T26" s="2">
        <f t="shared" si="15"/>
        <v>0</v>
      </c>
      <c r="U26" s="2">
        <f t="shared" si="15"/>
        <v>1.0784099999999999</v>
      </c>
      <c r="V26" s="2">
        <f t="shared" si="15"/>
        <v>0</v>
      </c>
      <c r="W26" s="2">
        <f t="shared" si="15"/>
        <v>0</v>
      </c>
      <c r="X26" s="2">
        <f t="shared" si="15"/>
        <v>382.63</v>
      </c>
      <c r="Y26" s="2">
        <f t="shared" si="15"/>
        <v>170.52</v>
      </c>
      <c r="Z26" s="2">
        <f t="shared" si="15"/>
        <v>0</v>
      </c>
      <c r="AA26" s="2">
        <f t="shared" si="15"/>
        <v>0</v>
      </c>
      <c r="AB26" s="2">
        <f t="shared" si="15"/>
        <v>422.49</v>
      </c>
      <c r="AC26" s="2">
        <f t="shared" si="15"/>
        <v>0</v>
      </c>
      <c r="AD26" s="2">
        <f t="shared" si="15"/>
        <v>6.59</v>
      </c>
      <c r="AE26" s="2">
        <f t="shared" si="15"/>
        <v>2.73</v>
      </c>
      <c r="AF26" s="2">
        <f t="shared" si="15"/>
        <v>415.9</v>
      </c>
      <c r="AG26" s="2">
        <f t="shared" si="15"/>
        <v>0</v>
      </c>
      <c r="AH26" s="2">
        <f t="shared" si="15"/>
        <v>1.0784099999999999</v>
      </c>
      <c r="AI26" s="2">
        <f t="shared" si="15"/>
        <v>0</v>
      </c>
      <c r="AJ26" s="2">
        <f t="shared" si="15"/>
        <v>0</v>
      </c>
      <c r="AK26" s="2">
        <f t="shared" si="15"/>
        <v>382.63</v>
      </c>
      <c r="AL26" s="2">
        <f t="shared" si="15"/>
        <v>170.52</v>
      </c>
      <c r="AM26" s="2">
        <f t="shared" si="15"/>
        <v>0</v>
      </c>
      <c r="AN26" s="2">
        <f t="shared" si="15"/>
        <v>0</v>
      </c>
      <c r="AO26" s="2">
        <f t="shared" si="15"/>
        <v>0</v>
      </c>
      <c r="AP26" s="2">
        <f t="shared" si="15"/>
        <v>0</v>
      </c>
      <c r="AQ26" s="2">
        <f t="shared" si="15"/>
        <v>0</v>
      </c>
      <c r="AR26" s="2">
        <f t="shared" si="15"/>
        <v>980.01</v>
      </c>
      <c r="AS26" s="2">
        <f t="shared" si="15"/>
        <v>0</v>
      </c>
      <c r="AT26" s="2">
        <f t="shared" si="15"/>
        <v>980.01</v>
      </c>
      <c r="AU26" s="2">
        <f t="shared" ref="AU26:BZ26" si="16">AU30</f>
        <v>0</v>
      </c>
      <c r="AV26" s="2">
        <f t="shared" si="16"/>
        <v>0</v>
      </c>
      <c r="AW26" s="2">
        <f t="shared" si="16"/>
        <v>0</v>
      </c>
      <c r="AX26" s="2">
        <f t="shared" si="16"/>
        <v>0</v>
      </c>
      <c r="AY26" s="2">
        <f t="shared" si="16"/>
        <v>0</v>
      </c>
      <c r="AZ26" s="2">
        <f t="shared" si="16"/>
        <v>0</v>
      </c>
      <c r="BA26" s="2">
        <f t="shared" si="16"/>
        <v>0</v>
      </c>
      <c r="BB26" s="2">
        <f t="shared" si="16"/>
        <v>0</v>
      </c>
      <c r="BC26" s="2">
        <f t="shared" si="16"/>
        <v>0</v>
      </c>
      <c r="BD26" s="2">
        <f t="shared" si="16"/>
        <v>0</v>
      </c>
      <c r="BE26" s="2">
        <f t="shared" si="16"/>
        <v>0</v>
      </c>
      <c r="BF26" s="2">
        <f t="shared" si="16"/>
        <v>0</v>
      </c>
      <c r="BG26" s="2">
        <f t="shared" si="16"/>
        <v>0</v>
      </c>
      <c r="BH26" s="2">
        <f t="shared" si="16"/>
        <v>0</v>
      </c>
      <c r="BI26" s="2">
        <f t="shared" si="16"/>
        <v>0</v>
      </c>
      <c r="BJ26" s="2">
        <f t="shared" si="16"/>
        <v>0</v>
      </c>
      <c r="BK26" s="2">
        <f t="shared" si="16"/>
        <v>0</v>
      </c>
      <c r="BL26" s="2">
        <f t="shared" si="16"/>
        <v>0</v>
      </c>
      <c r="BM26" s="2">
        <f t="shared" si="16"/>
        <v>0</v>
      </c>
      <c r="BN26" s="2">
        <f t="shared" si="16"/>
        <v>0</v>
      </c>
      <c r="BO26" s="2">
        <f t="shared" si="16"/>
        <v>0</v>
      </c>
      <c r="BP26" s="2">
        <f t="shared" si="16"/>
        <v>0</v>
      </c>
      <c r="BQ26" s="2">
        <f t="shared" si="16"/>
        <v>0</v>
      </c>
      <c r="BR26" s="2">
        <f t="shared" si="16"/>
        <v>0</v>
      </c>
      <c r="BS26" s="2">
        <f t="shared" si="16"/>
        <v>0</v>
      </c>
      <c r="BT26" s="2">
        <f t="shared" si="16"/>
        <v>0</v>
      </c>
      <c r="BU26" s="2">
        <f t="shared" si="16"/>
        <v>0</v>
      </c>
      <c r="BV26" s="2">
        <f t="shared" si="16"/>
        <v>0</v>
      </c>
      <c r="BW26" s="2">
        <f t="shared" si="16"/>
        <v>0</v>
      </c>
      <c r="BX26" s="2">
        <f t="shared" si="16"/>
        <v>0</v>
      </c>
      <c r="BY26" s="2">
        <f t="shared" si="16"/>
        <v>0</v>
      </c>
      <c r="BZ26" s="2">
        <f t="shared" si="16"/>
        <v>0</v>
      </c>
      <c r="CA26" s="2">
        <f t="shared" ref="CA26:DF26" si="17">CA30</f>
        <v>980.01</v>
      </c>
      <c r="CB26" s="2">
        <f t="shared" si="17"/>
        <v>0</v>
      </c>
      <c r="CC26" s="2">
        <f t="shared" si="17"/>
        <v>980.01</v>
      </c>
      <c r="CD26" s="2">
        <f t="shared" si="17"/>
        <v>0</v>
      </c>
      <c r="CE26" s="2">
        <f t="shared" si="17"/>
        <v>0</v>
      </c>
      <c r="CF26" s="2">
        <f t="shared" si="17"/>
        <v>0</v>
      </c>
      <c r="CG26" s="2">
        <f t="shared" si="17"/>
        <v>0</v>
      </c>
      <c r="CH26" s="2">
        <f t="shared" si="17"/>
        <v>0</v>
      </c>
      <c r="CI26" s="2">
        <f t="shared" si="17"/>
        <v>0</v>
      </c>
      <c r="CJ26" s="2">
        <f t="shared" si="17"/>
        <v>0</v>
      </c>
      <c r="CK26" s="2">
        <f t="shared" si="17"/>
        <v>0</v>
      </c>
      <c r="CL26" s="2">
        <f t="shared" si="17"/>
        <v>0</v>
      </c>
      <c r="CM26" s="2">
        <f t="shared" si="17"/>
        <v>0</v>
      </c>
      <c r="CN26" s="2">
        <f t="shared" si="17"/>
        <v>0</v>
      </c>
      <c r="CO26" s="2">
        <f t="shared" si="17"/>
        <v>0</v>
      </c>
      <c r="CP26" s="2">
        <f t="shared" si="17"/>
        <v>0</v>
      </c>
      <c r="CQ26" s="2">
        <f t="shared" si="17"/>
        <v>0</v>
      </c>
      <c r="CR26" s="2">
        <f t="shared" si="17"/>
        <v>0</v>
      </c>
      <c r="CS26" s="2">
        <f t="shared" si="17"/>
        <v>0</v>
      </c>
      <c r="CT26" s="2">
        <f t="shared" si="17"/>
        <v>0</v>
      </c>
      <c r="CU26" s="2">
        <f t="shared" si="17"/>
        <v>0</v>
      </c>
      <c r="CV26" s="2">
        <f t="shared" si="17"/>
        <v>0</v>
      </c>
      <c r="CW26" s="2">
        <f t="shared" si="17"/>
        <v>0</v>
      </c>
      <c r="CX26" s="2">
        <f t="shared" si="17"/>
        <v>0</v>
      </c>
      <c r="CY26" s="2">
        <f t="shared" si="17"/>
        <v>0</v>
      </c>
      <c r="CZ26" s="2">
        <f t="shared" si="17"/>
        <v>0</v>
      </c>
      <c r="DA26" s="2">
        <f t="shared" si="17"/>
        <v>0</v>
      </c>
      <c r="DB26" s="2">
        <f t="shared" si="17"/>
        <v>0</v>
      </c>
      <c r="DC26" s="2">
        <f t="shared" si="17"/>
        <v>0</v>
      </c>
      <c r="DD26" s="2">
        <f t="shared" si="17"/>
        <v>0</v>
      </c>
      <c r="DE26" s="2">
        <f t="shared" si="17"/>
        <v>0</v>
      </c>
      <c r="DF26" s="2">
        <f t="shared" si="17"/>
        <v>0</v>
      </c>
      <c r="DG26" s="3">
        <f t="shared" ref="DG26:EL26" si="18">DG30</f>
        <v>0</v>
      </c>
      <c r="DH26" s="3">
        <f t="shared" si="18"/>
        <v>0</v>
      </c>
      <c r="DI26" s="3">
        <f t="shared" si="18"/>
        <v>0</v>
      </c>
      <c r="DJ26" s="3">
        <f t="shared" si="18"/>
        <v>0</v>
      </c>
      <c r="DK26" s="3">
        <f t="shared" si="18"/>
        <v>0</v>
      </c>
      <c r="DL26" s="3">
        <f t="shared" si="18"/>
        <v>0</v>
      </c>
      <c r="DM26" s="3">
        <f t="shared" si="18"/>
        <v>0</v>
      </c>
      <c r="DN26" s="3">
        <f t="shared" si="18"/>
        <v>0</v>
      </c>
      <c r="DO26" s="3">
        <f t="shared" si="18"/>
        <v>0</v>
      </c>
      <c r="DP26" s="3">
        <f t="shared" si="18"/>
        <v>0</v>
      </c>
      <c r="DQ26" s="3">
        <f t="shared" si="18"/>
        <v>0</v>
      </c>
      <c r="DR26" s="3">
        <f t="shared" si="18"/>
        <v>0</v>
      </c>
      <c r="DS26" s="3">
        <f t="shared" si="18"/>
        <v>0</v>
      </c>
      <c r="DT26" s="3">
        <f t="shared" si="18"/>
        <v>0</v>
      </c>
      <c r="DU26" s="3">
        <f t="shared" si="18"/>
        <v>0</v>
      </c>
      <c r="DV26" s="3">
        <f t="shared" si="18"/>
        <v>0</v>
      </c>
      <c r="DW26" s="3">
        <f t="shared" si="18"/>
        <v>0</v>
      </c>
      <c r="DX26" s="3">
        <f t="shared" si="18"/>
        <v>0</v>
      </c>
      <c r="DY26" s="3">
        <f t="shared" si="18"/>
        <v>0</v>
      </c>
      <c r="DZ26" s="3">
        <f t="shared" si="18"/>
        <v>0</v>
      </c>
      <c r="EA26" s="3">
        <f t="shared" si="18"/>
        <v>0</v>
      </c>
      <c r="EB26" s="3">
        <f t="shared" si="18"/>
        <v>0</v>
      </c>
      <c r="EC26" s="3">
        <f t="shared" si="18"/>
        <v>0</v>
      </c>
      <c r="ED26" s="3">
        <f t="shared" si="18"/>
        <v>0</v>
      </c>
      <c r="EE26" s="3">
        <f t="shared" si="18"/>
        <v>0</v>
      </c>
      <c r="EF26" s="3">
        <f t="shared" si="18"/>
        <v>0</v>
      </c>
      <c r="EG26" s="3">
        <f t="shared" si="18"/>
        <v>0</v>
      </c>
      <c r="EH26" s="3">
        <f t="shared" si="18"/>
        <v>0</v>
      </c>
      <c r="EI26" s="3">
        <f t="shared" si="18"/>
        <v>0</v>
      </c>
      <c r="EJ26" s="3">
        <f t="shared" si="18"/>
        <v>0</v>
      </c>
      <c r="EK26" s="3">
        <f t="shared" si="18"/>
        <v>0</v>
      </c>
      <c r="EL26" s="3">
        <f t="shared" si="18"/>
        <v>0</v>
      </c>
      <c r="EM26" s="3">
        <f t="shared" ref="EM26:FR26" si="19">EM30</f>
        <v>0</v>
      </c>
      <c r="EN26" s="3">
        <f t="shared" si="19"/>
        <v>0</v>
      </c>
      <c r="EO26" s="3">
        <f t="shared" si="19"/>
        <v>0</v>
      </c>
      <c r="EP26" s="3">
        <f t="shared" si="19"/>
        <v>0</v>
      </c>
      <c r="EQ26" s="3">
        <f t="shared" si="19"/>
        <v>0</v>
      </c>
      <c r="ER26" s="3">
        <f t="shared" si="19"/>
        <v>0</v>
      </c>
      <c r="ES26" s="3">
        <f t="shared" si="19"/>
        <v>0</v>
      </c>
      <c r="ET26" s="3">
        <f t="shared" si="19"/>
        <v>0</v>
      </c>
      <c r="EU26" s="3">
        <f t="shared" si="19"/>
        <v>0</v>
      </c>
      <c r="EV26" s="3">
        <f t="shared" si="19"/>
        <v>0</v>
      </c>
      <c r="EW26" s="3">
        <f t="shared" si="19"/>
        <v>0</v>
      </c>
      <c r="EX26" s="3">
        <f t="shared" si="19"/>
        <v>0</v>
      </c>
      <c r="EY26" s="3">
        <f t="shared" si="19"/>
        <v>0</v>
      </c>
      <c r="EZ26" s="3">
        <f t="shared" si="19"/>
        <v>0</v>
      </c>
      <c r="FA26" s="3">
        <f t="shared" si="19"/>
        <v>0</v>
      </c>
      <c r="FB26" s="3">
        <f t="shared" si="19"/>
        <v>0</v>
      </c>
      <c r="FC26" s="3">
        <f t="shared" si="19"/>
        <v>0</v>
      </c>
      <c r="FD26" s="3">
        <f t="shared" si="19"/>
        <v>0</v>
      </c>
      <c r="FE26" s="3">
        <f t="shared" si="19"/>
        <v>0</v>
      </c>
      <c r="FF26" s="3">
        <f t="shared" si="19"/>
        <v>0</v>
      </c>
      <c r="FG26" s="3">
        <f t="shared" si="19"/>
        <v>0</v>
      </c>
      <c r="FH26" s="3">
        <f t="shared" si="19"/>
        <v>0</v>
      </c>
      <c r="FI26" s="3">
        <f t="shared" si="19"/>
        <v>0</v>
      </c>
      <c r="FJ26" s="3">
        <f t="shared" si="19"/>
        <v>0</v>
      </c>
      <c r="FK26" s="3">
        <f t="shared" si="19"/>
        <v>0</v>
      </c>
      <c r="FL26" s="3">
        <f t="shared" si="19"/>
        <v>0</v>
      </c>
      <c r="FM26" s="3">
        <f t="shared" si="19"/>
        <v>0</v>
      </c>
      <c r="FN26" s="3">
        <f t="shared" si="19"/>
        <v>0</v>
      </c>
      <c r="FO26" s="3">
        <f t="shared" si="19"/>
        <v>0</v>
      </c>
      <c r="FP26" s="3">
        <f t="shared" si="19"/>
        <v>0</v>
      </c>
      <c r="FQ26" s="3">
        <f t="shared" si="19"/>
        <v>0</v>
      </c>
      <c r="FR26" s="3">
        <f t="shared" si="19"/>
        <v>0</v>
      </c>
      <c r="FS26" s="3">
        <f t="shared" ref="FS26:GX26" si="20">FS30</f>
        <v>0</v>
      </c>
      <c r="FT26" s="3">
        <f t="shared" si="20"/>
        <v>0</v>
      </c>
      <c r="FU26" s="3">
        <f t="shared" si="20"/>
        <v>0</v>
      </c>
      <c r="FV26" s="3">
        <f t="shared" si="20"/>
        <v>0</v>
      </c>
      <c r="FW26" s="3">
        <f t="shared" si="20"/>
        <v>0</v>
      </c>
      <c r="FX26" s="3">
        <f t="shared" si="20"/>
        <v>0</v>
      </c>
      <c r="FY26" s="3">
        <f t="shared" si="20"/>
        <v>0</v>
      </c>
      <c r="FZ26" s="3">
        <f t="shared" si="20"/>
        <v>0</v>
      </c>
      <c r="GA26" s="3">
        <f t="shared" si="20"/>
        <v>0</v>
      </c>
      <c r="GB26" s="3">
        <f t="shared" si="20"/>
        <v>0</v>
      </c>
      <c r="GC26" s="3">
        <f t="shared" si="20"/>
        <v>0</v>
      </c>
      <c r="GD26" s="3">
        <f t="shared" si="20"/>
        <v>0</v>
      </c>
      <c r="GE26" s="3">
        <f t="shared" si="20"/>
        <v>0</v>
      </c>
      <c r="GF26" s="3">
        <f t="shared" si="20"/>
        <v>0</v>
      </c>
      <c r="GG26" s="3">
        <f t="shared" si="20"/>
        <v>0</v>
      </c>
      <c r="GH26" s="3">
        <f t="shared" si="20"/>
        <v>0</v>
      </c>
      <c r="GI26" s="3">
        <f t="shared" si="20"/>
        <v>0</v>
      </c>
      <c r="GJ26" s="3">
        <f t="shared" si="20"/>
        <v>0</v>
      </c>
      <c r="GK26" s="3">
        <f t="shared" si="20"/>
        <v>0</v>
      </c>
      <c r="GL26" s="3">
        <f t="shared" si="20"/>
        <v>0</v>
      </c>
      <c r="GM26" s="3">
        <f t="shared" si="20"/>
        <v>0</v>
      </c>
      <c r="GN26" s="3">
        <f t="shared" si="20"/>
        <v>0</v>
      </c>
      <c r="GO26" s="3">
        <f t="shared" si="20"/>
        <v>0</v>
      </c>
      <c r="GP26" s="3">
        <f t="shared" si="20"/>
        <v>0</v>
      </c>
      <c r="GQ26" s="3">
        <f t="shared" si="20"/>
        <v>0</v>
      </c>
      <c r="GR26" s="3">
        <f t="shared" si="20"/>
        <v>0</v>
      </c>
      <c r="GS26" s="3">
        <f t="shared" si="20"/>
        <v>0</v>
      </c>
      <c r="GT26" s="3">
        <f t="shared" si="20"/>
        <v>0</v>
      </c>
      <c r="GU26" s="3">
        <f t="shared" si="20"/>
        <v>0</v>
      </c>
      <c r="GV26" s="3">
        <f t="shared" si="20"/>
        <v>0</v>
      </c>
      <c r="GW26" s="3">
        <f t="shared" si="20"/>
        <v>0</v>
      </c>
      <c r="GX26" s="3">
        <f t="shared" si="20"/>
        <v>0</v>
      </c>
    </row>
    <row r="28" spans="1:245" x14ac:dyDescent="0.2">
      <c r="A28">
        <v>17</v>
      </c>
      <c r="B28">
        <v>1</v>
      </c>
      <c r="D28">
        <f>ROW(EtalonRes!A3)</f>
        <v>3</v>
      </c>
      <c r="E28" t="s">
        <v>19</v>
      </c>
      <c r="F28" t="s">
        <v>20</v>
      </c>
      <c r="G28" t="s">
        <v>21</v>
      </c>
      <c r="H28" t="s">
        <v>22</v>
      </c>
      <c r="I28">
        <v>1</v>
      </c>
      <c r="J28">
        <v>0</v>
      </c>
      <c r="K28">
        <v>1</v>
      </c>
      <c r="O28">
        <f>ROUND(CP28,2)</f>
        <v>422.49</v>
      </c>
      <c r="P28">
        <f>ROUND((ROUND((AC28*AW28*I28),2)*BC28),2)</f>
        <v>0</v>
      </c>
      <c r="Q28">
        <f>(ROUND((ROUND(((ET28)*AV28*I28),2)*BB28),2)+ROUND((ROUND(((AE28-(EU28))*AV28*I28),2)*BS28),2))</f>
        <v>6.59</v>
      </c>
      <c r="R28">
        <f>ROUND((ROUND((AE28*AV28*I28),2)*BS28),2)</f>
        <v>2.73</v>
      </c>
      <c r="S28">
        <f>ROUND((ROUND((AF28*AV28*I28),2)*BA28),2)</f>
        <v>415.9</v>
      </c>
      <c r="T28">
        <f>ROUND(CU28*I28,2)</f>
        <v>0</v>
      </c>
      <c r="U28">
        <f>CV28*I28</f>
        <v>1.0784099999999999</v>
      </c>
      <c r="V28">
        <f>CW28*I28</f>
        <v>0</v>
      </c>
      <c r="W28">
        <f>ROUND(CX28*I28,2)</f>
        <v>0</v>
      </c>
      <c r="X28">
        <f>ROUND(CY28,2)</f>
        <v>382.63</v>
      </c>
      <c r="Y28">
        <f>ROUND(CZ28,2)</f>
        <v>170.52</v>
      </c>
      <c r="AA28">
        <v>51975038</v>
      </c>
      <c r="AB28">
        <f>ROUND((AC28+AD28+AF28),6)</f>
        <v>12.15</v>
      </c>
      <c r="AC28">
        <f>ROUND((ES28),6)</f>
        <v>0</v>
      </c>
      <c r="AD28">
        <f>ROUND((((ET28)-(EU28))+AE28),6)</f>
        <v>0.5</v>
      </c>
      <c r="AE28">
        <f>ROUND((EU28),6)</f>
        <v>0.08</v>
      </c>
      <c r="AF28">
        <f>ROUND((EV28),6)</f>
        <v>11.65</v>
      </c>
      <c r="AG28">
        <f>ROUND((AP28),6)</f>
        <v>0</v>
      </c>
      <c r="AH28">
        <f>(EW28)</f>
        <v>1.03</v>
      </c>
      <c r="AI28">
        <f>(EX28)</f>
        <v>0</v>
      </c>
      <c r="AJ28">
        <f>(AS28)</f>
        <v>0</v>
      </c>
      <c r="AK28">
        <v>12.15</v>
      </c>
      <c r="AL28">
        <v>0</v>
      </c>
      <c r="AM28">
        <v>0.5</v>
      </c>
      <c r="AN28">
        <v>0.08</v>
      </c>
      <c r="AO28">
        <v>11.65</v>
      </c>
      <c r="AP28">
        <v>0</v>
      </c>
      <c r="AQ28">
        <v>1.03</v>
      </c>
      <c r="AR28">
        <v>0</v>
      </c>
      <c r="AS28">
        <v>0</v>
      </c>
      <c r="AT28">
        <v>92</v>
      </c>
      <c r="AU28">
        <v>41</v>
      </c>
      <c r="AV28">
        <v>1.0469999999999999</v>
      </c>
      <c r="AW28">
        <v>1</v>
      </c>
      <c r="AZ28">
        <v>1</v>
      </c>
      <c r="BA28">
        <v>34.090000000000003</v>
      </c>
      <c r="BB28">
        <v>12.68</v>
      </c>
      <c r="BC28">
        <v>1</v>
      </c>
      <c r="BD28" t="s">
        <v>3</v>
      </c>
      <c r="BE28" t="s">
        <v>3</v>
      </c>
      <c r="BF28" t="s">
        <v>3</v>
      </c>
      <c r="BG28" t="s">
        <v>3</v>
      </c>
      <c r="BH28">
        <v>0</v>
      </c>
      <c r="BI28">
        <v>2</v>
      </c>
      <c r="BJ28" t="s">
        <v>23</v>
      </c>
      <c r="BM28">
        <v>355</v>
      </c>
      <c r="BN28">
        <v>0</v>
      </c>
      <c r="BO28" t="s">
        <v>20</v>
      </c>
      <c r="BP28">
        <v>1</v>
      </c>
      <c r="BQ28">
        <v>40</v>
      </c>
      <c r="BR28">
        <v>0</v>
      </c>
      <c r="BS28">
        <v>34.090000000000003</v>
      </c>
      <c r="BT28">
        <v>1</v>
      </c>
      <c r="BU28">
        <v>1</v>
      </c>
      <c r="BV28">
        <v>1</v>
      </c>
      <c r="BW28">
        <v>1</v>
      </c>
      <c r="BX28">
        <v>1</v>
      </c>
      <c r="BY28" t="s">
        <v>3</v>
      </c>
      <c r="BZ28">
        <v>92</v>
      </c>
      <c r="CA28">
        <v>41</v>
      </c>
      <c r="CB28" t="s">
        <v>3</v>
      </c>
      <c r="CE28">
        <v>30</v>
      </c>
      <c r="CF28">
        <v>0</v>
      </c>
      <c r="CG28">
        <v>0</v>
      </c>
      <c r="CM28">
        <v>0</v>
      </c>
      <c r="CN28" t="s">
        <v>3</v>
      </c>
      <c r="CO28">
        <v>0</v>
      </c>
      <c r="CP28">
        <f>(P28+Q28+S28)</f>
        <v>422.48999999999995</v>
      </c>
      <c r="CQ28">
        <f>ROUND((ROUND((AC28*AW28*1),2)*BC28),2)</f>
        <v>0</v>
      </c>
      <c r="CR28">
        <f>(ROUND((ROUND(((ET28)*AV28*1),2)*BB28),2)+ROUND((ROUND(((AE28-(EU28))*AV28*1),2)*BS28),2))</f>
        <v>6.59</v>
      </c>
      <c r="CS28">
        <f>ROUND((ROUND((AE28*AV28*1),2)*BS28),2)</f>
        <v>2.73</v>
      </c>
      <c r="CT28">
        <f>ROUND((ROUND((AF28*AV28*1),2)*BA28),2)</f>
        <v>415.9</v>
      </c>
      <c r="CU28">
        <f>AG28</f>
        <v>0</v>
      </c>
      <c r="CV28">
        <f>(AH28*AV28)</f>
        <v>1.0784099999999999</v>
      </c>
      <c r="CW28">
        <f>AI28</f>
        <v>0</v>
      </c>
      <c r="CX28">
        <f>AJ28</f>
        <v>0</v>
      </c>
      <c r="CY28">
        <f>S28*(BZ28/100)</f>
        <v>382.62799999999999</v>
      </c>
      <c r="CZ28">
        <f>S28*(CA28/100)</f>
        <v>170.51899999999998</v>
      </c>
      <c r="DC28" t="s">
        <v>3</v>
      </c>
      <c r="DD28" t="s">
        <v>3</v>
      </c>
      <c r="DE28" t="s">
        <v>3</v>
      </c>
      <c r="DF28" t="s">
        <v>3</v>
      </c>
      <c r="DG28" t="s">
        <v>3</v>
      </c>
      <c r="DH28" t="s">
        <v>3</v>
      </c>
      <c r="DI28" t="s">
        <v>3</v>
      </c>
      <c r="DJ28" t="s">
        <v>3</v>
      </c>
      <c r="DK28" t="s">
        <v>3</v>
      </c>
      <c r="DL28" t="s">
        <v>3</v>
      </c>
      <c r="DM28" t="s">
        <v>3</v>
      </c>
      <c r="DN28">
        <v>112</v>
      </c>
      <c r="DO28">
        <v>70</v>
      </c>
      <c r="DP28">
        <v>1.0469999999999999</v>
      </c>
      <c r="DQ28">
        <v>1</v>
      </c>
      <c r="DU28">
        <v>1013</v>
      </c>
      <c r="DV28" t="s">
        <v>22</v>
      </c>
      <c r="DW28" t="s">
        <v>22</v>
      </c>
      <c r="DX28">
        <v>1</v>
      </c>
      <c r="DZ28" t="s">
        <v>3</v>
      </c>
      <c r="EA28" t="s">
        <v>3</v>
      </c>
      <c r="EB28" t="s">
        <v>3</v>
      </c>
      <c r="EC28" t="s">
        <v>3</v>
      </c>
      <c r="EE28">
        <v>51354996</v>
      </c>
      <c r="EF28">
        <v>40</v>
      </c>
      <c r="EG28" t="s">
        <v>24</v>
      </c>
      <c r="EH28">
        <v>0</v>
      </c>
      <c r="EI28" t="s">
        <v>3</v>
      </c>
      <c r="EJ28">
        <v>2</v>
      </c>
      <c r="EK28">
        <v>355</v>
      </c>
      <c r="EL28" t="s">
        <v>25</v>
      </c>
      <c r="EM28" t="s">
        <v>26</v>
      </c>
      <c r="EO28" t="s">
        <v>3</v>
      </c>
      <c r="EQ28">
        <v>131072</v>
      </c>
      <c r="ER28">
        <v>12.15</v>
      </c>
      <c r="ES28">
        <v>0</v>
      </c>
      <c r="ET28">
        <v>0.5</v>
      </c>
      <c r="EU28">
        <v>0.08</v>
      </c>
      <c r="EV28">
        <v>11.65</v>
      </c>
      <c r="EW28">
        <v>1.03</v>
      </c>
      <c r="EX28">
        <v>0</v>
      </c>
      <c r="EY28">
        <v>0</v>
      </c>
      <c r="FQ28">
        <v>0</v>
      </c>
      <c r="FR28">
        <f>ROUND(IF(BI28=3,GM28,0),2)</f>
        <v>0</v>
      </c>
      <c r="FS28">
        <v>0</v>
      </c>
      <c r="FX28">
        <v>112</v>
      </c>
      <c r="FY28">
        <v>70</v>
      </c>
      <c r="GA28" t="s">
        <v>3</v>
      </c>
      <c r="GD28">
        <v>0</v>
      </c>
      <c r="GF28">
        <v>-2032365157</v>
      </c>
      <c r="GG28">
        <v>2</v>
      </c>
      <c r="GH28">
        <v>1</v>
      </c>
      <c r="GI28">
        <v>2</v>
      </c>
      <c r="GJ28">
        <v>0</v>
      </c>
      <c r="GK28">
        <f>ROUND(R28*(R12)/100,2)</f>
        <v>4.37</v>
      </c>
      <c r="GL28">
        <f>ROUND(IF(AND(BH28=3,BI28=3,FS28&lt;&gt;0),P28,0),2)</f>
        <v>0</v>
      </c>
      <c r="GM28">
        <f>ROUND(O28+X28+Y28+GK28,2)+GX28</f>
        <v>980.01</v>
      </c>
      <c r="GN28">
        <f>IF(OR(BI28=0,BI28=1),GM28-GX28,0)</f>
        <v>0</v>
      </c>
      <c r="GO28">
        <f>IF(BI28=2,GM28-GX28,0)</f>
        <v>980.01</v>
      </c>
      <c r="GP28">
        <f>IF(BI28=4,GM28-GX28,0)</f>
        <v>0</v>
      </c>
      <c r="GR28">
        <v>0</v>
      </c>
      <c r="GS28">
        <v>3</v>
      </c>
      <c r="GT28">
        <v>0</v>
      </c>
      <c r="GU28" t="s">
        <v>3</v>
      </c>
      <c r="GV28">
        <f>ROUND((GT28),6)</f>
        <v>0</v>
      </c>
      <c r="GW28">
        <v>1</v>
      </c>
      <c r="GX28">
        <f>ROUND(HC28*I28,2)</f>
        <v>0</v>
      </c>
      <c r="HA28">
        <v>0</v>
      </c>
      <c r="HB28">
        <v>0</v>
      </c>
      <c r="HC28">
        <f>GV28*GW28</f>
        <v>0</v>
      </c>
      <c r="HE28" t="s">
        <v>3</v>
      </c>
      <c r="HF28" t="s">
        <v>3</v>
      </c>
      <c r="HM28" t="s">
        <v>3</v>
      </c>
      <c r="HN28" t="s">
        <v>3</v>
      </c>
      <c r="HO28" t="s">
        <v>3</v>
      </c>
      <c r="HP28" t="s">
        <v>3</v>
      </c>
      <c r="HQ28" t="s">
        <v>3</v>
      </c>
      <c r="IK28">
        <v>0</v>
      </c>
    </row>
    <row r="30" spans="1:245" x14ac:dyDescent="0.2">
      <c r="A30" s="2">
        <v>51</v>
      </c>
      <c r="B30" s="2">
        <f>B24</f>
        <v>1</v>
      </c>
      <c r="C30" s="2">
        <f>A24</f>
        <v>4</v>
      </c>
      <c r="D30" s="2">
        <f>ROW(A24)</f>
        <v>24</v>
      </c>
      <c r="E30" s="2"/>
      <c r="F30" s="2" t="str">
        <f>IF(F24&lt;&gt;"",F24,"")</f>
        <v>Новый раздел</v>
      </c>
      <c r="G30" s="2" t="str">
        <f>IF(G24&lt;&gt;"",G24,"")</f>
        <v>Монтажные работы</v>
      </c>
      <c r="H30" s="2">
        <v>0</v>
      </c>
      <c r="I30" s="2"/>
      <c r="J30" s="2"/>
      <c r="K30" s="2"/>
      <c r="L30" s="2"/>
      <c r="M30" s="2"/>
      <c r="N30" s="2"/>
      <c r="O30" s="2">
        <f t="shared" ref="O30:T30" si="21">ROUND(AB30,2)</f>
        <v>422.49</v>
      </c>
      <c r="P30" s="2">
        <f t="shared" si="21"/>
        <v>0</v>
      </c>
      <c r="Q30" s="2">
        <f t="shared" si="21"/>
        <v>6.59</v>
      </c>
      <c r="R30" s="2">
        <f t="shared" si="21"/>
        <v>2.73</v>
      </c>
      <c r="S30" s="2">
        <f t="shared" si="21"/>
        <v>415.9</v>
      </c>
      <c r="T30" s="2">
        <f t="shared" si="21"/>
        <v>0</v>
      </c>
      <c r="U30" s="2">
        <f>AH30</f>
        <v>1.0784099999999999</v>
      </c>
      <c r="V30" s="2">
        <f>AI30</f>
        <v>0</v>
      </c>
      <c r="W30" s="2">
        <f>ROUND(AJ30,2)</f>
        <v>0</v>
      </c>
      <c r="X30" s="2">
        <f>ROUND(AK30,2)</f>
        <v>382.63</v>
      </c>
      <c r="Y30" s="2">
        <f>ROUND(AL30,2)</f>
        <v>170.52</v>
      </c>
      <c r="Z30" s="2"/>
      <c r="AA30" s="2"/>
      <c r="AB30" s="2">
        <f>ROUND(SUMIF(AA28:AA28,"=51975038",O28:O28),2)</f>
        <v>422.49</v>
      </c>
      <c r="AC30" s="2">
        <f>ROUND(SUMIF(AA28:AA28,"=51975038",P28:P28),2)</f>
        <v>0</v>
      </c>
      <c r="AD30" s="2">
        <f>ROUND(SUMIF(AA28:AA28,"=51975038",Q28:Q28),2)</f>
        <v>6.59</v>
      </c>
      <c r="AE30" s="2">
        <f>ROUND(SUMIF(AA28:AA28,"=51975038",R28:R28),2)</f>
        <v>2.73</v>
      </c>
      <c r="AF30" s="2">
        <f>ROUND(SUMIF(AA28:AA28,"=51975038",S28:S28),2)</f>
        <v>415.9</v>
      </c>
      <c r="AG30" s="2">
        <f>ROUND(SUMIF(AA28:AA28,"=51975038",T28:T28),2)</f>
        <v>0</v>
      </c>
      <c r="AH30" s="2">
        <f>SUMIF(AA28:AA28,"=51975038",U28:U28)</f>
        <v>1.0784099999999999</v>
      </c>
      <c r="AI30" s="2">
        <f>SUMIF(AA28:AA28,"=51975038",V28:V28)</f>
        <v>0</v>
      </c>
      <c r="AJ30" s="2">
        <f>ROUND(SUMIF(AA28:AA28,"=51975038",W28:W28),2)</f>
        <v>0</v>
      </c>
      <c r="AK30" s="2">
        <f>ROUND(SUMIF(AA28:AA28,"=51975038",X28:X28),2)</f>
        <v>382.63</v>
      </c>
      <c r="AL30" s="2">
        <f>ROUND(SUMIF(AA28:AA28,"=51975038",Y28:Y28),2)</f>
        <v>170.52</v>
      </c>
      <c r="AM30" s="2"/>
      <c r="AN30" s="2"/>
      <c r="AO30" s="2">
        <f t="shared" ref="AO30:BD30" si="22">ROUND(BX30,2)</f>
        <v>0</v>
      </c>
      <c r="AP30" s="2">
        <f t="shared" si="22"/>
        <v>0</v>
      </c>
      <c r="AQ30" s="2">
        <f t="shared" si="22"/>
        <v>0</v>
      </c>
      <c r="AR30" s="2">
        <f t="shared" si="22"/>
        <v>980.01</v>
      </c>
      <c r="AS30" s="2">
        <f t="shared" si="22"/>
        <v>0</v>
      </c>
      <c r="AT30" s="2">
        <f t="shared" si="22"/>
        <v>980.01</v>
      </c>
      <c r="AU30" s="2">
        <f t="shared" si="22"/>
        <v>0</v>
      </c>
      <c r="AV30" s="2">
        <f t="shared" si="22"/>
        <v>0</v>
      </c>
      <c r="AW30" s="2">
        <f t="shared" si="22"/>
        <v>0</v>
      </c>
      <c r="AX30" s="2">
        <f t="shared" si="22"/>
        <v>0</v>
      </c>
      <c r="AY30" s="2">
        <f t="shared" si="22"/>
        <v>0</v>
      </c>
      <c r="AZ30" s="2">
        <f t="shared" si="22"/>
        <v>0</v>
      </c>
      <c r="BA30" s="2">
        <f t="shared" si="22"/>
        <v>0</v>
      </c>
      <c r="BB30" s="2">
        <f t="shared" si="22"/>
        <v>0</v>
      </c>
      <c r="BC30" s="2">
        <f t="shared" si="22"/>
        <v>0</v>
      </c>
      <c r="BD30" s="2">
        <f t="shared" si="22"/>
        <v>0</v>
      </c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>
        <f>ROUND(SUMIF(AA28:AA28,"=51975038",FQ28:FQ28),2)</f>
        <v>0</v>
      </c>
      <c r="BY30" s="2">
        <f>ROUND(SUMIF(AA28:AA28,"=51975038",FR28:FR28),2)</f>
        <v>0</v>
      </c>
      <c r="BZ30" s="2">
        <f>ROUND(SUMIF(AA28:AA28,"=51975038",GL28:GL28),2)</f>
        <v>0</v>
      </c>
      <c r="CA30" s="2">
        <f>ROUND(SUMIF(AA28:AA28,"=51975038",GM28:GM28),2)</f>
        <v>980.01</v>
      </c>
      <c r="CB30" s="2">
        <f>ROUND(SUMIF(AA28:AA28,"=51975038",GN28:GN28),2)</f>
        <v>0</v>
      </c>
      <c r="CC30" s="2">
        <f>ROUND(SUMIF(AA28:AA28,"=51975038",GO28:GO28),2)</f>
        <v>980.01</v>
      </c>
      <c r="CD30" s="2">
        <f>ROUND(SUMIF(AA28:AA28,"=51975038",GP28:GP28),2)</f>
        <v>0</v>
      </c>
      <c r="CE30" s="2">
        <f>AC30-BX30</f>
        <v>0</v>
      </c>
      <c r="CF30" s="2">
        <f>AC30-BY30</f>
        <v>0</v>
      </c>
      <c r="CG30" s="2">
        <f>BX30-BZ30</f>
        <v>0</v>
      </c>
      <c r="CH30" s="2">
        <f>AC30-BX30-BY30+BZ30</f>
        <v>0</v>
      </c>
      <c r="CI30" s="2">
        <f>BY30-BZ30</f>
        <v>0</v>
      </c>
      <c r="CJ30" s="2">
        <f>ROUND(SUMIF(AA28:AA28,"=51975038",GX28:GX28),2)</f>
        <v>0</v>
      </c>
      <c r="CK30" s="2">
        <f>ROUND(SUMIF(AA28:AA28,"=51975038",GY28:GY28),2)</f>
        <v>0</v>
      </c>
      <c r="CL30" s="2">
        <f>ROUND(SUMIF(AA28:AA28,"=51975038",GZ28:GZ28),2)</f>
        <v>0</v>
      </c>
      <c r="CM30" s="2">
        <f>ROUND(SUMIF(AA28:AA28,"=51975038",HD28:HD28),2)</f>
        <v>0</v>
      </c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>
        <v>0</v>
      </c>
    </row>
    <row r="32" spans="1:245" x14ac:dyDescent="0.2">
      <c r="A32" s="4">
        <v>50</v>
      </c>
      <c r="B32" s="4">
        <v>0</v>
      </c>
      <c r="C32" s="4">
        <v>0</v>
      </c>
      <c r="D32" s="4">
        <v>1</v>
      </c>
      <c r="E32" s="4">
        <v>201</v>
      </c>
      <c r="F32" s="4">
        <f>ROUND(Source!O30,O32)</f>
        <v>422.49</v>
      </c>
      <c r="G32" s="4" t="s">
        <v>27</v>
      </c>
      <c r="H32" s="4" t="s">
        <v>28</v>
      </c>
      <c r="I32" s="4"/>
      <c r="J32" s="4"/>
      <c r="K32" s="4">
        <v>201</v>
      </c>
      <c r="L32" s="4">
        <v>1</v>
      </c>
      <c r="M32" s="4">
        <v>3</v>
      </c>
      <c r="N32" s="4" t="s">
        <v>3</v>
      </c>
      <c r="O32" s="4">
        <v>2</v>
      </c>
      <c r="P32" s="4"/>
      <c r="Q32" s="4"/>
      <c r="R32" s="4"/>
      <c r="S32" s="4"/>
      <c r="T32" s="4"/>
      <c r="U32" s="4"/>
      <c r="V32" s="4"/>
      <c r="W32" s="4">
        <v>422.49</v>
      </c>
      <c r="X32" s="4">
        <v>1</v>
      </c>
      <c r="Y32" s="4">
        <v>422.49</v>
      </c>
      <c r="Z32" s="4"/>
      <c r="AA32" s="4"/>
      <c r="AB32" s="4"/>
    </row>
    <row r="33" spans="1:28" x14ac:dyDescent="0.2">
      <c r="A33" s="4">
        <v>50</v>
      </c>
      <c r="B33" s="4">
        <v>0</v>
      </c>
      <c r="C33" s="4">
        <v>0</v>
      </c>
      <c r="D33" s="4">
        <v>1</v>
      </c>
      <c r="E33" s="4">
        <v>202</v>
      </c>
      <c r="F33" s="4">
        <f>ROUND(Source!P30,O33)</f>
        <v>0</v>
      </c>
      <c r="G33" s="4" t="s">
        <v>29</v>
      </c>
      <c r="H33" s="4" t="s">
        <v>30</v>
      </c>
      <c r="I33" s="4"/>
      <c r="J33" s="4"/>
      <c r="K33" s="4">
        <v>202</v>
      </c>
      <c r="L33" s="4">
        <v>2</v>
      </c>
      <c r="M33" s="4">
        <v>3</v>
      </c>
      <c r="N33" s="4" t="s">
        <v>3</v>
      </c>
      <c r="O33" s="4">
        <v>2</v>
      </c>
      <c r="P33" s="4"/>
      <c r="Q33" s="4"/>
      <c r="R33" s="4"/>
      <c r="S33" s="4"/>
      <c r="T33" s="4"/>
      <c r="U33" s="4"/>
      <c r="V33" s="4"/>
      <c r="W33" s="4">
        <v>0</v>
      </c>
      <c r="X33" s="4">
        <v>1</v>
      </c>
      <c r="Y33" s="4">
        <v>0</v>
      </c>
      <c r="Z33" s="4"/>
      <c r="AA33" s="4"/>
      <c r="AB33" s="4"/>
    </row>
    <row r="34" spans="1:28" x14ac:dyDescent="0.2">
      <c r="A34" s="4">
        <v>50</v>
      </c>
      <c r="B34" s="4">
        <v>0</v>
      </c>
      <c r="C34" s="4">
        <v>0</v>
      </c>
      <c r="D34" s="4">
        <v>1</v>
      </c>
      <c r="E34" s="4">
        <v>222</v>
      </c>
      <c r="F34" s="4">
        <f>ROUND(Source!AO30,O34)</f>
        <v>0</v>
      </c>
      <c r="G34" s="4" t="s">
        <v>31</v>
      </c>
      <c r="H34" s="4" t="s">
        <v>32</v>
      </c>
      <c r="I34" s="4"/>
      <c r="J34" s="4"/>
      <c r="K34" s="4">
        <v>222</v>
      </c>
      <c r="L34" s="4">
        <v>3</v>
      </c>
      <c r="M34" s="4">
        <v>3</v>
      </c>
      <c r="N34" s="4" t="s">
        <v>3</v>
      </c>
      <c r="O34" s="4">
        <v>2</v>
      </c>
      <c r="P34" s="4"/>
      <c r="Q34" s="4"/>
      <c r="R34" s="4"/>
      <c r="S34" s="4"/>
      <c r="T34" s="4"/>
      <c r="U34" s="4"/>
      <c r="V34" s="4"/>
      <c r="W34" s="4">
        <v>0</v>
      </c>
      <c r="X34" s="4">
        <v>1</v>
      </c>
      <c r="Y34" s="4">
        <v>0</v>
      </c>
      <c r="Z34" s="4"/>
      <c r="AA34" s="4"/>
      <c r="AB34" s="4"/>
    </row>
    <row r="35" spans="1:28" x14ac:dyDescent="0.2">
      <c r="A35" s="4">
        <v>50</v>
      </c>
      <c r="B35" s="4">
        <v>0</v>
      </c>
      <c r="C35" s="4">
        <v>0</v>
      </c>
      <c r="D35" s="4">
        <v>1</v>
      </c>
      <c r="E35" s="4">
        <v>225</v>
      </c>
      <c r="F35" s="4">
        <f>ROUND(Source!AV30,O35)</f>
        <v>0</v>
      </c>
      <c r="G35" s="4" t="s">
        <v>33</v>
      </c>
      <c r="H35" s="4" t="s">
        <v>34</v>
      </c>
      <c r="I35" s="4"/>
      <c r="J35" s="4"/>
      <c r="K35" s="4">
        <v>225</v>
      </c>
      <c r="L35" s="4">
        <v>4</v>
      </c>
      <c r="M35" s="4">
        <v>3</v>
      </c>
      <c r="N35" s="4" t="s">
        <v>3</v>
      </c>
      <c r="O35" s="4">
        <v>2</v>
      </c>
      <c r="P35" s="4"/>
      <c r="Q35" s="4"/>
      <c r="R35" s="4"/>
      <c r="S35" s="4"/>
      <c r="T35" s="4"/>
      <c r="U35" s="4"/>
      <c r="V35" s="4"/>
      <c r="W35" s="4">
        <v>0</v>
      </c>
      <c r="X35" s="4">
        <v>1</v>
      </c>
      <c r="Y35" s="4">
        <v>0</v>
      </c>
      <c r="Z35" s="4"/>
      <c r="AA35" s="4"/>
      <c r="AB35" s="4"/>
    </row>
    <row r="36" spans="1:28" x14ac:dyDescent="0.2">
      <c r="A36" s="4">
        <v>50</v>
      </c>
      <c r="B36" s="4">
        <v>0</v>
      </c>
      <c r="C36" s="4">
        <v>0</v>
      </c>
      <c r="D36" s="4">
        <v>1</v>
      </c>
      <c r="E36" s="4">
        <v>226</v>
      </c>
      <c r="F36" s="4">
        <f>ROUND(Source!AW30,O36)</f>
        <v>0</v>
      </c>
      <c r="G36" s="4" t="s">
        <v>35</v>
      </c>
      <c r="H36" s="4" t="s">
        <v>36</v>
      </c>
      <c r="I36" s="4"/>
      <c r="J36" s="4"/>
      <c r="K36" s="4">
        <v>226</v>
      </c>
      <c r="L36" s="4">
        <v>5</v>
      </c>
      <c r="M36" s="4">
        <v>3</v>
      </c>
      <c r="N36" s="4" t="s">
        <v>3</v>
      </c>
      <c r="O36" s="4">
        <v>2</v>
      </c>
      <c r="P36" s="4"/>
      <c r="Q36" s="4"/>
      <c r="R36" s="4"/>
      <c r="S36" s="4"/>
      <c r="T36" s="4"/>
      <c r="U36" s="4"/>
      <c r="V36" s="4"/>
      <c r="W36" s="4">
        <v>0</v>
      </c>
      <c r="X36" s="4">
        <v>1</v>
      </c>
      <c r="Y36" s="4">
        <v>0</v>
      </c>
      <c r="Z36" s="4"/>
      <c r="AA36" s="4"/>
      <c r="AB36" s="4"/>
    </row>
    <row r="37" spans="1:28" x14ac:dyDescent="0.2">
      <c r="A37" s="4">
        <v>50</v>
      </c>
      <c r="B37" s="4">
        <v>0</v>
      </c>
      <c r="C37" s="4">
        <v>0</v>
      </c>
      <c r="D37" s="4">
        <v>1</v>
      </c>
      <c r="E37" s="4">
        <v>227</v>
      </c>
      <c r="F37" s="4">
        <f>ROUND(Source!AX30,O37)</f>
        <v>0</v>
      </c>
      <c r="G37" s="4" t="s">
        <v>37</v>
      </c>
      <c r="H37" s="4" t="s">
        <v>38</v>
      </c>
      <c r="I37" s="4"/>
      <c r="J37" s="4"/>
      <c r="K37" s="4">
        <v>227</v>
      </c>
      <c r="L37" s="4">
        <v>6</v>
      </c>
      <c r="M37" s="4">
        <v>3</v>
      </c>
      <c r="N37" s="4" t="s">
        <v>3</v>
      </c>
      <c r="O37" s="4">
        <v>2</v>
      </c>
      <c r="P37" s="4"/>
      <c r="Q37" s="4"/>
      <c r="R37" s="4"/>
      <c r="S37" s="4"/>
      <c r="T37" s="4"/>
      <c r="U37" s="4"/>
      <c r="V37" s="4"/>
      <c r="W37" s="4">
        <v>0</v>
      </c>
      <c r="X37" s="4">
        <v>1</v>
      </c>
      <c r="Y37" s="4">
        <v>0</v>
      </c>
      <c r="Z37" s="4"/>
      <c r="AA37" s="4"/>
      <c r="AB37" s="4"/>
    </row>
    <row r="38" spans="1:28" x14ac:dyDescent="0.2">
      <c r="A38" s="4">
        <v>50</v>
      </c>
      <c r="B38" s="4">
        <v>0</v>
      </c>
      <c r="C38" s="4">
        <v>0</v>
      </c>
      <c r="D38" s="4">
        <v>1</v>
      </c>
      <c r="E38" s="4">
        <v>228</v>
      </c>
      <c r="F38" s="4">
        <f>ROUND(Source!AY30,O38)</f>
        <v>0</v>
      </c>
      <c r="G38" s="4" t="s">
        <v>39</v>
      </c>
      <c r="H38" s="4" t="s">
        <v>40</v>
      </c>
      <c r="I38" s="4"/>
      <c r="J38" s="4"/>
      <c r="K38" s="4">
        <v>228</v>
      </c>
      <c r="L38" s="4">
        <v>7</v>
      </c>
      <c r="M38" s="4">
        <v>3</v>
      </c>
      <c r="N38" s="4" t="s">
        <v>3</v>
      </c>
      <c r="O38" s="4">
        <v>2</v>
      </c>
      <c r="P38" s="4"/>
      <c r="Q38" s="4"/>
      <c r="R38" s="4"/>
      <c r="S38" s="4"/>
      <c r="T38" s="4"/>
      <c r="U38" s="4"/>
      <c r="V38" s="4"/>
      <c r="W38" s="4">
        <v>0</v>
      </c>
      <c r="X38" s="4">
        <v>1</v>
      </c>
      <c r="Y38" s="4">
        <v>0</v>
      </c>
      <c r="Z38" s="4"/>
      <c r="AA38" s="4"/>
      <c r="AB38" s="4"/>
    </row>
    <row r="39" spans="1:28" x14ac:dyDescent="0.2">
      <c r="A39" s="4">
        <v>50</v>
      </c>
      <c r="B39" s="4">
        <v>0</v>
      </c>
      <c r="C39" s="4">
        <v>0</v>
      </c>
      <c r="D39" s="4">
        <v>1</v>
      </c>
      <c r="E39" s="4">
        <v>216</v>
      </c>
      <c r="F39" s="4">
        <f>ROUND(Source!AP30,O39)</f>
        <v>0</v>
      </c>
      <c r="G39" s="4" t="s">
        <v>41</v>
      </c>
      <c r="H39" s="4" t="s">
        <v>42</v>
      </c>
      <c r="I39" s="4"/>
      <c r="J39" s="4"/>
      <c r="K39" s="4">
        <v>216</v>
      </c>
      <c r="L39" s="4">
        <v>8</v>
      </c>
      <c r="M39" s="4">
        <v>3</v>
      </c>
      <c r="N39" s="4" t="s">
        <v>3</v>
      </c>
      <c r="O39" s="4">
        <v>2</v>
      </c>
      <c r="P39" s="4"/>
      <c r="Q39" s="4"/>
      <c r="R39" s="4"/>
      <c r="S39" s="4"/>
      <c r="T39" s="4"/>
      <c r="U39" s="4"/>
      <c r="V39" s="4"/>
      <c r="W39" s="4">
        <v>0</v>
      </c>
      <c r="X39" s="4">
        <v>1</v>
      </c>
      <c r="Y39" s="4">
        <v>0</v>
      </c>
      <c r="Z39" s="4"/>
      <c r="AA39" s="4"/>
      <c r="AB39" s="4"/>
    </row>
    <row r="40" spans="1:28" x14ac:dyDescent="0.2">
      <c r="A40" s="4">
        <v>50</v>
      </c>
      <c r="B40" s="4">
        <v>0</v>
      </c>
      <c r="C40" s="4">
        <v>0</v>
      </c>
      <c r="D40" s="4">
        <v>1</v>
      </c>
      <c r="E40" s="4">
        <v>223</v>
      </c>
      <c r="F40" s="4">
        <f>ROUND(Source!AQ30,O40)</f>
        <v>0</v>
      </c>
      <c r="G40" s="4" t="s">
        <v>43</v>
      </c>
      <c r="H40" s="4" t="s">
        <v>44</v>
      </c>
      <c r="I40" s="4"/>
      <c r="J40" s="4"/>
      <c r="K40" s="4">
        <v>223</v>
      </c>
      <c r="L40" s="4">
        <v>9</v>
      </c>
      <c r="M40" s="4">
        <v>3</v>
      </c>
      <c r="N40" s="4" t="s">
        <v>3</v>
      </c>
      <c r="O40" s="4">
        <v>2</v>
      </c>
      <c r="P40" s="4"/>
      <c r="Q40" s="4"/>
      <c r="R40" s="4"/>
      <c r="S40" s="4"/>
      <c r="T40" s="4"/>
      <c r="U40" s="4"/>
      <c r="V40" s="4"/>
      <c r="W40" s="4">
        <v>0</v>
      </c>
      <c r="X40" s="4">
        <v>1</v>
      </c>
      <c r="Y40" s="4">
        <v>0</v>
      </c>
      <c r="Z40" s="4"/>
      <c r="AA40" s="4"/>
      <c r="AB40" s="4"/>
    </row>
    <row r="41" spans="1:28" x14ac:dyDescent="0.2">
      <c r="A41" s="4">
        <v>50</v>
      </c>
      <c r="B41" s="4">
        <v>0</v>
      </c>
      <c r="C41" s="4">
        <v>0</v>
      </c>
      <c r="D41" s="4">
        <v>1</v>
      </c>
      <c r="E41" s="4">
        <v>229</v>
      </c>
      <c r="F41" s="4">
        <f>ROUND(Source!AZ30,O41)</f>
        <v>0</v>
      </c>
      <c r="G41" s="4" t="s">
        <v>45</v>
      </c>
      <c r="H41" s="4" t="s">
        <v>46</v>
      </c>
      <c r="I41" s="4"/>
      <c r="J41" s="4"/>
      <c r="K41" s="4">
        <v>229</v>
      </c>
      <c r="L41" s="4">
        <v>10</v>
      </c>
      <c r="M41" s="4">
        <v>3</v>
      </c>
      <c r="N41" s="4" t="s">
        <v>3</v>
      </c>
      <c r="O41" s="4">
        <v>2</v>
      </c>
      <c r="P41" s="4"/>
      <c r="Q41" s="4"/>
      <c r="R41" s="4"/>
      <c r="S41" s="4"/>
      <c r="T41" s="4"/>
      <c r="U41" s="4"/>
      <c r="V41" s="4"/>
      <c r="W41" s="4">
        <v>0</v>
      </c>
      <c r="X41" s="4">
        <v>1</v>
      </c>
      <c r="Y41" s="4">
        <v>0</v>
      </c>
      <c r="Z41" s="4"/>
      <c r="AA41" s="4"/>
      <c r="AB41" s="4"/>
    </row>
    <row r="42" spans="1:28" x14ac:dyDescent="0.2">
      <c r="A42" s="4">
        <v>50</v>
      </c>
      <c r="B42" s="4">
        <v>0</v>
      </c>
      <c r="C42" s="4">
        <v>0</v>
      </c>
      <c r="D42" s="4">
        <v>1</v>
      </c>
      <c r="E42" s="4">
        <v>203</v>
      </c>
      <c r="F42" s="4">
        <f>ROUND(Source!Q30,O42)</f>
        <v>6.59</v>
      </c>
      <c r="G42" s="4" t="s">
        <v>47</v>
      </c>
      <c r="H42" s="4" t="s">
        <v>48</v>
      </c>
      <c r="I42" s="4"/>
      <c r="J42" s="4"/>
      <c r="K42" s="4">
        <v>203</v>
      </c>
      <c r="L42" s="4">
        <v>11</v>
      </c>
      <c r="M42" s="4">
        <v>3</v>
      </c>
      <c r="N42" s="4" t="s">
        <v>3</v>
      </c>
      <c r="O42" s="4">
        <v>2</v>
      </c>
      <c r="P42" s="4"/>
      <c r="Q42" s="4"/>
      <c r="R42" s="4"/>
      <c r="S42" s="4"/>
      <c r="T42" s="4"/>
      <c r="U42" s="4"/>
      <c r="V42" s="4"/>
      <c r="W42" s="4">
        <v>6.59</v>
      </c>
      <c r="X42" s="4">
        <v>1</v>
      </c>
      <c r="Y42" s="4">
        <v>6.59</v>
      </c>
      <c r="Z42" s="4"/>
      <c r="AA42" s="4"/>
      <c r="AB42" s="4"/>
    </row>
    <row r="43" spans="1:28" x14ac:dyDescent="0.2">
      <c r="A43" s="4">
        <v>50</v>
      </c>
      <c r="B43" s="4">
        <v>0</v>
      </c>
      <c r="C43" s="4">
        <v>0</v>
      </c>
      <c r="D43" s="4">
        <v>1</v>
      </c>
      <c r="E43" s="4">
        <v>231</v>
      </c>
      <c r="F43" s="4">
        <f>ROUND(Source!BB30,O43)</f>
        <v>0</v>
      </c>
      <c r="G43" s="4" t="s">
        <v>49</v>
      </c>
      <c r="H43" s="4" t="s">
        <v>50</v>
      </c>
      <c r="I43" s="4"/>
      <c r="J43" s="4"/>
      <c r="K43" s="4">
        <v>231</v>
      </c>
      <c r="L43" s="4">
        <v>12</v>
      </c>
      <c r="M43" s="4">
        <v>3</v>
      </c>
      <c r="N43" s="4" t="s">
        <v>3</v>
      </c>
      <c r="O43" s="4">
        <v>2</v>
      </c>
      <c r="P43" s="4"/>
      <c r="Q43" s="4"/>
      <c r="R43" s="4"/>
      <c r="S43" s="4"/>
      <c r="T43" s="4"/>
      <c r="U43" s="4"/>
      <c r="V43" s="4"/>
      <c r="W43" s="4">
        <v>0</v>
      </c>
      <c r="X43" s="4">
        <v>1</v>
      </c>
      <c r="Y43" s="4">
        <v>0</v>
      </c>
      <c r="Z43" s="4"/>
      <c r="AA43" s="4"/>
      <c r="AB43" s="4"/>
    </row>
    <row r="44" spans="1:28" x14ac:dyDescent="0.2">
      <c r="A44" s="4">
        <v>50</v>
      </c>
      <c r="B44" s="4">
        <v>0</v>
      </c>
      <c r="C44" s="4">
        <v>0</v>
      </c>
      <c r="D44" s="4">
        <v>1</v>
      </c>
      <c r="E44" s="4">
        <v>204</v>
      </c>
      <c r="F44" s="4">
        <f>ROUND(Source!R30,O44)</f>
        <v>2.73</v>
      </c>
      <c r="G44" s="4" t="s">
        <v>51</v>
      </c>
      <c r="H44" s="4" t="s">
        <v>52</v>
      </c>
      <c r="I44" s="4"/>
      <c r="J44" s="4"/>
      <c r="K44" s="4">
        <v>204</v>
      </c>
      <c r="L44" s="4">
        <v>13</v>
      </c>
      <c r="M44" s="4">
        <v>3</v>
      </c>
      <c r="N44" s="4" t="s">
        <v>3</v>
      </c>
      <c r="O44" s="4">
        <v>2</v>
      </c>
      <c r="P44" s="4"/>
      <c r="Q44" s="4"/>
      <c r="R44" s="4"/>
      <c r="S44" s="4"/>
      <c r="T44" s="4"/>
      <c r="U44" s="4"/>
      <c r="V44" s="4"/>
      <c r="W44" s="4">
        <v>2.73</v>
      </c>
      <c r="X44" s="4">
        <v>1</v>
      </c>
      <c r="Y44" s="4">
        <v>2.73</v>
      </c>
      <c r="Z44" s="4"/>
      <c r="AA44" s="4"/>
      <c r="AB44" s="4"/>
    </row>
    <row r="45" spans="1:28" x14ac:dyDescent="0.2">
      <c r="A45" s="4">
        <v>50</v>
      </c>
      <c r="B45" s="4">
        <v>0</v>
      </c>
      <c r="C45" s="4">
        <v>0</v>
      </c>
      <c r="D45" s="4">
        <v>1</v>
      </c>
      <c r="E45" s="4">
        <v>205</v>
      </c>
      <c r="F45" s="4">
        <f>ROUND(Source!S30,O45)</f>
        <v>415.9</v>
      </c>
      <c r="G45" s="4" t="s">
        <v>53</v>
      </c>
      <c r="H45" s="4" t="s">
        <v>54</v>
      </c>
      <c r="I45" s="4"/>
      <c r="J45" s="4"/>
      <c r="K45" s="4">
        <v>205</v>
      </c>
      <c r="L45" s="4">
        <v>14</v>
      </c>
      <c r="M45" s="4">
        <v>3</v>
      </c>
      <c r="N45" s="4" t="s">
        <v>3</v>
      </c>
      <c r="O45" s="4">
        <v>2</v>
      </c>
      <c r="P45" s="4"/>
      <c r="Q45" s="4"/>
      <c r="R45" s="4"/>
      <c r="S45" s="4"/>
      <c r="T45" s="4"/>
      <c r="U45" s="4"/>
      <c r="V45" s="4"/>
      <c r="W45" s="4">
        <v>415.9</v>
      </c>
      <c r="X45" s="4">
        <v>1</v>
      </c>
      <c r="Y45" s="4">
        <v>415.9</v>
      </c>
      <c r="Z45" s="4"/>
      <c r="AA45" s="4"/>
      <c r="AB45" s="4"/>
    </row>
    <row r="46" spans="1:28" x14ac:dyDescent="0.2">
      <c r="A46" s="4">
        <v>50</v>
      </c>
      <c r="B46" s="4">
        <v>0</v>
      </c>
      <c r="C46" s="4">
        <v>0</v>
      </c>
      <c r="D46" s="4">
        <v>1</v>
      </c>
      <c r="E46" s="4">
        <v>232</v>
      </c>
      <c r="F46" s="4">
        <f>ROUND(Source!BC30,O46)</f>
        <v>0</v>
      </c>
      <c r="G46" s="4" t="s">
        <v>55</v>
      </c>
      <c r="H46" s="4" t="s">
        <v>56</v>
      </c>
      <c r="I46" s="4"/>
      <c r="J46" s="4"/>
      <c r="K46" s="4">
        <v>232</v>
      </c>
      <c r="L46" s="4">
        <v>15</v>
      </c>
      <c r="M46" s="4">
        <v>3</v>
      </c>
      <c r="N46" s="4" t="s">
        <v>3</v>
      </c>
      <c r="O46" s="4">
        <v>2</v>
      </c>
      <c r="P46" s="4"/>
      <c r="Q46" s="4"/>
      <c r="R46" s="4"/>
      <c r="S46" s="4"/>
      <c r="T46" s="4"/>
      <c r="U46" s="4"/>
      <c r="V46" s="4"/>
      <c r="W46" s="4">
        <v>0</v>
      </c>
      <c r="X46" s="4">
        <v>1</v>
      </c>
      <c r="Y46" s="4">
        <v>0</v>
      </c>
      <c r="Z46" s="4"/>
      <c r="AA46" s="4"/>
      <c r="AB46" s="4"/>
    </row>
    <row r="47" spans="1:28" x14ac:dyDescent="0.2">
      <c r="A47" s="4">
        <v>50</v>
      </c>
      <c r="B47" s="4">
        <v>0</v>
      </c>
      <c r="C47" s="4">
        <v>0</v>
      </c>
      <c r="D47" s="4">
        <v>1</v>
      </c>
      <c r="E47" s="4">
        <v>214</v>
      </c>
      <c r="F47" s="4">
        <f>ROUND(Source!AS30,O47)</f>
        <v>0</v>
      </c>
      <c r="G47" s="4" t="s">
        <v>57</v>
      </c>
      <c r="H47" s="4" t="s">
        <v>58</v>
      </c>
      <c r="I47" s="4"/>
      <c r="J47" s="4"/>
      <c r="K47" s="4">
        <v>214</v>
      </c>
      <c r="L47" s="4">
        <v>16</v>
      </c>
      <c r="M47" s="4">
        <v>3</v>
      </c>
      <c r="N47" s="4" t="s">
        <v>3</v>
      </c>
      <c r="O47" s="4">
        <v>2</v>
      </c>
      <c r="P47" s="4"/>
      <c r="Q47" s="4"/>
      <c r="R47" s="4"/>
      <c r="S47" s="4"/>
      <c r="T47" s="4"/>
      <c r="U47" s="4"/>
      <c r="V47" s="4"/>
      <c r="W47" s="4">
        <v>0</v>
      </c>
      <c r="X47" s="4">
        <v>1</v>
      </c>
      <c r="Y47" s="4">
        <v>0</v>
      </c>
      <c r="Z47" s="4"/>
      <c r="AA47" s="4"/>
      <c r="AB47" s="4"/>
    </row>
    <row r="48" spans="1:28" x14ac:dyDescent="0.2">
      <c r="A48" s="4">
        <v>50</v>
      </c>
      <c r="B48" s="4">
        <v>0</v>
      </c>
      <c r="C48" s="4">
        <v>0</v>
      </c>
      <c r="D48" s="4">
        <v>1</v>
      </c>
      <c r="E48" s="4">
        <v>215</v>
      </c>
      <c r="F48" s="4">
        <f>ROUND(Source!AT30,O48)</f>
        <v>980.01</v>
      </c>
      <c r="G48" s="4" t="s">
        <v>59</v>
      </c>
      <c r="H48" s="4" t="s">
        <v>60</v>
      </c>
      <c r="I48" s="4"/>
      <c r="J48" s="4"/>
      <c r="K48" s="4">
        <v>215</v>
      </c>
      <c r="L48" s="4">
        <v>17</v>
      </c>
      <c r="M48" s="4">
        <v>3</v>
      </c>
      <c r="N48" s="4" t="s">
        <v>3</v>
      </c>
      <c r="O48" s="4">
        <v>2</v>
      </c>
      <c r="P48" s="4"/>
      <c r="Q48" s="4"/>
      <c r="R48" s="4"/>
      <c r="S48" s="4"/>
      <c r="T48" s="4"/>
      <c r="U48" s="4"/>
      <c r="V48" s="4"/>
      <c r="W48" s="4">
        <v>980.01</v>
      </c>
      <c r="X48" s="4">
        <v>1</v>
      </c>
      <c r="Y48" s="4">
        <v>980.01</v>
      </c>
      <c r="Z48" s="4"/>
      <c r="AA48" s="4"/>
      <c r="AB48" s="4"/>
    </row>
    <row r="49" spans="1:245" x14ac:dyDescent="0.2">
      <c r="A49" s="4">
        <v>50</v>
      </c>
      <c r="B49" s="4">
        <v>0</v>
      </c>
      <c r="C49" s="4">
        <v>0</v>
      </c>
      <c r="D49" s="4">
        <v>1</v>
      </c>
      <c r="E49" s="4">
        <v>217</v>
      </c>
      <c r="F49" s="4">
        <f>ROUND(Source!AU30,O49)</f>
        <v>0</v>
      </c>
      <c r="G49" s="4" t="s">
        <v>61</v>
      </c>
      <c r="H49" s="4" t="s">
        <v>62</v>
      </c>
      <c r="I49" s="4"/>
      <c r="J49" s="4"/>
      <c r="K49" s="4">
        <v>217</v>
      </c>
      <c r="L49" s="4">
        <v>18</v>
      </c>
      <c r="M49" s="4">
        <v>3</v>
      </c>
      <c r="N49" s="4" t="s">
        <v>3</v>
      </c>
      <c r="O49" s="4">
        <v>2</v>
      </c>
      <c r="P49" s="4"/>
      <c r="Q49" s="4"/>
      <c r="R49" s="4"/>
      <c r="S49" s="4"/>
      <c r="T49" s="4"/>
      <c r="U49" s="4"/>
      <c r="V49" s="4"/>
      <c r="W49" s="4">
        <v>0</v>
      </c>
      <c r="X49" s="4">
        <v>1</v>
      </c>
      <c r="Y49" s="4">
        <v>0</v>
      </c>
      <c r="Z49" s="4"/>
      <c r="AA49" s="4"/>
      <c r="AB49" s="4"/>
    </row>
    <row r="50" spans="1:245" x14ac:dyDescent="0.2">
      <c r="A50" s="4">
        <v>50</v>
      </c>
      <c r="B50" s="4">
        <v>0</v>
      </c>
      <c r="C50" s="4">
        <v>0</v>
      </c>
      <c r="D50" s="4">
        <v>1</v>
      </c>
      <c r="E50" s="4">
        <v>230</v>
      </c>
      <c r="F50" s="4">
        <f>ROUND(Source!BA30,O50)</f>
        <v>0</v>
      </c>
      <c r="G50" s="4" t="s">
        <v>63</v>
      </c>
      <c r="H50" s="4" t="s">
        <v>64</v>
      </c>
      <c r="I50" s="4"/>
      <c r="J50" s="4"/>
      <c r="K50" s="4">
        <v>230</v>
      </c>
      <c r="L50" s="4">
        <v>19</v>
      </c>
      <c r="M50" s="4">
        <v>3</v>
      </c>
      <c r="N50" s="4" t="s">
        <v>3</v>
      </c>
      <c r="O50" s="4">
        <v>2</v>
      </c>
      <c r="P50" s="4"/>
      <c r="Q50" s="4"/>
      <c r="R50" s="4"/>
      <c r="S50" s="4"/>
      <c r="T50" s="4"/>
      <c r="U50" s="4"/>
      <c r="V50" s="4"/>
      <c r="W50" s="4">
        <v>0</v>
      </c>
      <c r="X50" s="4">
        <v>1</v>
      </c>
      <c r="Y50" s="4">
        <v>0</v>
      </c>
      <c r="Z50" s="4"/>
      <c r="AA50" s="4"/>
      <c r="AB50" s="4"/>
    </row>
    <row r="51" spans="1:245" x14ac:dyDescent="0.2">
      <c r="A51" s="4">
        <v>50</v>
      </c>
      <c r="B51" s="4">
        <v>0</v>
      </c>
      <c r="C51" s="4">
        <v>0</v>
      </c>
      <c r="D51" s="4">
        <v>1</v>
      </c>
      <c r="E51" s="4">
        <v>206</v>
      </c>
      <c r="F51" s="4">
        <f>ROUND(Source!T30,O51)</f>
        <v>0</v>
      </c>
      <c r="G51" s="4" t="s">
        <v>65</v>
      </c>
      <c r="H51" s="4" t="s">
        <v>66</v>
      </c>
      <c r="I51" s="4"/>
      <c r="J51" s="4"/>
      <c r="K51" s="4">
        <v>206</v>
      </c>
      <c r="L51" s="4">
        <v>20</v>
      </c>
      <c r="M51" s="4">
        <v>3</v>
      </c>
      <c r="N51" s="4" t="s">
        <v>3</v>
      </c>
      <c r="O51" s="4">
        <v>2</v>
      </c>
      <c r="P51" s="4"/>
      <c r="Q51" s="4"/>
      <c r="R51" s="4"/>
      <c r="S51" s="4"/>
      <c r="T51" s="4"/>
      <c r="U51" s="4"/>
      <c r="V51" s="4"/>
      <c r="W51" s="4">
        <v>0</v>
      </c>
      <c r="X51" s="4">
        <v>1</v>
      </c>
      <c r="Y51" s="4">
        <v>0</v>
      </c>
      <c r="Z51" s="4"/>
      <c r="AA51" s="4"/>
      <c r="AB51" s="4"/>
    </row>
    <row r="52" spans="1:245" x14ac:dyDescent="0.2">
      <c r="A52" s="4">
        <v>50</v>
      </c>
      <c r="B52" s="4">
        <v>0</v>
      </c>
      <c r="C52" s="4">
        <v>0</v>
      </c>
      <c r="D52" s="4">
        <v>1</v>
      </c>
      <c r="E52" s="4">
        <v>207</v>
      </c>
      <c r="F52" s="4">
        <f>Source!U30</f>
        <v>1.0784099999999999</v>
      </c>
      <c r="G52" s="4" t="s">
        <v>67</v>
      </c>
      <c r="H52" s="4" t="s">
        <v>68</v>
      </c>
      <c r="I52" s="4"/>
      <c r="J52" s="4"/>
      <c r="K52" s="4">
        <v>207</v>
      </c>
      <c r="L52" s="4">
        <v>21</v>
      </c>
      <c r="M52" s="4">
        <v>3</v>
      </c>
      <c r="N52" s="4" t="s">
        <v>3</v>
      </c>
      <c r="O52" s="4">
        <v>-1</v>
      </c>
      <c r="P52" s="4"/>
      <c r="Q52" s="4"/>
      <c r="R52" s="4"/>
      <c r="S52" s="4"/>
      <c r="T52" s="4"/>
      <c r="U52" s="4"/>
      <c r="V52" s="4"/>
      <c r="W52" s="4">
        <v>1.0784100000000001</v>
      </c>
      <c r="X52" s="4">
        <v>1</v>
      </c>
      <c r="Y52" s="4">
        <v>1.0784100000000001</v>
      </c>
      <c r="Z52" s="4"/>
      <c r="AA52" s="4"/>
      <c r="AB52" s="4"/>
    </row>
    <row r="53" spans="1:245" x14ac:dyDescent="0.2">
      <c r="A53" s="4">
        <v>50</v>
      </c>
      <c r="B53" s="4">
        <v>0</v>
      </c>
      <c r="C53" s="4">
        <v>0</v>
      </c>
      <c r="D53" s="4">
        <v>1</v>
      </c>
      <c r="E53" s="4">
        <v>208</v>
      </c>
      <c r="F53" s="4">
        <f>Source!V30</f>
        <v>0</v>
      </c>
      <c r="G53" s="4" t="s">
        <v>69</v>
      </c>
      <c r="H53" s="4" t="s">
        <v>70</v>
      </c>
      <c r="I53" s="4"/>
      <c r="J53" s="4"/>
      <c r="K53" s="4">
        <v>208</v>
      </c>
      <c r="L53" s="4">
        <v>22</v>
      </c>
      <c r="M53" s="4">
        <v>3</v>
      </c>
      <c r="N53" s="4" t="s">
        <v>3</v>
      </c>
      <c r="O53" s="4">
        <v>-1</v>
      </c>
      <c r="P53" s="4"/>
      <c r="Q53" s="4"/>
      <c r="R53" s="4"/>
      <c r="S53" s="4"/>
      <c r="T53" s="4"/>
      <c r="U53" s="4"/>
      <c r="V53" s="4"/>
      <c r="W53" s="4">
        <v>0</v>
      </c>
      <c r="X53" s="4">
        <v>1</v>
      </c>
      <c r="Y53" s="4">
        <v>0</v>
      </c>
      <c r="Z53" s="4"/>
      <c r="AA53" s="4"/>
      <c r="AB53" s="4"/>
    </row>
    <row r="54" spans="1:245" x14ac:dyDescent="0.2">
      <c r="A54" s="4">
        <v>50</v>
      </c>
      <c r="B54" s="4">
        <v>0</v>
      </c>
      <c r="C54" s="4">
        <v>0</v>
      </c>
      <c r="D54" s="4">
        <v>1</v>
      </c>
      <c r="E54" s="4">
        <v>209</v>
      </c>
      <c r="F54" s="4">
        <f>ROUND(Source!W30,O54)</f>
        <v>0</v>
      </c>
      <c r="G54" s="4" t="s">
        <v>71</v>
      </c>
      <c r="H54" s="4" t="s">
        <v>72</v>
      </c>
      <c r="I54" s="4"/>
      <c r="J54" s="4"/>
      <c r="K54" s="4">
        <v>209</v>
      </c>
      <c r="L54" s="4">
        <v>23</v>
      </c>
      <c r="M54" s="4">
        <v>3</v>
      </c>
      <c r="N54" s="4" t="s">
        <v>3</v>
      </c>
      <c r="O54" s="4">
        <v>2</v>
      </c>
      <c r="P54" s="4"/>
      <c r="Q54" s="4"/>
      <c r="R54" s="4"/>
      <c r="S54" s="4"/>
      <c r="T54" s="4"/>
      <c r="U54" s="4"/>
      <c r="V54" s="4"/>
      <c r="W54" s="4">
        <v>0</v>
      </c>
      <c r="X54" s="4">
        <v>1</v>
      </c>
      <c r="Y54" s="4">
        <v>0</v>
      </c>
      <c r="Z54" s="4"/>
      <c r="AA54" s="4"/>
      <c r="AB54" s="4"/>
    </row>
    <row r="55" spans="1:245" x14ac:dyDescent="0.2">
      <c r="A55" s="4">
        <v>50</v>
      </c>
      <c r="B55" s="4">
        <v>0</v>
      </c>
      <c r="C55" s="4">
        <v>0</v>
      </c>
      <c r="D55" s="4">
        <v>1</v>
      </c>
      <c r="E55" s="4">
        <v>233</v>
      </c>
      <c r="F55" s="4">
        <f>ROUND(Source!BD30,O55)</f>
        <v>0</v>
      </c>
      <c r="G55" s="4" t="s">
        <v>73</v>
      </c>
      <c r="H55" s="4" t="s">
        <v>74</v>
      </c>
      <c r="I55" s="4"/>
      <c r="J55" s="4"/>
      <c r="K55" s="4">
        <v>233</v>
      </c>
      <c r="L55" s="4">
        <v>24</v>
      </c>
      <c r="M55" s="4">
        <v>3</v>
      </c>
      <c r="N55" s="4" t="s">
        <v>3</v>
      </c>
      <c r="O55" s="4">
        <v>2</v>
      </c>
      <c r="P55" s="4"/>
      <c r="Q55" s="4"/>
      <c r="R55" s="4"/>
      <c r="S55" s="4"/>
      <c r="T55" s="4"/>
      <c r="U55" s="4"/>
      <c r="V55" s="4"/>
      <c r="W55" s="4">
        <v>0</v>
      </c>
      <c r="X55" s="4">
        <v>1</v>
      </c>
      <c r="Y55" s="4">
        <v>0</v>
      </c>
      <c r="Z55" s="4"/>
      <c r="AA55" s="4"/>
      <c r="AB55" s="4"/>
    </row>
    <row r="56" spans="1:245" x14ac:dyDescent="0.2">
      <c r="A56" s="4">
        <v>50</v>
      </c>
      <c r="B56" s="4">
        <v>0</v>
      </c>
      <c r="C56" s="4">
        <v>0</v>
      </c>
      <c r="D56" s="4">
        <v>1</v>
      </c>
      <c r="E56" s="4">
        <v>210</v>
      </c>
      <c r="F56" s="4">
        <f>ROUND(Source!X30,O56)</f>
        <v>382.63</v>
      </c>
      <c r="G56" s="4" t="s">
        <v>75</v>
      </c>
      <c r="H56" s="4" t="s">
        <v>76</v>
      </c>
      <c r="I56" s="4"/>
      <c r="J56" s="4"/>
      <c r="K56" s="4">
        <v>210</v>
      </c>
      <c r="L56" s="4">
        <v>25</v>
      </c>
      <c r="M56" s="4">
        <v>3</v>
      </c>
      <c r="N56" s="4" t="s">
        <v>3</v>
      </c>
      <c r="O56" s="4">
        <v>2</v>
      </c>
      <c r="P56" s="4"/>
      <c r="Q56" s="4"/>
      <c r="R56" s="4"/>
      <c r="S56" s="4"/>
      <c r="T56" s="4"/>
      <c r="U56" s="4"/>
      <c r="V56" s="4"/>
      <c r="W56" s="4">
        <v>382.63</v>
      </c>
      <c r="X56" s="4">
        <v>1</v>
      </c>
      <c r="Y56" s="4">
        <v>382.63</v>
      </c>
      <c r="Z56" s="4"/>
      <c r="AA56" s="4"/>
      <c r="AB56" s="4"/>
    </row>
    <row r="57" spans="1:245" x14ac:dyDescent="0.2">
      <c r="A57" s="4">
        <v>50</v>
      </c>
      <c r="B57" s="4">
        <v>0</v>
      </c>
      <c r="C57" s="4">
        <v>0</v>
      </c>
      <c r="D57" s="4">
        <v>1</v>
      </c>
      <c r="E57" s="4">
        <v>211</v>
      </c>
      <c r="F57" s="4">
        <f>ROUND(Source!Y30,O57)</f>
        <v>170.52</v>
      </c>
      <c r="G57" s="4" t="s">
        <v>77</v>
      </c>
      <c r="H57" s="4" t="s">
        <v>78</v>
      </c>
      <c r="I57" s="4"/>
      <c r="J57" s="4"/>
      <c r="K57" s="4">
        <v>211</v>
      </c>
      <c r="L57" s="4">
        <v>26</v>
      </c>
      <c r="M57" s="4">
        <v>3</v>
      </c>
      <c r="N57" s="4" t="s">
        <v>3</v>
      </c>
      <c r="O57" s="4">
        <v>2</v>
      </c>
      <c r="P57" s="4"/>
      <c r="Q57" s="4"/>
      <c r="R57" s="4"/>
      <c r="S57" s="4"/>
      <c r="T57" s="4"/>
      <c r="U57" s="4"/>
      <c r="V57" s="4"/>
      <c r="W57" s="4">
        <v>170.52</v>
      </c>
      <c r="X57" s="4">
        <v>1</v>
      </c>
      <c r="Y57" s="4">
        <v>170.52</v>
      </c>
      <c r="Z57" s="4"/>
      <c r="AA57" s="4"/>
      <c r="AB57" s="4"/>
    </row>
    <row r="58" spans="1:245" x14ac:dyDescent="0.2">
      <c r="A58" s="4">
        <v>50</v>
      </c>
      <c r="B58" s="4">
        <v>0</v>
      </c>
      <c r="C58" s="4">
        <v>0</v>
      </c>
      <c r="D58" s="4">
        <v>1</v>
      </c>
      <c r="E58" s="4">
        <v>224</v>
      </c>
      <c r="F58" s="4">
        <f>ROUND(Source!AR30,O58)</f>
        <v>980.01</v>
      </c>
      <c r="G58" s="4" t="s">
        <v>79</v>
      </c>
      <c r="H58" s="4" t="s">
        <v>80</v>
      </c>
      <c r="I58" s="4"/>
      <c r="J58" s="4"/>
      <c r="K58" s="4">
        <v>224</v>
      </c>
      <c r="L58" s="4">
        <v>27</v>
      </c>
      <c r="M58" s="4">
        <v>3</v>
      </c>
      <c r="N58" s="4" t="s">
        <v>3</v>
      </c>
      <c r="O58" s="4">
        <v>2</v>
      </c>
      <c r="P58" s="4"/>
      <c r="Q58" s="4"/>
      <c r="R58" s="4"/>
      <c r="S58" s="4"/>
      <c r="T58" s="4"/>
      <c r="U58" s="4"/>
      <c r="V58" s="4"/>
      <c r="W58" s="4">
        <v>980.01</v>
      </c>
      <c r="X58" s="4">
        <v>1</v>
      </c>
      <c r="Y58" s="4">
        <v>980.01</v>
      </c>
      <c r="Z58" s="4"/>
      <c r="AA58" s="4"/>
      <c r="AB58" s="4"/>
    </row>
    <row r="60" spans="1:245" x14ac:dyDescent="0.2">
      <c r="A60" s="1">
        <v>4</v>
      </c>
      <c r="B60" s="1">
        <v>1</v>
      </c>
      <c r="C60" s="1"/>
      <c r="D60" s="1">
        <f>ROW(A66)</f>
        <v>66</v>
      </c>
      <c r="E60" s="1"/>
      <c r="F60" s="1" t="s">
        <v>17</v>
      </c>
      <c r="G60" s="1" t="s">
        <v>81</v>
      </c>
      <c r="H60" s="1" t="s">
        <v>3</v>
      </c>
      <c r="I60" s="1">
        <v>0</v>
      </c>
      <c r="J60" s="1"/>
      <c r="K60" s="1">
        <v>0</v>
      </c>
      <c r="L60" s="1"/>
      <c r="M60" s="1" t="s">
        <v>3</v>
      </c>
      <c r="N60" s="1"/>
      <c r="O60" s="1"/>
      <c r="P60" s="1"/>
      <c r="Q60" s="1"/>
      <c r="R60" s="1"/>
      <c r="S60" s="1">
        <v>0</v>
      </c>
      <c r="T60" s="1"/>
      <c r="U60" s="1" t="s">
        <v>3</v>
      </c>
      <c r="V60" s="1">
        <v>0</v>
      </c>
      <c r="W60" s="1"/>
      <c r="X60" s="1"/>
      <c r="Y60" s="1"/>
      <c r="Z60" s="1"/>
      <c r="AA60" s="1"/>
      <c r="AB60" s="1" t="s">
        <v>3</v>
      </c>
      <c r="AC60" s="1" t="s">
        <v>3</v>
      </c>
      <c r="AD60" s="1" t="s">
        <v>3</v>
      </c>
      <c r="AE60" s="1" t="s">
        <v>3</v>
      </c>
      <c r="AF60" s="1" t="s">
        <v>3</v>
      </c>
      <c r="AG60" s="1" t="s">
        <v>3</v>
      </c>
      <c r="AH60" s="1"/>
      <c r="AI60" s="1"/>
      <c r="AJ60" s="1"/>
      <c r="AK60" s="1"/>
      <c r="AL60" s="1"/>
      <c r="AM60" s="1"/>
      <c r="AN60" s="1"/>
      <c r="AO60" s="1"/>
      <c r="AP60" s="1" t="s">
        <v>3</v>
      </c>
      <c r="AQ60" s="1" t="s">
        <v>3</v>
      </c>
      <c r="AR60" s="1" t="s">
        <v>3</v>
      </c>
      <c r="AS60" s="1"/>
      <c r="AT60" s="1"/>
      <c r="AU60" s="1"/>
      <c r="AV60" s="1"/>
      <c r="AW60" s="1"/>
      <c r="AX60" s="1"/>
      <c r="AY60" s="1"/>
      <c r="AZ60" s="1" t="s">
        <v>3</v>
      </c>
      <c r="BA60" s="1"/>
      <c r="BB60" s="1" t="s">
        <v>3</v>
      </c>
      <c r="BC60" s="1" t="s">
        <v>3</v>
      </c>
      <c r="BD60" s="1" t="s">
        <v>3</v>
      </c>
      <c r="BE60" s="1" t="s">
        <v>3</v>
      </c>
      <c r="BF60" s="1" t="s">
        <v>3</v>
      </c>
      <c r="BG60" s="1" t="s">
        <v>3</v>
      </c>
      <c r="BH60" s="1" t="s">
        <v>3</v>
      </c>
      <c r="BI60" s="1" t="s">
        <v>3</v>
      </c>
      <c r="BJ60" s="1" t="s">
        <v>3</v>
      </c>
      <c r="BK60" s="1" t="s">
        <v>3</v>
      </c>
      <c r="BL60" s="1" t="s">
        <v>3</v>
      </c>
      <c r="BM60" s="1" t="s">
        <v>3</v>
      </c>
      <c r="BN60" s="1" t="s">
        <v>3</v>
      </c>
      <c r="BO60" s="1" t="s">
        <v>3</v>
      </c>
      <c r="BP60" s="1" t="s">
        <v>3</v>
      </c>
      <c r="BQ60" s="1"/>
      <c r="BR60" s="1"/>
      <c r="BS60" s="1"/>
      <c r="BT60" s="1"/>
      <c r="BU60" s="1"/>
      <c r="BV60" s="1"/>
      <c r="BW60" s="1"/>
      <c r="BX60" s="1">
        <v>0</v>
      </c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>
        <v>0</v>
      </c>
    </row>
    <row r="62" spans="1:245" x14ac:dyDescent="0.2">
      <c r="A62" s="2">
        <v>52</v>
      </c>
      <c r="B62" s="2">
        <f t="shared" ref="B62:G62" si="23">B66</f>
        <v>1</v>
      </c>
      <c r="C62" s="2">
        <f t="shared" si="23"/>
        <v>4</v>
      </c>
      <c r="D62" s="2">
        <f t="shared" si="23"/>
        <v>60</v>
      </c>
      <c r="E62" s="2">
        <f t="shared" si="23"/>
        <v>0</v>
      </c>
      <c r="F62" s="2" t="str">
        <f t="shared" si="23"/>
        <v>Новый раздел</v>
      </c>
      <c r="G62" s="2" t="str">
        <f t="shared" si="23"/>
        <v>Оборудование</v>
      </c>
      <c r="H62" s="2"/>
      <c r="I62" s="2"/>
      <c r="J62" s="2"/>
      <c r="K62" s="2"/>
      <c r="L62" s="2"/>
      <c r="M62" s="2"/>
      <c r="N62" s="2"/>
      <c r="O62" s="2">
        <f t="shared" ref="O62:AT62" si="24">O66</f>
        <v>143262.23000000001</v>
      </c>
      <c r="P62" s="2">
        <f t="shared" si="24"/>
        <v>143262.23000000001</v>
      </c>
      <c r="Q62" s="2">
        <f t="shared" si="24"/>
        <v>0</v>
      </c>
      <c r="R62" s="2">
        <f t="shared" si="24"/>
        <v>0</v>
      </c>
      <c r="S62" s="2">
        <f t="shared" si="24"/>
        <v>0</v>
      </c>
      <c r="T62" s="2">
        <f t="shared" si="24"/>
        <v>0</v>
      </c>
      <c r="U62" s="2">
        <f t="shared" si="24"/>
        <v>0</v>
      </c>
      <c r="V62" s="2">
        <f t="shared" si="24"/>
        <v>0</v>
      </c>
      <c r="W62" s="2">
        <f t="shared" si="24"/>
        <v>0</v>
      </c>
      <c r="X62" s="2">
        <f t="shared" si="24"/>
        <v>0</v>
      </c>
      <c r="Y62" s="2">
        <f t="shared" si="24"/>
        <v>0</v>
      </c>
      <c r="Z62" s="2">
        <f t="shared" si="24"/>
        <v>0</v>
      </c>
      <c r="AA62" s="2">
        <f t="shared" si="24"/>
        <v>0</v>
      </c>
      <c r="AB62" s="2">
        <f t="shared" si="24"/>
        <v>143262.23000000001</v>
      </c>
      <c r="AC62" s="2">
        <f t="shared" si="24"/>
        <v>143262.23000000001</v>
      </c>
      <c r="AD62" s="2">
        <f t="shared" si="24"/>
        <v>0</v>
      </c>
      <c r="AE62" s="2">
        <f t="shared" si="24"/>
        <v>0</v>
      </c>
      <c r="AF62" s="2">
        <f t="shared" si="24"/>
        <v>0</v>
      </c>
      <c r="AG62" s="2">
        <f t="shared" si="24"/>
        <v>0</v>
      </c>
      <c r="AH62" s="2">
        <f t="shared" si="24"/>
        <v>0</v>
      </c>
      <c r="AI62" s="2">
        <f t="shared" si="24"/>
        <v>0</v>
      </c>
      <c r="AJ62" s="2">
        <f t="shared" si="24"/>
        <v>0</v>
      </c>
      <c r="AK62" s="2">
        <f t="shared" si="24"/>
        <v>0</v>
      </c>
      <c r="AL62" s="2">
        <f t="shared" si="24"/>
        <v>0</v>
      </c>
      <c r="AM62" s="2">
        <f t="shared" si="24"/>
        <v>0</v>
      </c>
      <c r="AN62" s="2">
        <f t="shared" si="24"/>
        <v>0</v>
      </c>
      <c r="AO62" s="2">
        <f t="shared" si="24"/>
        <v>0</v>
      </c>
      <c r="AP62" s="2">
        <f t="shared" si="24"/>
        <v>143262.23000000001</v>
      </c>
      <c r="AQ62" s="2">
        <f t="shared" si="24"/>
        <v>0</v>
      </c>
      <c r="AR62" s="2">
        <f t="shared" si="24"/>
        <v>143262.23000000001</v>
      </c>
      <c r="AS62" s="2">
        <f t="shared" si="24"/>
        <v>0</v>
      </c>
      <c r="AT62" s="2">
        <f t="shared" si="24"/>
        <v>0</v>
      </c>
      <c r="AU62" s="2">
        <f t="shared" ref="AU62:BZ62" si="25">AU66</f>
        <v>0</v>
      </c>
      <c r="AV62" s="2">
        <f t="shared" si="25"/>
        <v>143262.23000000001</v>
      </c>
      <c r="AW62" s="2">
        <f t="shared" si="25"/>
        <v>0</v>
      </c>
      <c r="AX62" s="2">
        <f t="shared" si="25"/>
        <v>0</v>
      </c>
      <c r="AY62" s="2">
        <f t="shared" si="25"/>
        <v>0</v>
      </c>
      <c r="AZ62" s="2">
        <f t="shared" si="25"/>
        <v>143262.23000000001</v>
      </c>
      <c r="BA62" s="2">
        <f t="shared" si="25"/>
        <v>0</v>
      </c>
      <c r="BB62" s="2">
        <f t="shared" si="25"/>
        <v>0</v>
      </c>
      <c r="BC62" s="2">
        <f t="shared" si="25"/>
        <v>0</v>
      </c>
      <c r="BD62" s="2">
        <f t="shared" si="25"/>
        <v>0</v>
      </c>
      <c r="BE62" s="2">
        <f t="shared" si="25"/>
        <v>0</v>
      </c>
      <c r="BF62" s="2">
        <f t="shared" si="25"/>
        <v>0</v>
      </c>
      <c r="BG62" s="2">
        <f t="shared" si="25"/>
        <v>0</v>
      </c>
      <c r="BH62" s="2">
        <f t="shared" si="25"/>
        <v>0</v>
      </c>
      <c r="BI62" s="2">
        <f t="shared" si="25"/>
        <v>0</v>
      </c>
      <c r="BJ62" s="2">
        <f t="shared" si="25"/>
        <v>0</v>
      </c>
      <c r="BK62" s="2">
        <f t="shared" si="25"/>
        <v>0</v>
      </c>
      <c r="BL62" s="2">
        <f t="shared" si="25"/>
        <v>0</v>
      </c>
      <c r="BM62" s="2">
        <f t="shared" si="25"/>
        <v>0</v>
      </c>
      <c r="BN62" s="2">
        <f t="shared" si="25"/>
        <v>0</v>
      </c>
      <c r="BO62" s="2">
        <f t="shared" si="25"/>
        <v>0</v>
      </c>
      <c r="BP62" s="2">
        <f t="shared" si="25"/>
        <v>0</v>
      </c>
      <c r="BQ62" s="2">
        <f t="shared" si="25"/>
        <v>0</v>
      </c>
      <c r="BR62" s="2">
        <f t="shared" si="25"/>
        <v>0</v>
      </c>
      <c r="BS62" s="2">
        <f t="shared" si="25"/>
        <v>0</v>
      </c>
      <c r="BT62" s="2">
        <f t="shared" si="25"/>
        <v>0</v>
      </c>
      <c r="BU62" s="2">
        <f t="shared" si="25"/>
        <v>0</v>
      </c>
      <c r="BV62" s="2">
        <f t="shared" si="25"/>
        <v>0</v>
      </c>
      <c r="BW62" s="2">
        <f t="shared" si="25"/>
        <v>0</v>
      </c>
      <c r="BX62" s="2">
        <f t="shared" si="25"/>
        <v>0</v>
      </c>
      <c r="BY62" s="2">
        <f t="shared" si="25"/>
        <v>143262.23000000001</v>
      </c>
      <c r="BZ62" s="2">
        <f t="shared" si="25"/>
        <v>0</v>
      </c>
      <c r="CA62" s="2">
        <f t="shared" ref="CA62:DF62" si="26">CA66</f>
        <v>143262.23000000001</v>
      </c>
      <c r="CB62" s="2">
        <f t="shared" si="26"/>
        <v>0</v>
      </c>
      <c r="CC62" s="2">
        <f t="shared" si="26"/>
        <v>0</v>
      </c>
      <c r="CD62" s="2">
        <f t="shared" si="26"/>
        <v>0</v>
      </c>
      <c r="CE62" s="2">
        <f t="shared" si="26"/>
        <v>143262.23000000001</v>
      </c>
      <c r="CF62" s="2">
        <f t="shared" si="26"/>
        <v>0</v>
      </c>
      <c r="CG62" s="2">
        <f t="shared" si="26"/>
        <v>0</v>
      </c>
      <c r="CH62" s="2">
        <f t="shared" si="26"/>
        <v>0</v>
      </c>
      <c r="CI62" s="2">
        <f t="shared" si="26"/>
        <v>143262.23000000001</v>
      </c>
      <c r="CJ62" s="2">
        <f t="shared" si="26"/>
        <v>0</v>
      </c>
      <c r="CK62" s="2">
        <f t="shared" si="26"/>
        <v>0</v>
      </c>
      <c r="CL62" s="2">
        <f t="shared" si="26"/>
        <v>0</v>
      </c>
      <c r="CM62" s="2">
        <f t="shared" si="26"/>
        <v>0</v>
      </c>
      <c r="CN62" s="2">
        <f t="shared" si="26"/>
        <v>0</v>
      </c>
      <c r="CO62" s="2">
        <f t="shared" si="26"/>
        <v>0</v>
      </c>
      <c r="CP62" s="2">
        <f t="shared" si="26"/>
        <v>0</v>
      </c>
      <c r="CQ62" s="2">
        <f t="shared" si="26"/>
        <v>0</v>
      </c>
      <c r="CR62" s="2">
        <f t="shared" si="26"/>
        <v>0</v>
      </c>
      <c r="CS62" s="2">
        <f t="shared" si="26"/>
        <v>0</v>
      </c>
      <c r="CT62" s="2">
        <f t="shared" si="26"/>
        <v>0</v>
      </c>
      <c r="CU62" s="2">
        <f t="shared" si="26"/>
        <v>0</v>
      </c>
      <c r="CV62" s="2">
        <f t="shared" si="26"/>
        <v>0</v>
      </c>
      <c r="CW62" s="2">
        <f t="shared" si="26"/>
        <v>0</v>
      </c>
      <c r="CX62" s="2">
        <f t="shared" si="26"/>
        <v>0</v>
      </c>
      <c r="CY62" s="2">
        <f t="shared" si="26"/>
        <v>0</v>
      </c>
      <c r="CZ62" s="2">
        <f t="shared" si="26"/>
        <v>0</v>
      </c>
      <c r="DA62" s="2">
        <f t="shared" si="26"/>
        <v>0</v>
      </c>
      <c r="DB62" s="2">
        <f t="shared" si="26"/>
        <v>0</v>
      </c>
      <c r="DC62" s="2">
        <f t="shared" si="26"/>
        <v>0</v>
      </c>
      <c r="DD62" s="2">
        <f t="shared" si="26"/>
        <v>0</v>
      </c>
      <c r="DE62" s="2">
        <f t="shared" si="26"/>
        <v>0</v>
      </c>
      <c r="DF62" s="2">
        <f t="shared" si="26"/>
        <v>0</v>
      </c>
      <c r="DG62" s="3">
        <f t="shared" ref="DG62:EL62" si="27">DG66</f>
        <v>0</v>
      </c>
      <c r="DH62" s="3">
        <f t="shared" si="27"/>
        <v>0</v>
      </c>
      <c r="DI62" s="3">
        <f t="shared" si="27"/>
        <v>0</v>
      </c>
      <c r="DJ62" s="3">
        <f t="shared" si="27"/>
        <v>0</v>
      </c>
      <c r="DK62" s="3">
        <f t="shared" si="27"/>
        <v>0</v>
      </c>
      <c r="DL62" s="3">
        <f t="shared" si="27"/>
        <v>0</v>
      </c>
      <c r="DM62" s="3">
        <f t="shared" si="27"/>
        <v>0</v>
      </c>
      <c r="DN62" s="3">
        <f t="shared" si="27"/>
        <v>0</v>
      </c>
      <c r="DO62" s="3">
        <f t="shared" si="27"/>
        <v>0</v>
      </c>
      <c r="DP62" s="3">
        <f t="shared" si="27"/>
        <v>0</v>
      </c>
      <c r="DQ62" s="3">
        <f t="shared" si="27"/>
        <v>0</v>
      </c>
      <c r="DR62" s="3">
        <f t="shared" si="27"/>
        <v>0</v>
      </c>
      <c r="DS62" s="3">
        <f t="shared" si="27"/>
        <v>0</v>
      </c>
      <c r="DT62" s="3">
        <f t="shared" si="27"/>
        <v>0</v>
      </c>
      <c r="DU62" s="3">
        <f t="shared" si="27"/>
        <v>0</v>
      </c>
      <c r="DV62" s="3">
        <f t="shared" si="27"/>
        <v>0</v>
      </c>
      <c r="DW62" s="3">
        <f t="shared" si="27"/>
        <v>0</v>
      </c>
      <c r="DX62" s="3">
        <f t="shared" si="27"/>
        <v>0</v>
      </c>
      <c r="DY62" s="3">
        <f t="shared" si="27"/>
        <v>0</v>
      </c>
      <c r="DZ62" s="3">
        <f t="shared" si="27"/>
        <v>0</v>
      </c>
      <c r="EA62" s="3">
        <f t="shared" si="27"/>
        <v>0</v>
      </c>
      <c r="EB62" s="3">
        <f t="shared" si="27"/>
        <v>0</v>
      </c>
      <c r="EC62" s="3">
        <f t="shared" si="27"/>
        <v>0</v>
      </c>
      <c r="ED62" s="3">
        <f t="shared" si="27"/>
        <v>0</v>
      </c>
      <c r="EE62" s="3">
        <f t="shared" si="27"/>
        <v>0</v>
      </c>
      <c r="EF62" s="3">
        <f t="shared" si="27"/>
        <v>0</v>
      </c>
      <c r="EG62" s="3">
        <f t="shared" si="27"/>
        <v>0</v>
      </c>
      <c r="EH62" s="3">
        <f t="shared" si="27"/>
        <v>0</v>
      </c>
      <c r="EI62" s="3">
        <f t="shared" si="27"/>
        <v>0</v>
      </c>
      <c r="EJ62" s="3">
        <f t="shared" si="27"/>
        <v>0</v>
      </c>
      <c r="EK62" s="3">
        <f t="shared" si="27"/>
        <v>0</v>
      </c>
      <c r="EL62" s="3">
        <f t="shared" si="27"/>
        <v>0</v>
      </c>
      <c r="EM62" s="3">
        <f t="shared" ref="EM62:FR62" si="28">EM66</f>
        <v>0</v>
      </c>
      <c r="EN62" s="3">
        <f t="shared" si="28"/>
        <v>0</v>
      </c>
      <c r="EO62" s="3">
        <f t="shared" si="28"/>
        <v>0</v>
      </c>
      <c r="EP62" s="3">
        <f t="shared" si="28"/>
        <v>0</v>
      </c>
      <c r="EQ62" s="3">
        <f t="shared" si="28"/>
        <v>0</v>
      </c>
      <c r="ER62" s="3">
        <f t="shared" si="28"/>
        <v>0</v>
      </c>
      <c r="ES62" s="3">
        <f t="shared" si="28"/>
        <v>0</v>
      </c>
      <c r="ET62" s="3">
        <f t="shared" si="28"/>
        <v>0</v>
      </c>
      <c r="EU62" s="3">
        <f t="shared" si="28"/>
        <v>0</v>
      </c>
      <c r="EV62" s="3">
        <f t="shared" si="28"/>
        <v>0</v>
      </c>
      <c r="EW62" s="3">
        <f t="shared" si="28"/>
        <v>0</v>
      </c>
      <c r="EX62" s="3">
        <f t="shared" si="28"/>
        <v>0</v>
      </c>
      <c r="EY62" s="3">
        <f t="shared" si="28"/>
        <v>0</v>
      </c>
      <c r="EZ62" s="3">
        <f t="shared" si="28"/>
        <v>0</v>
      </c>
      <c r="FA62" s="3">
        <f t="shared" si="28"/>
        <v>0</v>
      </c>
      <c r="FB62" s="3">
        <f t="shared" si="28"/>
        <v>0</v>
      </c>
      <c r="FC62" s="3">
        <f t="shared" si="28"/>
        <v>0</v>
      </c>
      <c r="FD62" s="3">
        <f t="shared" si="28"/>
        <v>0</v>
      </c>
      <c r="FE62" s="3">
        <f t="shared" si="28"/>
        <v>0</v>
      </c>
      <c r="FF62" s="3">
        <f t="shared" si="28"/>
        <v>0</v>
      </c>
      <c r="FG62" s="3">
        <f t="shared" si="28"/>
        <v>0</v>
      </c>
      <c r="FH62" s="3">
        <f t="shared" si="28"/>
        <v>0</v>
      </c>
      <c r="FI62" s="3">
        <f t="shared" si="28"/>
        <v>0</v>
      </c>
      <c r="FJ62" s="3">
        <f t="shared" si="28"/>
        <v>0</v>
      </c>
      <c r="FK62" s="3">
        <f t="shared" si="28"/>
        <v>0</v>
      </c>
      <c r="FL62" s="3">
        <f t="shared" si="28"/>
        <v>0</v>
      </c>
      <c r="FM62" s="3">
        <f t="shared" si="28"/>
        <v>0</v>
      </c>
      <c r="FN62" s="3">
        <f t="shared" si="28"/>
        <v>0</v>
      </c>
      <c r="FO62" s="3">
        <f t="shared" si="28"/>
        <v>0</v>
      </c>
      <c r="FP62" s="3">
        <f t="shared" si="28"/>
        <v>0</v>
      </c>
      <c r="FQ62" s="3">
        <f t="shared" si="28"/>
        <v>0</v>
      </c>
      <c r="FR62" s="3">
        <f t="shared" si="28"/>
        <v>0</v>
      </c>
      <c r="FS62" s="3">
        <f t="shared" ref="FS62:GX62" si="29">FS66</f>
        <v>0</v>
      </c>
      <c r="FT62" s="3">
        <f t="shared" si="29"/>
        <v>0</v>
      </c>
      <c r="FU62" s="3">
        <f t="shared" si="29"/>
        <v>0</v>
      </c>
      <c r="FV62" s="3">
        <f t="shared" si="29"/>
        <v>0</v>
      </c>
      <c r="FW62" s="3">
        <f t="shared" si="29"/>
        <v>0</v>
      </c>
      <c r="FX62" s="3">
        <f t="shared" si="29"/>
        <v>0</v>
      </c>
      <c r="FY62" s="3">
        <f t="shared" si="29"/>
        <v>0</v>
      </c>
      <c r="FZ62" s="3">
        <f t="shared" si="29"/>
        <v>0</v>
      </c>
      <c r="GA62" s="3">
        <f t="shared" si="29"/>
        <v>0</v>
      </c>
      <c r="GB62" s="3">
        <f t="shared" si="29"/>
        <v>0</v>
      </c>
      <c r="GC62" s="3">
        <f t="shared" si="29"/>
        <v>0</v>
      </c>
      <c r="GD62" s="3">
        <f t="shared" si="29"/>
        <v>0</v>
      </c>
      <c r="GE62" s="3">
        <f t="shared" si="29"/>
        <v>0</v>
      </c>
      <c r="GF62" s="3">
        <f t="shared" si="29"/>
        <v>0</v>
      </c>
      <c r="GG62" s="3">
        <f t="shared" si="29"/>
        <v>0</v>
      </c>
      <c r="GH62" s="3">
        <f t="shared" si="29"/>
        <v>0</v>
      </c>
      <c r="GI62" s="3">
        <f t="shared" si="29"/>
        <v>0</v>
      </c>
      <c r="GJ62" s="3">
        <f t="shared" si="29"/>
        <v>0</v>
      </c>
      <c r="GK62" s="3">
        <f t="shared" si="29"/>
        <v>0</v>
      </c>
      <c r="GL62" s="3">
        <f t="shared" si="29"/>
        <v>0</v>
      </c>
      <c r="GM62" s="3">
        <f t="shared" si="29"/>
        <v>0</v>
      </c>
      <c r="GN62" s="3">
        <f t="shared" si="29"/>
        <v>0</v>
      </c>
      <c r="GO62" s="3">
        <f t="shared" si="29"/>
        <v>0</v>
      </c>
      <c r="GP62" s="3">
        <f t="shared" si="29"/>
        <v>0</v>
      </c>
      <c r="GQ62" s="3">
        <f t="shared" si="29"/>
        <v>0</v>
      </c>
      <c r="GR62" s="3">
        <f t="shared" si="29"/>
        <v>0</v>
      </c>
      <c r="GS62" s="3">
        <f t="shared" si="29"/>
        <v>0</v>
      </c>
      <c r="GT62" s="3">
        <f t="shared" si="29"/>
        <v>0</v>
      </c>
      <c r="GU62" s="3">
        <f t="shared" si="29"/>
        <v>0</v>
      </c>
      <c r="GV62" s="3">
        <f t="shared" si="29"/>
        <v>0</v>
      </c>
      <c r="GW62" s="3">
        <f t="shared" si="29"/>
        <v>0</v>
      </c>
      <c r="GX62" s="3">
        <f t="shared" si="29"/>
        <v>0</v>
      </c>
    </row>
    <row r="64" spans="1:245" x14ac:dyDescent="0.2">
      <c r="A64">
        <v>17</v>
      </c>
      <c r="B64">
        <v>1</v>
      </c>
      <c r="E64" t="s">
        <v>82</v>
      </c>
      <c r="F64" t="s">
        <v>83</v>
      </c>
      <c r="G64" t="s">
        <v>84</v>
      </c>
      <c r="H64" t="s">
        <v>85</v>
      </c>
      <c r="I64">
        <v>1</v>
      </c>
      <c r="J64">
        <v>0</v>
      </c>
      <c r="K64">
        <v>1</v>
      </c>
      <c r="O64">
        <f>ROUND(CP64,2)</f>
        <v>143262.23000000001</v>
      </c>
      <c r="P64">
        <f>ROUND((ROUND((AC64*AW64*I64),2)*BC64),2)</f>
        <v>143262.23000000001</v>
      </c>
      <c r="Q64">
        <f>(ROUND((ROUND(((ET64)*AV64*I64),2)*BB64),2)+ROUND((ROUND(((AE64-(EU64))*AV64*I64),2)*BS64),2))</f>
        <v>0</v>
      </c>
      <c r="R64">
        <f>ROUND((ROUND((AE64*AV64*I64),2)*BS64),2)</f>
        <v>0</v>
      </c>
      <c r="S64">
        <f>ROUND((ROUND((AF64*AV64*I64),2)*BA64),2)</f>
        <v>0</v>
      </c>
      <c r="T64">
        <f>ROUND(CU64*I64,2)</f>
        <v>0</v>
      </c>
      <c r="U64">
        <f>CV64*I64</f>
        <v>0</v>
      </c>
      <c r="V64">
        <f>CW64*I64</f>
        <v>0</v>
      </c>
      <c r="W64">
        <f>ROUND(CX64*I64,2)</f>
        <v>0</v>
      </c>
      <c r="X64">
        <f>ROUND(CY64,2)</f>
        <v>0</v>
      </c>
      <c r="Y64">
        <f>ROUND(CZ64,2)</f>
        <v>0</v>
      </c>
      <c r="AA64">
        <v>51975038</v>
      </c>
      <c r="AB64">
        <f>ROUND((AC64+AD64+AF64),6)</f>
        <v>20149.400000000001</v>
      </c>
      <c r="AC64">
        <f>ROUND((ES64),6)</f>
        <v>20149.400000000001</v>
      </c>
      <c r="AD64">
        <f>ROUND((((ET64)-(EU64))+AE64),6)</f>
        <v>0</v>
      </c>
      <c r="AE64">
        <f>ROUND((EU64),6)</f>
        <v>0</v>
      </c>
      <c r="AF64">
        <f>ROUND((EV64),6)</f>
        <v>0</v>
      </c>
      <c r="AG64">
        <f>ROUND((AP64),6)</f>
        <v>0</v>
      </c>
      <c r="AH64">
        <f>(EW64)</f>
        <v>0</v>
      </c>
      <c r="AI64">
        <f>(EX64)</f>
        <v>0</v>
      </c>
      <c r="AJ64">
        <f>(AS64)</f>
        <v>0</v>
      </c>
      <c r="AK64">
        <v>20149.399999999998</v>
      </c>
      <c r="AL64">
        <v>20149.399999999998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1</v>
      </c>
      <c r="AW64">
        <v>1</v>
      </c>
      <c r="AZ64">
        <v>1</v>
      </c>
      <c r="BA64">
        <v>1</v>
      </c>
      <c r="BB64">
        <v>1</v>
      </c>
      <c r="BC64">
        <v>7.11</v>
      </c>
      <c r="BD64" t="s">
        <v>3</v>
      </c>
      <c r="BE64" t="s">
        <v>3</v>
      </c>
      <c r="BF64" t="s">
        <v>3</v>
      </c>
      <c r="BG64" t="s">
        <v>3</v>
      </c>
      <c r="BH64">
        <v>3</v>
      </c>
      <c r="BI64">
        <v>3</v>
      </c>
      <c r="BJ64" t="s">
        <v>3</v>
      </c>
      <c r="BM64">
        <v>400002</v>
      </c>
      <c r="BN64">
        <v>0</v>
      </c>
      <c r="BO64" t="s">
        <v>3</v>
      </c>
      <c r="BP64">
        <v>0</v>
      </c>
      <c r="BQ64">
        <v>202</v>
      </c>
      <c r="BR64">
        <v>0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 t="s">
        <v>3</v>
      </c>
      <c r="BZ64">
        <v>0</v>
      </c>
      <c r="CA64">
        <v>0</v>
      </c>
      <c r="CB64" t="s">
        <v>3</v>
      </c>
      <c r="CE64">
        <v>30</v>
      </c>
      <c r="CF64">
        <v>0</v>
      </c>
      <c r="CG64">
        <v>0</v>
      </c>
      <c r="CM64">
        <v>0</v>
      </c>
      <c r="CN64" t="s">
        <v>3</v>
      </c>
      <c r="CO64">
        <v>0</v>
      </c>
      <c r="CP64">
        <f>(P64+Q64+S64)</f>
        <v>143262.23000000001</v>
      </c>
      <c r="CQ64">
        <f>ROUND((ROUND((AC64*AW64*1),2)*BC64),2)</f>
        <v>143262.23000000001</v>
      </c>
      <c r="CR64">
        <f>(ROUND((ROUND(((ET64)*AV64*1),2)*BB64),2)+ROUND((ROUND(((AE64-(EU64))*AV64*1),2)*BS64),2))</f>
        <v>0</v>
      </c>
      <c r="CS64">
        <f>ROUND((ROUND((AE64*AV64*1),2)*BS64),2)</f>
        <v>0</v>
      </c>
      <c r="CT64">
        <f>ROUND((ROUND((AF64*AV64*1),2)*BA64),2)</f>
        <v>0</v>
      </c>
      <c r="CU64">
        <f>AG64</f>
        <v>0</v>
      </c>
      <c r="CV64">
        <f>(AH64*AV64)</f>
        <v>0</v>
      </c>
      <c r="CW64">
        <f>AI64</f>
        <v>0</v>
      </c>
      <c r="CX64">
        <f>AJ64</f>
        <v>0</v>
      </c>
      <c r="CY64">
        <f>S64*(BZ64/100)</f>
        <v>0</v>
      </c>
      <c r="CZ64">
        <f>S64*(CA64/100)</f>
        <v>0</v>
      </c>
      <c r="DC64" t="s">
        <v>3</v>
      </c>
      <c r="DD64" t="s">
        <v>3</v>
      </c>
      <c r="DE64" t="s">
        <v>3</v>
      </c>
      <c r="DF64" t="s">
        <v>3</v>
      </c>
      <c r="DG64" t="s">
        <v>3</v>
      </c>
      <c r="DH64" t="s">
        <v>3</v>
      </c>
      <c r="DI64" t="s">
        <v>3</v>
      </c>
      <c r="DJ64" t="s">
        <v>3</v>
      </c>
      <c r="DK64" t="s">
        <v>3</v>
      </c>
      <c r="DL64" t="s">
        <v>3</v>
      </c>
      <c r="DM64" t="s">
        <v>3</v>
      </c>
      <c r="DN64">
        <v>0</v>
      </c>
      <c r="DO64">
        <v>0</v>
      </c>
      <c r="DP64">
        <v>1</v>
      </c>
      <c r="DQ64">
        <v>1</v>
      </c>
      <c r="DU64">
        <v>1010</v>
      </c>
      <c r="DV64" t="s">
        <v>85</v>
      </c>
      <c r="DW64" t="s">
        <v>85</v>
      </c>
      <c r="DX64">
        <v>1</v>
      </c>
      <c r="DZ64" t="s">
        <v>3</v>
      </c>
      <c r="EA64" t="s">
        <v>3</v>
      </c>
      <c r="EB64" t="s">
        <v>3</v>
      </c>
      <c r="EC64" t="s">
        <v>3</v>
      </c>
      <c r="EE64">
        <v>51356608</v>
      </c>
      <c r="EF64">
        <v>202</v>
      </c>
      <c r="EG64" t="s">
        <v>86</v>
      </c>
      <c r="EH64">
        <v>0</v>
      </c>
      <c r="EI64" t="s">
        <v>3</v>
      </c>
      <c r="EJ64">
        <v>1</v>
      </c>
      <c r="EK64">
        <v>400002</v>
      </c>
      <c r="EL64" t="s">
        <v>87</v>
      </c>
      <c r="EM64" t="s">
        <v>86</v>
      </c>
      <c r="EO64" t="s">
        <v>3</v>
      </c>
      <c r="EQ64">
        <v>131072</v>
      </c>
      <c r="ER64">
        <v>20149.399999999998</v>
      </c>
      <c r="ES64">
        <v>20149.399999999998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5</v>
      </c>
      <c r="FC64">
        <v>0</v>
      </c>
      <c r="FD64">
        <v>18</v>
      </c>
      <c r="FF64">
        <v>137440.22</v>
      </c>
      <c r="FQ64">
        <v>0</v>
      </c>
      <c r="FR64">
        <f>ROUND(IF(BI64=3,GM64,0),2)</f>
        <v>143262.23000000001</v>
      </c>
      <c r="FS64">
        <v>0</v>
      </c>
      <c r="FX64">
        <v>0</v>
      </c>
      <c r="FY64">
        <v>0</v>
      </c>
      <c r="GA64" t="s">
        <v>88</v>
      </c>
      <c r="GD64">
        <v>0</v>
      </c>
      <c r="GF64">
        <v>813622911</v>
      </c>
      <c r="GG64">
        <v>2</v>
      </c>
      <c r="GH64">
        <v>3</v>
      </c>
      <c r="GI64">
        <v>3</v>
      </c>
      <c r="GJ64">
        <v>0</v>
      </c>
      <c r="GK64">
        <f>ROUND(R64*(R12)/100,2)</f>
        <v>0</v>
      </c>
      <c r="GL64">
        <f>ROUND(IF(AND(BH64=3,BI64=3,FS64&lt;&gt;0),P64,0),2)</f>
        <v>0</v>
      </c>
      <c r="GM64">
        <f>ROUND(O64+X64+Y64+GK64,2)+GX64</f>
        <v>143262.23000000001</v>
      </c>
      <c r="GN64">
        <f>IF(OR(BI64=0,BI64=1),GM64-GX64,0)</f>
        <v>0</v>
      </c>
      <c r="GO64">
        <f>IF(BI64=2,GM64-GX64,0)</f>
        <v>0</v>
      </c>
      <c r="GP64">
        <f>IF(BI64=4,GM64-GX64,0)</f>
        <v>0</v>
      </c>
      <c r="GR64">
        <v>1</v>
      </c>
      <c r="GS64">
        <v>1</v>
      </c>
      <c r="GT64">
        <v>0</v>
      </c>
      <c r="GU64" t="s">
        <v>3</v>
      </c>
      <c r="GV64">
        <f>ROUND((GT64),6)</f>
        <v>0</v>
      </c>
      <c r="GW64">
        <v>1</v>
      </c>
      <c r="GX64">
        <f>ROUND(HC64*I64,2)</f>
        <v>0</v>
      </c>
      <c r="HA64">
        <v>0</v>
      </c>
      <c r="HB64">
        <v>0</v>
      </c>
      <c r="HC64">
        <f>GV64*GW64</f>
        <v>0</v>
      </c>
      <c r="HE64" t="s">
        <v>89</v>
      </c>
      <c r="HF64" t="s">
        <v>90</v>
      </c>
      <c r="HM64" t="s">
        <v>3</v>
      </c>
      <c r="HN64" t="s">
        <v>3</v>
      </c>
      <c r="HO64" t="s">
        <v>3</v>
      </c>
      <c r="HP64" t="s">
        <v>3</v>
      </c>
      <c r="HQ64" t="s">
        <v>3</v>
      </c>
      <c r="IK64">
        <v>0</v>
      </c>
    </row>
    <row r="66" spans="1:206" x14ac:dyDescent="0.2">
      <c r="A66" s="2">
        <v>51</v>
      </c>
      <c r="B66" s="2">
        <f>B60</f>
        <v>1</v>
      </c>
      <c r="C66" s="2">
        <f>A60</f>
        <v>4</v>
      </c>
      <c r="D66" s="2">
        <f>ROW(A60)</f>
        <v>60</v>
      </c>
      <c r="E66" s="2"/>
      <c r="F66" s="2" t="str">
        <f>IF(F60&lt;&gt;"",F60,"")</f>
        <v>Новый раздел</v>
      </c>
      <c r="G66" s="2" t="str">
        <f>IF(G60&lt;&gt;"",G60,"")</f>
        <v>Оборудование</v>
      </c>
      <c r="H66" s="2">
        <v>0</v>
      </c>
      <c r="I66" s="2"/>
      <c r="J66" s="2"/>
      <c r="K66" s="2"/>
      <c r="L66" s="2"/>
      <c r="M66" s="2"/>
      <c r="N66" s="2"/>
      <c r="O66" s="2">
        <f t="shared" ref="O66:T66" si="30">ROUND(AB66,2)</f>
        <v>143262.23000000001</v>
      </c>
      <c r="P66" s="2">
        <f t="shared" si="30"/>
        <v>143262.23000000001</v>
      </c>
      <c r="Q66" s="2">
        <f t="shared" si="30"/>
        <v>0</v>
      </c>
      <c r="R66" s="2">
        <f t="shared" si="30"/>
        <v>0</v>
      </c>
      <c r="S66" s="2">
        <f t="shared" si="30"/>
        <v>0</v>
      </c>
      <c r="T66" s="2">
        <f t="shared" si="30"/>
        <v>0</v>
      </c>
      <c r="U66" s="2">
        <f>AH66</f>
        <v>0</v>
      </c>
      <c r="V66" s="2">
        <f>AI66</f>
        <v>0</v>
      </c>
      <c r="W66" s="2">
        <f>ROUND(AJ66,2)</f>
        <v>0</v>
      </c>
      <c r="X66" s="2">
        <f>ROUND(AK66,2)</f>
        <v>0</v>
      </c>
      <c r="Y66" s="2">
        <f>ROUND(AL66,2)</f>
        <v>0</v>
      </c>
      <c r="Z66" s="2"/>
      <c r="AA66" s="2"/>
      <c r="AB66" s="2">
        <f>ROUND(SUMIF(AA64:AA64,"=51975038",O64:O64),2)</f>
        <v>143262.23000000001</v>
      </c>
      <c r="AC66" s="2">
        <f>ROUND(SUMIF(AA64:AA64,"=51975038",P64:P64),2)</f>
        <v>143262.23000000001</v>
      </c>
      <c r="AD66" s="2">
        <f>ROUND(SUMIF(AA64:AA64,"=51975038",Q64:Q64),2)</f>
        <v>0</v>
      </c>
      <c r="AE66" s="2">
        <f>ROUND(SUMIF(AA64:AA64,"=51975038",R64:R64),2)</f>
        <v>0</v>
      </c>
      <c r="AF66" s="2">
        <f>ROUND(SUMIF(AA64:AA64,"=51975038",S64:S64),2)</f>
        <v>0</v>
      </c>
      <c r="AG66" s="2">
        <f>ROUND(SUMIF(AA64:AA64,"=51975038",T64:T64),2)</f>
        <v>0</v>
      </c>
      <c r="AH66" s="2">
        <f>SUMIF(AA64:AA64,"=51975038",U64:U64)</f>
        <v>0</v>
      </c>
      <c r="AI66" s="2">
        <f>SUMIF(AA64:AA64,"=51975038",V64:V64)</f>
        <v>0</v>
      </c>
      <c r="AJ66" s="2">
        <f>ROUND(SUMIF(AA64:AA64,"=51975038",W64:W64),2)</f>
        <v>0</v>
      </c>
      <c r="AK66" s="2">
        <f>ROUND(SUMIF(AA64:AA64,"=51975038",X64:X64),2)</f>
        <v>0</v>
      </c>
      <c r="AL66" s="2">
        <f>ROUND(SUMIF(AA64:AA64,"=51975038",Y64:Y64),2)</f>
        <v>0</v>
      </c>
      <c r="AM66" s="2"/>
      <c r="AN66" s="2"/>
      <c r="AO66" s="2">
        <f t="shared" ref="AO66:BD66" si="31">ROUND(BX66,2)</f>
        <v>0</v>
      </c>
      <c r="AP66" s="2">
        <f t="shared" si="31"/>
        <v>143262.23000000001</v>
      </c>
      <c r="AQ66" s="2">
        <f t="shared" si="31"/>
        <v>0</v>
      </c>
      <c r="AR66" s="2">
        <f t="shared" si="31"/>
        <v>143262.23000000001</v>
      </c>
      <c r="AS66" s="2">
        <f t="shared" si="31"/>
        <v>0</v>
      </c>
      <c r="AT66" s="2">
        <f t="shared" si="31"/>
        <v>0</v>
      </c>
      <c r="AU66" s="2">
        <f t="shared" si="31"/>
        <v>0</v>
      </c>
      <c r="AV66" s="2">
        <f t="shared" si="31"/>
        <v>143262.23000000001</v>
      </c>
      <c r="AW66" s="2">
        <f t="shared" si="31"/>
        <v>0</v>
      </c>
      <c r="AX66" s="2">
        <f t="shared" si="31"/>
        <v>0</v>
      </c>
      <c r="AY66" s="2">
        <f t="shared" si="31"/>
        <v>0</v>
      </c>
      <c r="AZ66" s="2">
        <f t="shared" si="31"/>
        <v>143262.23000000001</v>
      </c>
      <c r="BA66" s="2">
        <f t="shared" si="31"/>
        <v>0</v>
      </c>
      <c r="BB66" s="2">
        <f t="shared" si="31"/>
        <v>0</v>
      </c>
      <c r="BC66" s="2">
        <f t="shared" si="31"/>
        <v>0</v>
      </c>
      <c r="BD66" s="2">
        <f t="shared" si="31"/>
        <v>0</v>
      </c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>
        <f>ROUND(SUMIF(AA64:AA64,"=51975038",FQ64:FQ64),2)</f>
        <v>0</v>
      </c>
      <c r="BY66" s="2">
        <f>ROUND(SUMIF(AA64:AA64,"=51975038",FR64:FR64),2)</f>
        <v>143262.23000000001</v>
      </c>
      <c r="BZ66" s="2">
        <f>ROUND(SUMIF(AA64:AA64,"=51975038",GL64:GL64),2)</f>
        <v>0</v>
      </c>
      <c r="CA66" s="2">
        <f>ROUND(SUMIF(AA64:AA64,"=51975038",GM64:GM64),2)</f>
        <v>143262.23000000001</v>
      </c>
      <c r="CB66" s="2">
        <f>ROUND(SUMIF(AA64:AA64,"=51975038",GN64:GN64),2)</f>
        <v>0</v>
      </c>
      <c r="CC66" s="2">
        <f>ROUND(SUMIF(AA64:AA64,"=51975038",GO64:GO64),2)</f>
        <v>0</v>
      </c>
      <c r="CD66" s="2">
        <f>ROUND(SUMIF(AA64:AA64,"=51975038",GP64:GP64),2)</f>
        <v>0</v>
      </c>
      <c r="CE66" s="2">
        <f>AC66-BX66</f>
        <v>143262.23000000001</v>
      </c>
      <c r="CF66" s="2">
        <f>AC66-BY66</f>
        <v>0</v>
      </c>
      <c r="CG66" s="2">
        <f>BX66-BZ66</f>
        <v>0</v>
      </c>
      <c r="CH66" s="2">
        <f>AC66-BX66-BY66+BZ66</f>
        <v>0</v>
      </c>
      <c r="CI66" s="2">
        <f>BY66-BZ66</f>
        <v>143262.23000000001</v>
      </c>
      <c r="CJ66" s="2">
        <f>ROUND(SUMIF(AA64:AA64,"=51975038",GX64:GX64),2)</f>
        <v>0</v>
      </c>
      <c r="CK66" s="2">
        <f>ROUND(SUMIF(AA64:AA64,"=51975038",GY64:GY64),2)</f>
        <v>0</v>
      </c>
      <c r="CL66" s="2">
        <f>ROUND(SUMIF(AA64:AA64,"=51975038",GZ64:GZ64),2)</f>
        <v>0</v>
      </c>
      <c r="CM66" s="2">
        <f>ROUND(SUMIF(AA64:AA64,"=51975038",HD64:HD64),2)</f>
        <v>0</v>
      </c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>
        <v>0</v>
      </c>
    </row>
    <row r="68" spans="1:206" x14ac:dyDescent="0.2">
      <c r="A68" s="4">
        <v>50</v>
      </c>
      <c r="B68" s="4">
        <v>0</v>
      </c>
      <c r="C68" s="4">
        <v>0</v>
      </c>
      <c r="D68" s="4">
        <v>1</v>
      </c>
      <c r="E68" s="4">
        <v>201</v>
      </c>
      <c r="F68" s="4">
        <f>ROUND(Source!O66,O68)</f>
        <v>143262.23000000001</v>
      </c>
      <c r="G68" s="4" t="s">
        <v>27</v>
      </c>
      <c r="H68" s="4" t="s">
        <v>28</v>
      </c>
      <c r="I68" s="4"/>
      <c r="J68" s="4"/>
      <c r="K68" s="4">
        <v>201</v>
      </c>
      <c r="L68" s="4">
        <v>1</v>
      </c>
      <c r="M68" s="4">
        <v>3</v>
      </c>
      <c r="N68" s="4" t="s">
        <v>3</v>
      </c>
      <c r="O68" s="4">
        <v>2</v>
      </c>
      <c r="P68" s="4"/>
      <c r="Q68" s="4"/>
      <c r="R68" s="4"/>
      <c r="S68" s="4"/>
      <c r="T68" s="4"/>
      <c r="U68" s="4"/>
      <c r="V68" s="4"/>
      <c r="W68" s="4">
        <v>143262.23000000001</v>
      </c>
      <c r="X68" s="4">
        <v>1</v>
      </c>
      <c r="Y68" s="4">
        <v>143262.23000000001</v>
      </c>
      <c r="Z68" s="4"/>
      <c r="AA68" s="4"/>
      <c r="AB68" s="4"/>
    </row>
    <row r="69" spans="1:206" x14ac:dyDescent="0.2">
      <c r="A69" s="4">
        <v>50</v>
      </c>
      <c r="B69" s="4">
        <v>0</v>
      </c>
      <c r="C69" s="4">
        <v>0</v>
      </c>
      <c r="D69" s="4">
        <v>1</v>
      </c>
      <c r="E69" s="4">
        <v>202</v>
      </c>
      <c r="F69" s="4">
        <f>ROUND(Source!P66,O69)</f>
        <v>143262.23000000001</v>
      </c>
      <c r="G69" s="4" t="s">
        <v>29</v>
      </c>
      <c r="H69" s="4" t="s">
        <v>30</v>
      </c>
      <c r="I69" s="4"/>
      <c r="J69" s="4"/>
      <c r="K69" s="4">
        <v>202</v>
      </c>
      <c r="L69" s="4">
        <v>2</v>
      </c>
      <c r="M69" s="4">
        <v>3</v>
      </c>
      <c r="N69" s="4" t="s">
        <v>3</v>
      </c>
      <c r="O69" s="4">
        <v>2</v>
      </c>
      <c r="P69" s="4"/>
      <c r="Q69" s="4"/>
      <c r="R69" s="4"/>
      <c r="S69" s="4"/>
      <c r="T69" s="4"/>
      <c r="U69" s="4"/>
      <c r="V69" s="4"/>
      <c r="W69" s="4">
        <v>143262.23000000001</v>
      </c>
      <c r="X69" s="4">
        <v>1</v>
      </c>
      <c r="Y69" s="4">
        <v>143262.23000000001</v>
      </c>
      <c r="Z69" s="4"/>
      <c r="AA69" s="4"/>
      <c r="AB69" s="4"/>
    </row>
    <row r="70" spans="1:206" x14ac:dyDescent="0.2">
      <c r="A70" s="4">
        <v>50</v>
      </c>
      <c r="B70" s="4">
        <v>0</v>
      </c>
      <c r="C70" s="4">
        <v>0</v>
      </c>
      <c r="D70" s="4">
        <v>1</v>
      </c>
      <c r="E70" s="4">
        <v>222</v>
      </c>
      <c r="F70" s="4">
        <f>ROUND(Source!AO66,O70)</f>
        <v>0</v>
      </c>
      <c r="G70" s="4" t="s">
        <v>31</v>
      </c>
      <c r="H70" s="4" t="s">
        <v>32</v>
      </c>
      <c r="I70" s="4"/>
      <c r="J70" s="4"/>
      <c r="K70" s="4">
        <v>222</v>
      </c>
      <c r="L70" s="4">
        <v>3</v>
      </c>
      <c r="M70" s="4">
        <v>3</v>
      </c>
      <c r="N70" s="4" t="s">
        <v>3</v>
      </c>
      <c r="O70" s="4">
        <v>2</v>
      </c>
      <c r="P70" s="4"/>
      <c r="Q70" s="4"/>
      <c r="R70" s="4"/>
      <c r="S70" s="4"/>
      <c r="T70" s="4"/>
      <c r="U70" s="4"/>
      <c r="V70" s="4"/>
      <c r="W70" s="4">
        <v>0</v>
      </c>
      <c r="X70" s="4">
        <v>1</v>
      </c>
      <c r="Y70" s="4">
        <v>0</v>
      </c>
      <c r="Z70" s="4"/>
      <c r="AA70" s="4"/>
      <c r="AB70" s="4"/>
    </row>
    <row r="71" spans="1:206" x14ac:dyDescent="0.2">
      <c r="A71" s="4">
        <v>50</v>
      </c>
      <c r="B71" s="4">
        <v>0</v>
      </c>
      <c r="C71" s="4">
        <v>0</v>
      </c>
      <c r="D71" s="4">
        <v>1</v>
      </c>
      <c r="E71" s="4">
        <v>225</v>
      </c>
      <c r="F71" s="4">
        <f>ROUND(Source!AV66,O71)</f>
        <v>143262.23000000001</v>
      </c>
      <c r="G71" s="4" t="s">
        <v>33</v>
      </c>
      <c r="H71" s="4" t="s">
        <v>34</v>
      </c>
      <c r="I71" s="4"/>
      <c r="J71" s="4"/>
      <c r="K71" s="4">
        <v>225</v>
      </c>
      <c r="L71" s="4">
        <v>4</v>
      </c>
      <c r="M71" s="4">
        <v>3</v>
      </c>
      <c r="N71" s="4" t="s">
        <v>3</v>
      </c>
      <c r="O71" s="4">
        <v>2</v>
      </c>
      <c r="P71" s="4"/>
      <c r="Q71" s="4"/>
      <c r="R71" s="4"/>
      <c r="S71" s="4"/>
      <c r="T71" s="4"/>
      <c r="U71" s="4"/>
      <c r="V71" s="4"/>
      <c r="W71" s="4">
        <v>143262.23000000001</v>
      </c>
      <c r="X71" s="4">
        <v>1</v>
      </c>
      <c r="Y71" s="4">
        <v>143262.23000000001</v>
      </c>
      <c r="Z71" s="4"/>
      <c r="AA71" s="4"/>
      <c r="AB71" s="4"/>
    </row>
    <row r="72" spans="1:206" x14ac:dyDescent="0.2">
      <c r="A72" s="4">
        <v>50</v>
      </c>
      <c r="B72" s="4">
        <v>0</v>
      </c>
      <c r="C72" s="4">
        <v>0</v>
      </c>
      <c r="D72" s="4">
        <v>1</v>
      </c>
      <c r="E72" s="4">
        <v>226</v>
      </c>
      <c r="F72" s="4">
        <f>ROUND(Source!AW66,O72)</f>
        <v>0</v>
      </c>
      <c r="G72" s="4" t="s">
        <v>35</v>
      </c>
      <c r="H72" s="4" t="s">
        <v>36</v>
      </c>
      <c r="I72" s="4"/>
      <c r="J72" s="4"/>
      <c r="K72" s="4">
        <v>226</v>
      </c>
      <c r="L72" s="4">
        <v>5</v>
      </c>
      <c r="M72" s="4">
        <v>3</v>
      </c>
      <c r="N72" s="4" t="s">
        <v>3</v>
      </c>
      <c r="O72" s="4">
        <v>2</v>
      </c>
      <c r="P72" s="4"/>
      <c r="Q72" s="4"/>
      <c r="R72" s="4"/>
      <c r="S72" s="4"/>
      <c r="T72" s="4"/>
      <c r="U72" s="4"/>
      <c r="V72" s="4"/>
      <c r="W72" s="4">
        <v>0</v>
      </c>
      <c r="X72" s="4">
        <v>1</v>
      </c>
      <c r="Y72" s="4">
        <v>0</v>
      </c>
      <c r="Z72" s="4"/>
      <c r="AA72" s="4"/>
      <c r="AB72" s="4"/>
    </row>
    <row r="73" spans="1:206" x14ac:dyDescent="0.2">
      <c r="A73" s="4">
        <v>50</v>
      </c>
      <c r="B73" s="4">
        <v>0</v>
      </c>
      <c r="C73" s="4">
        <v>0</v>
      </c>
      <c r="D73" s="4">
        <v>1</v>
      </c>
      <c r="E73" s="4">
        <v>227</v>
      </c>
      <c r="F73" s="4">
        <f>ROUND(Source!AX66,O73)</f>
        <v>0</v>
      </c>
      <c r="G73" s="4" t="s">
        <v>37</v>
      </c>
      <c r="H73" s="4" t="s">
        <v>38</v>
      </c>
      <c r="I73" s="4"/>
      <c r="J73" s="4"/>
      <c r="K73" s="4">
        <v>227</v>
      </c>
      <c r="L73" s="4">
        <v>6</v>
      </c>
      <c r="M73" s="4">
        <v>3</v>
      </c>
      <c r="N73" s="4" t="s">
        <v>3</v>
      </c>
      <c r="O73" s="4">
        <v>2</v>
      </c>
      <c r="P73" s="4"/>
      <c r="Q73" s="4"/>
      <c r="R73" s="4"/>
      <c r="S73" s="4"/>
      <c r="T73" s="4"/>
      <c r="U73" s="4"/>
      <c r="V73" s="4"/>
      <c r="W73" s="4">
        <v>0</v>
      </c>
      <c r="X73" s="4">
        <v>1</v>
      </c>
      <c r="Y73" s="4">
        <v>0</v>
      </c>
      <c r="Z73" s="4"/>
      <c r="AA73" s="4"/>
      <c r="AB73" s="4"/>
    </row>
    <row r="74" spans="1:206" x14ac:dyDescent="0.2">
      <c r="A74" s="4">
        <v>50</v>
      </c>
      <c r="B74" s="4">
        <v>0</v>
      </c>
      <c r="C74" s="4">
        <v>0</v>
      </c>
      <c r="D74" s="4">
        <v>1</v>
      </c>
      <c r="E74" s="4">
        <v>228</v>
      </c>
      <c r="F74" s="4">
        <f>ROUND(Source!AY66,O74)</f>
        <v>0</v>
      </c>
      <c r="G74" s="4" t="s">
        <v>39</v>
      </c>
      <c r="H74" s="4" t="s">
        <v>40</v>
      </c>
      <c r="I74" s="4"/>
      <c r="J74" s="4"/>
      <c r="K74" s="4">
        <v>228</v>
      </c>
      <c r="L74" s="4">
        <v>7</v>
      </c>
      <c r="M74" s="4">
        <v>3</v>
      </c>
      <c r="N74" s="4" t="s">
        <v>3</v>
      </c>
      <c r="O74" s="4">
        <v>2</v>
      </c>
      <c r="P74" s="4"/>
      <c r="Q74" s="4"/>
      <c r="R74" s="4"/>
      <c r="S74" s="4"/>
      <c r="T74" s="4"/>
      <c r="U74" s="4"/>
      <c r="V74" s="4"/>
      <c r="W74" s="4">
        <v>0</v>
      </c>
      <c r="X74" s="4">
        <v>1</v>
      </c>
      <c r="Y74" s="4">
        <v>0</v>
      </c>
      <c r="Z74" s="4"/>
      <c r="AA74" s="4"/>
      <c r="AB74" s="4"/>
    </row>
    <row r="75" spans="1:206" x14ac:dyDescent="0.2">
      <c r="A75" s="4">
        <v>50</v>
      </c>
      <c r="B75" s="4">
        <v>0</v>
      </c>
      <c r="C75" s="4">
        <v>0</v>
      </c>
      <c r="D75" s="4">
        <v>1</v>
      </c>
      <c r="E75" s="4">
        <v>216</v>
      </c>
      <c r="F75" s="4">
        <f>ROUND(Source!AP66,O75)</f>
        <v>143262.23000000001</v>
      </c>
      <c r="G75" s="4" t="s">
        <v>41</v>
      </c>
      <c r="H75" s="4" t="s">
        <v>42</v>
      </c>
      <c r="I75" s="4"/>
      <c r="J75" s="4"/>
      <c r="K75" s="4">
        <v>216</v>
      </c>
      <c r="L75" s="4">
        <v>8</v>
      </c>
      <c r="M75" s="4">
        <v>3</v>
      </c>
      <c r="N75" s="4" t="s">
        <v>3</v>
      </c>
      <c r="O75" s="4">
        <v>2</v>
      </c>
      <c r="P75" s="4"/>
      <c r="Q75" s="4"/>
      <c r="R75" s="4"/>
      <c r="S75" s="4"/>
      <c r="T75" s="4"/>
      <c r="U75" s="4"/>
      <c r="V75" s="4"/>
      <c r="W75" s="4">
        <v>143262.23000000001</v>
      </c>
      <c r="X75" s="4">
        <v>1</v>
      </c>
      <c r="Y75" s="4">
        <v>143262.23000000001</v>
      </c>
      <c r="Z75" s="4"/>
      <c r="AA75" s="4"/>
      <c r="AB75" s="4"/>
    </row>
    <row r="76" spans="1:206" x14ac:dyDescent="0.2">
      <c r="A76" s="4">
        <v>50</v>
      </c>
      <c r="B76" s="4">
        <v>0</v>
      </c>
      <c r="C76" s="4">
        <v>0</v>
      </c>
      <c r="D76" s="4">
        <v>1</v>
      </c>
      <c r="E76" s="4">
        <v>223</v>
      </c>
      <c r="F76" s="4">
        <f>ROUND(Source!AQ66,O76)</f>
        <v>0</v>
      </c>
      <c r="G76" s="4" t="s">
        <v>43</v>
      </c>
      <c r="H76" s="4" t="s">
        <v>44</v>
      </c>
      <c r="I76" s="4"/>
      <c r="J76" s="4"/>
      <c r="K76" s="4">
        <v>223</v>
      </c>
      <c r="L76" s="4">
        <v>9</v>
      </c>
      <c r="M76" s="4">
        <v>3</v>
      </c>
      <c r="N76" s="4" t="s">
        <v>3</v>
      </c>
      <c r="O76" s="4">
        <v>2</v>
      </c>
      <c r="P76" s="4"/>
      <c r="Q76" s="4"/>
      <c r="R76" s="4"/>
      <c r="S76" s="4"/>
      <c r="T76" s="4"/>
      <c r="U76" s="4"/>
      <c r="V76" s="4"/>
      <c r="W76" s="4">
        <v>0</v>
      </c>
      <c r="X76" s="4">
        <v>1</v>
      </c>
      <c r="Y76" s="4">
        <v>0</v>
      </c>
      <c r="Z76" s="4"/>
      <c r="AA76" s="4"/>
      <c r="AB76" s="4"/>
    </row>
    <row r="77" spans="1:206" x14ac:dyDescent="0.2">
      <c r="A77" s="4">
        <v>50</v>
      </c>
      <c r="B77" s="4">
        <v>0</v>
      </c>
      <c r="C77" s="4">
        <v>0</v>
      </c>
      <c r="D77" s="4">
        <v>1</v>
      </c>
      <c r="E77" s="4">
        <v>229</v>
      </c>
      <c r="F77" s="4">
        <f>ROUND(Source!AZ66,O77)</f>
        <v>143262.23000000001</v>
      </c>
      <c r="G77" s="4" t="s">
        <v>45</v>
      </c>
      <c r="H77" s="4" t="s">
        <v>46</v>
      </c>
      <c r="I77" s="4"/>
      <c r="J77" s="4"/>
      <c r="K77" s="4">
        <v>229</v>
      </c>
      <c r="L77" s="4">
        <v>10</v>
      </c>
      <c r="M77" s="4">
        <v>3</v>
      </c>
      <c r="N77" s="4" t="s">
        <v>3</v>
      </c>
      <c r="O77" s="4">
        <v>2</v>
      </c>
      <c r="P77" s="4"/>
      <c r="Q77" s="4"/>
      <c r="R77" s="4"/>
      <c r="S77" s="4"/>
      <c r="T77" s="4"/>
      <c r="U77" s="4"/>
      <c r="V77" s="4"/>
      <c r="W77" s="4">
        <v>143262.23000000001</v>
      </c>
      <c r="X77" s="4">
        <v>1</v>
      </c>
      <c r="Y77" s="4">
        <v>143262.23000000001</v>
      </c>
      <c r="Z77" s="4"/>
      <c r="AA77" s="4"/>
      <c r="AB77" s="4"/>
    </row>
    <row r="78" spans="1:206" x14ac:dyDescent="0.2">
      <c r="A78" s="4">
        <v>50</v>
      </c>
      <c r="B78" s="4">
        <v>0</v>
      </c>
      <c r="C78" s="4">
        <v>0</v>
      </c>
      <c r="D78" s="4">
        <v>1</v>
      </c>
      <c r="E78" s="4">
        <v>203</v>
      </c>
      <c r="F78" s="4">
        <f>ROUND(Source!Q66,O78)</f>
        <v>0</v>
      </c>
      <c r="G78" s="4" t="s">
        <v>47</v>
      </c>
      <c r="H78" s="4" t="s">
        <v>48</v>
      </c>
      <c r="I78" s="4"/>
      <c r="J78" s="4"/>
      <c r="K78" s="4">
        <v>203</v>
      </c>
      <c r="L78" s="4">
        <v>11</v>
      </c>
      <c r="M78" s="4">
        <v>3</v>
      </c>
      <c r="N78" s="4" t="s">
        <v>3</v>
      </c>
      <c r="O78" s="4">
        <v>2</v>
      </c>
      <c r="P78" s="4"/>
      <c r="Q78" s="4"/>
      <c r="R78" s="4"/>
      <c r="S78" s="4"/>
      <c r="T78" s="4"/>
      <c r="U78" s="4"/>
      <c r="V78" s="4"/>
      <c r="W78" s="4">
        <v>0</v>
      </c>
      <c r="X78" s="4">
        <v>1</v>
      </c>
      <c r="Y78" s="4">
        <v>0</v>
      </c>
      <c r="Z78" s="4"/>
      <c r="AA78" s="4"/>
      <c r="AB78" s="4"/>
    </row>
    <row r="79" spans="1:206" x14ac:dyDescent="0.2">
      <c r="A79" s="4">
        <v>50</v>
      </c>
      <c r="B79" s="4">
        <v>0</v>
      </c>
      <c r="C79" s="4">
        <v>0</v>
      </c>
      <c r="D79" s="4">
        <v>1</v>
      </c>
      <c r="E79" s="4">
        <v>231</v>
      </c>
      <c r="F79" s="4">
        <f>ROUND(Source!BB66,O79)</f>
        <v>0</v>
      </c>
      <c r="G79" s="4" t="s">
        <v>49</v>
      </c>
      <c r="H79" s="4" t="s">
        <v>50</v>
      </c>
      <c r="I79" s="4"/>
      <c r="J79" s="4"/>
      <c r="K79" s="4">
        <v>231</v>
      </c>
      <c r="L79" s="4">
        <v>12</v>
      </c>
      <c r="M79" s="4">
        <v>3</v>
      </c>
      <c r="N79" s="4" t="s">
        <v>3</v>
      </c>
      <c r="O79" s="4">
        <v>2</v>
      </c>
      <c r="P79" s="4"/>
      <c r="Q79" s="4"/>
      <c r="R79" s="4"/>
      <c r="S79" s="4"/>
      <c r="T79" s="4"/>
      <c r="U79" s="4"/>
      <c r="V79" s="4"/>
      <c r="W79" s="4">
        <v>0</v>
      </c>
      <c r="X79" s="4">
        <v>1</v>
      </c>
      <c r="Y79" s="4">
        <v>0</v>
      </c>
      <c r="Z79" s="4"/>
      <c r="AA79" s="4"/>
      <c r="AB79" s="4"/>
    </row>
    <row r="80" spans="1:206" x14ac:dyDescent="0.2">
      <c r="A80" s="4">
        <v>50</v>
      </c>
      <c r="B80" s="4">
        <v>0</v>
      </c>
      <c r="C80" s="4">
        <v>0</v>
      </c>
      <c r="D80" s="4">
        <v>1</v>
      </c>
      <c r="E80" s="4">
        <v>204</v>
      </c>
      <c r="F80" s="4">
        <f>ROUND(Source!R66,O80)</f>
        <v>0</v>
      </c>
      <c r="G80" s="4" t="s">
        <v>51</v>
      </c>
      <c r="H80" s="4" t="s">
        <v>52</v>
      </c>
      <c r="I80" s="4"/>
      <c r="J80" s="4"/>
      <c r="K80" s="4">
        <v>204</v>
      </c>
      <c r="L80" s="4">
        <v>13</v>
      </c>
      <c r="M80" s="4">
        <v>3</v>
      </c>
      <c r="N80" s="4" t="s">
        <v>3</v>
      </c>
      <c r="O80" s="4">
        <v>2</v>
      </c>
      <c r="P80" s="4"/>
      <c r="Q80" s="4"/>
      <c r="R80" s="4"/>
      <c r="S80" s="4"/>
      <c r="T80" s="4"/>
      <c r="U80" s="4"/>
      <c r="V80" s="4"/>
      <c r="W80" s="4">
        <v>0</v>
      </c>
      <c r="X80" s="4">
        <v>1</v>
      </c>
      <c r="Y80" s="4">
        <v>0</v>
      </c>
      <c r="Z80" s="4"/>
      <c r="AA80" s="4"/>
      <c r="AB80" s="4"/>
    </row>
    <row r="81" spans="1:206" x14ac:dyDescent="0.2">
      <c r="A81" s="4">
        <v>50</v>
      </c>
      <c r="B81" s="4">
        <v>0</v>
      </c>
      <c r="C81" s="4">
        <v>0</v>
      </c>
      <c r="D81" s="4">
        <v>1</v>
      </c>
      <c r="E81" s="4">
        <v>205</v>
      </c>
      <c r="F81" s="4">
        <f>ROUND(Source!S66,O81)</f>
        <v>0</v>
      </c>
      <c r="G81" s="4" t="s">
        <v>53</v>
      </c>
      <c r="H81" s="4" t="s">
        <v>54</v>
      </c>
      <c r="I81" s="4"/>
      <c r="J81" s="4"/>
      <c r="K81" s="4">
        <v>205</v>
      </c>
      <c r="L81" s="4">
        <v>14</v>
      </c>
      <c r="M81" s="4">
        <v>3</v>
      </c>
      <c r="N81" s="4" t="s">
        <v>3</v>
      </c>
      <c r="O81" s="4">
        <v>2</v>
      </c>
      <c r="P81" s="4"/>
      <c r="Q81" s="4"/>
      <c r="R81" s="4"/>
      <c r="S81" s="4"/>
      <c r="T81" s="4"/>
      <c r="U81" s="4"/>
      <c r="V81" s="4"/>
      <c r="W81" s="4">
        <v>0</v>
      </c>
      <c r="X81" s="4">
        <v>1</v>
      </c>
      <c r="Y81" s="4">
        <v>0</v>
      </c>
      <c r="Z81" s="4"/>
      <c r="AA81" s="4"/>
      <c r="AB81" s="4"/>
    </row>
    <row r="82" spans="1:206" x14ac:dyDescent="0.2">
      <c r="A82" s="4">
        <v>50</v>
      </c>
      <c r="B82" s="4">
        <v>0</v>
      </c>
      <c r="C82" s="4">
        <v>0</v>
      </c>
      <c r="D82" s="4">
        <v>1</v>
      </c>
      <c r="E82" s="4">
        <v>232</v>
      </c>
      <c r="F82" s="4">
        <f>ROUND(Source!BC66,O82)</f>
        <v>0</v>
      </c>
      <c r="G82" s="4" t="s">
        <v>55</v>
      </c>
      <c r="H82" s="4" t="s">
        <v>56</v>
      </c>
      <c r="I82" s="4"/>
      <c r="J82" s="4"/>
      <c r="K82" s="4">
        <v>232</v>
      </c>
      <c r="L82" s="4">
        <v>15</v>
      </c>
      <c r="M82" s="4">
        <v>3</v>
      </c>
      <c r="N82" s="4" t="s">
        <v>3</v>
      </c>
      <c r="O82" s="4">
        <v>2</v>
      </c>
      <c r="P82" s="4"/>
      <c r="Q82" s="4"/>
      <c r="R82" s="4"/>
      <c r="S82" s="4"/>
      <c r="T82" s="4"/>
      <c r="U82" s="4"/>
      <c r="V82" s="4"/>
      <c r="W82" s="4">
        <v>0</v>
      </c>
      <c r="X82" s="4">
        <v>1</v>
      </c>
      <c r="Y82" s="4">
        <v>0</v>
      </c>
      <c r="Z82" s="4"/>
      <c r="AA82" s="4"/>
      <c r="AB82" s="4"/>
    </row>
    <row r="83" spans="1:206" x14ac:dyDescent="0.2">
      <c r="A83" s="4">
        <v>50</v>
      </c>
      <c r="B83" s="4">
        <v>0</v>
      </c>
      <c r="C83" s="4">
        <v>0</v>
      </c>
      <c r="D83" s="4">
        <v>1</v>
      </c>
      <c r="E83" s="4">
        <v>214</v>
      </c>
      <c r="F83" s="4">
        <f>ROUND(Source!AS66,O83)</f>
        <v>0</v>
      </c>
      <c r="G83" s="4" t="s">
        <v>57</v>
      </c>
      <c r="H83" s="4" t="s">
        <v>58</v>
      </c>
      <c r="I83" s="4"/>
      <c r="J83" s="4"/>
      <c r="K83" s="4">
        <v>214</v>
      </c>
      <c r="L83" s="4">
        <v>16</v>
      </c>
      <c r="M83" s="4">
        <v>3</v>
      </c>
      <c r="N83" s="4" t="s">
        <v>3</v>
      </c>
      <c r="O83" s="4">
        <v>2</v>
      </c>
      <c r="P83" s="4"/>
      <c r="Q83" s="4"/>
      <c r="R83" s="4"/>
      <c r="S83" s="4"/>
      <c r="T83" s="4"/>
      <c r="U83" s="4"/>
      <c r="V83" s="4"/>
      <c r="W83" s="4">
        <v>0</v>
      </c>
      <c r="X83" s="4">
        <v>1</v>
      </c>
      <c r="Y83" s="4">
        <v>0</v>
      </c>
      <c r="Z83" s="4"/>
      <c r="AA83" s="4"/>
      <c r="AB83" s="4"/>
    </row>
    <row r="84" spans="1:206" x14ac:dyDescent="0.2">
      <c r="A84" s="4">
        <v>50</v>
      </c>
      <c r="B84" s="4">
        <v>0</v>
      </c>
      <c r="C84" s="4">
        <v>0</v>
      </c>
      <c r="D84" s="4">
        <v>1</v>
      </c>
      <c r="E84" s="4">
        <v>215</v>
      </c>
      <c r="F84" s="4">
        <f>ROUND(Source!AT66,O84)</f>
        <v>0</v>
      </c>
      <c r="G84" s="4" t="s">
        <v>59</v>
      </c>
      <c r="H84" s="4" t="s">
        <v>60</v>
      </c>
      <c r="I84" s="4"/>
      <c r="J84" s="4"/>
      <c r="K84" s="4">
        <v>215</v>
      </c>
      <c r="L84" s="4">
        <v>17</v>
      </c>
      <c r="M84" s="4">
        <v>3</v>
      </c>
      <c r="N84" s="4" t="s">
        <v>3</v>
      </c>
      <c r="O84" s="4">
        <v>2</v>
      </c>
      <c r="P84" s="4"/>
      <c r="Q84" s="4"/>
      <c r="R84" s="4"/>
      <c r="S84" s="4"/>
      <c r="T84" s="4"/>
      <c r="U84" s="4"/>
      <c r="V84" s="4"/>
      <c r="W84" s="4">
        <v>0</v>
      </c>
      <c r="X84" s="4">
        <v>1</v>
      </c>
      <c r="Y84" s="4">
        <v>0</v>
      </c>
      <c r="Z84" s="4"/>
      <c r="AA84" s="4"/>
      <c r="AB84" s="4"/>
    </row>
    <row r="85" spans="1:206" x14ac:dyDescent="0.2">
      <c r="A85" s="4">
        <v>50</v>
      </c>
      <c r="B85" s="4">
        <v>0</v>
      </c>
      <c r="C85" s="4">
        <v>0</v>
      </c>
      <c r="D85" s="4">
        <v>1</v>
      </c>
      <c r="E85" s="4">
        <v>217</v>
      </c>
      <c r="F85" s="4">
        <f>ROUND(Source!AU66,O85)</f>
        <v>0</v>
      </c>
      <c r="G85" s="4" t="s">
        <v>61</v>
      </c>
      <c r="H85" s="4" t="s">
        <v>62</v>
      </c>
      <c r="I85" s="4"/>
      <c r="J85" s="4"/>
      <c r="K85" s="4">
        <v>217</v>
      </c>
      <c r="L85" s="4">
        <v>18</v>
      </c>
      <c r="M85" s="4">
        <v>3</v>
      </c>
      <c r="N85" s="4" t="s">
        <v>3</v>
      </c>
      <c r="O85" s="4">
        <v>2</v>
      </c>
      <c r="P85" s="4"/>
      <c r="Q85" s="4"/>
      <c r="R85" s="4"/>
      <c r="S85" s="4"/>
      <c r="T85" s="4"/>
      <c r="U85" s="4"/>
      <c r="V85" s="4"/>
      <c r="W85" s="4">
        <v>0</v>
      </c>
      <c r="X85" s="4">
        <v>1</v>
      </c>
      <c r="Y85" s="4">
        <v>0</v>
      </c>
      <c r="Z85" s="4"/>
      <c r="AA85" s="4"/>
      <c r="AB85" s="4"/>
    </row>
    <row r="86" spans="1:206" x14ac:dyDescent="0.2">
      <c r="A86" s="4">
        <v>50</v>
      </c>
      <c r="B86" s="4">
        <v>0</v>
      </c>
      <c r="C86" s="4">
        <v>0</v>
      </c>
      <c r="D86" s="4">
        <v>1</v>
      </c>
      <c r="E86" s="4">
        <v>230</v>
      </c>
      <c r="F86" s="4">
        <f>ROUND(Source!BA66,O86)</f>
        <v>0</v>
      </c>
      <c r="G86" s="4" t="s">
        <v>63</v>
      </c>
      <c r="H86" s="4" t="s">
        <v>64</v>
      </c>
      <c r="I86" s="4"/>
      <c r="J86" s="4"/>
      <c r="K86" s="4">
        <v>230</v>
      </c>
      <c r="L86" s="4">
        <v>19</v>
      </c>
      <c r="M86" s="4">
        <v>3</v>
      </c>
      <c r="N86" s="4" t="s">
        <v>3</v>
      </c>
      <c r="O86" s="4">
        <v>2</v>
      </c>
      <c r="P86" s="4"/>
      <c r="Q86" s="4"/>
      <c r="R86" s="4"/>
      <c r="S86" s="4"/>
      <c r="T86" s="4"/>
      <c r="U86" s="4"/>
      <c r="V86" s="4"/>
      <c r="W86" s="4">
        <v>0</v>
      </c>
      <c r="X86" s="4">
        <v>1</v>
      </c>
      <c r="Y86" s="4">
        <v>0</v>
      </c>
      <c r="Z86" s="4"/>
      <c r="AA86" s="4"/>
      <c r="AB86" s="4"/>
    </row>
    <row r="87" spans="1:206" x14ac:dyDescent="0.2">
      <c r="A87" s="4">
        <v>50</v>
      </c>
      <c r="B87" s="4">
        <v>0</v>
      </c>
      <c r="C87" s="4">
        <v>0</v>
      </c>
      <c r="D87" s="4">
        <v>1</v>
      </c>
      <c r="E87" s="4">
        <v>206</v>
      </c>
      <c r="F87" s="4">
        <f>ROUND(Source!T66,O87)</f>
        <v>0</v>
      </c>
      <c r="G87" s="4" t="s">
        <v>65</v>
      </c>
      <c r="H87" s="4" t="s">
        <v>66</v>
      </c>
      <c r="I87" s="4"/>
      <c r="J87" s="4"/>
      <c r="K87" s="4">
        <v>206</v>
      </c>
      <c r="L87" s="4">
        <v>20</v>
      </c>
      <c r="M87" s="4">
        <v>3</v>
      </c>
      <c r="N87" s="4" t="s">
        <v>3</v>
      </c>
      <c r="O87" s="4">
        <v>2</v>
      </c>
      <c r="P87" s="4"/>
      <c r="Q87" s="4"/>
      <c r="R87" s="4"/>
      <c r="S87" s="4"/>
      <c r="T87" s="4"/>
      <c r="U87" s="4"/>
      <c r="V87" s="4"/>
      <c r="W87" s="4">
        <v>0</v>
      </c>
      <c r="X87" s="4">
        <v>1</v>
      </c>
      <c r="Y87" s="4">
        <v>0</v>
      </c>
      <c r="Z87" s="4"/>
      <c r="AA87" s="4"/>
      <c r="AB87" s="4"/>
    </row>
    <row r="88" spans="1:206" x14ac:dyDescent="0.2">
      <c r="A88" s="4">
        <v>50</v>
      </c>
      <c r="B88" s="4">
        <v>0</v>
      </c>
      <c r="C88" s="4">
        <v>0</v>
      </c>
      <c r="D88" s="4">
        <v>1</v>
      </c>
      <c r="E88" s="4">
        <v>207</v>
      </c>
      <c r="F88" s="4">
        <f>Source!U66</f>
        <v>0</v>
      </c>
      <c r="G88" s="4" t="s">
        <v>67</v>
      </c>
      <c r="H88" s="4" t="s">
        <v>68</v>
      </c>
      <c r="I88" s="4"/>
      <c r="J88" s="4"/>
      <c r="K88" s="4">
        <v>207</v>
      </c>
      <c r="L88" s="4">
        <v>21</v>
      </c>
      <c r="M88" s="4">
        <v>3</v>
      </c>
      <c r="N88" s="4" t="s">
        <v>3</v>
      </c>
      <c r="O88" s="4">
        <v>-1</v>
      </c>
      <c r="P88" s="4"/>
      <c r="Q88" s="4"/>
      <c r="R88" s="4"/>
      <c r="S88" s="4"/>
      <c r="T88" s="4"/>
      <c r="U88" s="4"/>
      <c r="V88" s="4"/>
      <c r="W88" s="4">
        <v>0</v>
      </c>
      <c r="X88" s="4">
        <v>1</v>
      </c>
      <c r="Y88" s="4">
        <v>0</v>
      </c>
      <c r="Z88" s="4"/>
      <c r="AA88" s="4"/>
      <c r="AB88" s="4"/>
    </row>
    <row r="89" spans="1:206" x14ac:dyDescent="0.2">
      <c r="A89" s="4">
        <v>50</v>
      </c>
      <c r="B89" s="4">
        <v>0</v>
      </c>
      <c r="C89" s="4">
        <v>0</v>
      </c>
      <c r="D89" s="4">
        <v>1</v>
      </c>
      <c r="E89" s="4">
        <v>208</v>
      </c>
      <c r="F89" s="4">
        <f>Source!V66</f>
        <v>0</v>
      </c>
      <c r="G89" s="4" t="s">
        <v>69</v>
      </c>
      <c r="H89" s="4" t="s">
        <v>70</v>
      </c>
      <c r="I89" s="4"/>
      <c r="J89" s="4"/>
      <c r="K89" s="4">
        <v>208</v>
      </c>
      <c r="L89" s="4">
        <v>22</v>
      </c>
      <c r="M89" s="4">
        <v>3</v>
      </c>
      <c r="N89" s="4" t="s">
        <v>3</v>
      </c>
      <c r="O89" s="4">
        <v>-1</v>
      </c>
      <c r="P89" s="4"/>
      <c r="Q89" s="4"/>
      <c r="R89" s="4"/>
      <c r="S89" s="4"/>
      <c r="T89" s="4"/>
      <c r="U89" s="4"/>
      <c r="V89" s="4"/>
      <c r="W89" s="4">
        <v>0</v>
      </c>
      <c r="X89" s="4">
        <v>1</v>
      </c>
      <c r="Y89" s="4">
        <v>0</v>
      </c>
      <c r="Z89" s="4"/>
      <c r="AA89" s="4"/>
      <c r="AB89" s="4"/>
    </row>
    <row r="90" spans="1:206" x14ac:dyDescent="0.2">
      <c r="A90" s="4">
        <v>50</v>
      </c>
      <c r="B90" s="4">
        <v>0</v>
      </c>
      <c r="C90" s="4">
        <v>0</v>
      </c>
      <c r="D90" s="4">
        <v>1</v>
      </c>
      <c r="E90" s="4">
        <v>209</v>
      </c>
      <c r="F90" s="4">
        <f>ROUND(Source!W66,O90)</f>
        <v>0</v>
      </c>
      <c r="G90" s="4" t="s">
        <v>71</v>
      </c>
      <c r="H90" s="4" t="s">
        <v>72</v>
      </c>
      <c r="I90" s="4"/>
      <c r="J90" s="4"/>
      <c r="K90" s="4">
        <v>209</v>
      </c>
      <c r="L90" s="4">
        <v>23</v>
      </c>
      <c r="M90" s="4">
        <v>3</v>
      </c>
      <c r="N90" s="4" t="s">
        <v>3</v>
      </c>
      <c r="O90" s="4">
        <v>2</v>
      </c>
      <c r="P90" s="4"/>
      <c r="Q90" s="4"/>
      <c r="R90" s="4"/>
      <c r="S90" s="4"/>
      <c r="T90" s="4"/>
      <c r="U90" s="4"/>
      <c r="V90" s="4"/>
      <c r="W90" s="4">
        <v>0</v>
      </c>
      <c r="X90" s="4">
        <v>1</v>
      </c>
      <c r="Y90" s="4">
        <v>0</v>
      </c>
      <c r="Z90" s="4"/>
      <c r="AA90" s="4"/>
      <c r="AB90" s="4"/>
    </row>
    <row r="91" spans="1:206" x14ac:dyDescent="0.2">
      <c r="A91" s="4">
        <v>50</v>
      </c>
      <c r="B91" s="4">
        <v>0</v>
      </c>
      <c r="C91" s="4">
        <v>0</v>
      </c>
      <c r="D91" s="4">
        <v>1</v>
      </c>
      <c r="E91" s="4">
        <v>233</v>
      </c>
      <c r="F91" s="4">
        <f>ROUND(Source!BD66,O91)</f>
        <v>0</v>
      </c>
      <c r="G91" s="4" t="s">
        <v>73</v>
      </c>
      <c r="H91" s="4" t="s">
        <v>74</v>
      </c>
      <c r="I91" s="4"/>
      <c r="J91" s="4"/>
      <c r="K91" s="4">
        <v>233</v>
      </c>
      <c r="L91" s="4">
        <v>24</v>
      </c>
      <c r="M91" s="4">
        <v>3</v>
      </c>
      <c r="N91" s="4" t="s">
        <v>3</v>
      </c>
      <c r="O91" s="4">
        <v>2</v>
      </c>
      <c r="P91" s="4"/>
      <c r="Q91" s="4"/>
      <c r="R91" s="4"/>
      <c r="S91" s="4"/>
      <c r="T91" s="4"/>
      <c r="U91" s="4"/>
      <c r="V91" s="4"/>
      <c r="W91" s="4">
        <v>0</v>
      </c>
      <c r="X91" s="4">
        <v>1</v>
      </c>
      <c r="Y91" s="4">
        <v>0</v>
      </c>
      <c r="Z91" s="4"/>
      <c r="AA91" s="4"/>
      <c r="AB91" s="4"/>
    </row>
    <row r="92" spans="1:206" x14ac:dyDescent="0.2">
      <c r="A92" s="4">
        <v>50</v>
      </c>
      <c r="B92" s="4">
        <v>0</v>
      </c>
      <c r="C92" s="4">
        <v>0</v>
      </c>
      <c r="D92" s="4">
        <v>1</v>
      </c>
      <c r="E92" s="4">
        <v>210</v>
      </c>
      <c r="F92" s="4">
        <f>ROUND(Source!X66,O92)</f>
        <v>0</v>
      </c>
      <c r="G92" s="4" t="s">
        <v>75</v>
      </c>
      <c r="H92" s="4" t="s">
        <v>76</v>
      </c>
      <c r="I92" s="4"/>
      <c r="J92" s="4"/>
      <c r="K92" s="4">
        <v>210</v>
      </c>
      <c r="L92" s="4">
        <v>25</v>
      </c>
      <c r="M92" s="4">
        <v>3</v>
      </c>
      <c r="N92" s="4" t="s">
        <v>3</v>
      </c>
      <c r="O92" s="4">
        <v>2</v>
      </c>
      <c r="P92" s="4"/>
      <c r="Q92" s="4"/>
      <c r="R92" s="4"/>
      <c r="S92" s="4"/>
      <c r="T92" s="4"/>
      <c r="U92" s="4"/>
      <c r="V92" s="4"/>
      <c r="W92" s="4">
        <v>0</v>
      </c>
      <c r="X92" s="4">
        <v>1</v>
      </c>
      <c r="Y92" s="4">
        <v>0</v>
      </c>
      <c r="Z92" s="4"/>
      <c r="AA92" s="4"/>
      <c r="AB92" s="4"/>
    </row>
    <row r="93" spans="1:206" x14ac:dyDescent="0.2">
      <c r="A93" s="4">
        <v>50</v>
      </c>
      <c r="B93" s="4">
        <v>0</v>
      </c>
      <c r="C93" s="4">
        <v>0</v>
      </c>
      <c r="D93" s="4">
        <v>1</v>
      </c>
      <c r="E93" s="4">
        <v>211</v>
      </c>
      <c r="F93" s="4">
        <f>ROUND(Source!Y66,O93)</f>
        <v>0</v>
      </c>
      <c r="G93" s="4" t="s">
        <v>77</v>
      </c>
      <c r="H93" s="4" t="s">
        <v>78</v>
      </c>
      <c r="I93" s="4"/>
      <c r="J93" s="4"/>
      <c r="K93" s="4">
        <v>211</v>
      </c>
      <c r="L93" s="4">
        <v>26</v>
      </c>
      <c r="M93" s="4">
        <v>3</v>
      </c>
      <c r="N93" s="4" t="s">
        <v>3</v>
      </c>
      <c r="O93" s="4">
        <v>2</v>
      </c>
      <c r="P93" s="4"/>
      <c r="Q93" s="4"/>
      <c r="R93" s="4"/>
      <c r="S93" s="4"/>
      <c r="T93" s="4"/>
      <c r="U93" s="4"/>
      <c r="V93" s="4"/>
      <c r="W93" s="4">
        <v>0</v>
      </c>
      <c r="X93" s="4">
        <v>1</v>
      </c>
      <c r="Y93" s="4">
        <v>0</v>
      </c>
      <c r="Z93" s="4"/>
      <c r="AA93" s="4"/>
      <c r="AB93" s="4"/>
    </row>
    <row r="94" spans="1:206" x14ac:dyDescent="0.2">
      <c r="A94" s="4">
        <v>50</v>
      </c>
      <c r="B94" s="4">
        <v>0</v>
      </c>
      <c r="C94" s="4">
        <v>0</v>
      </c>
      <c r="D94" s="4">
        <v>1</v>
      </c>
      <c r="E94" s="4">
        <v>224</v>
      </c>
      <c r="F94" s="4">
        <f>ROUND(Source!AR66,O94)</f>
        <v>143262.23000000001</v>
      </c>
      <c r="G94" s="4" t="s">
        <v>79</v>
      </c>
      <c r="H94" s="4" t="s">
        <v>80</v>
      </c>
      <c r="I94" s="4"/>
      <c r="J94" s="4"/>
      <c r="K94" s="4">
        <v>224</v>
      </c>
      <c r="L94" s="4">
        <v>27</v>
      </c>
      <c r="M94" s="4">
        <v>3</v>
      </c>
      <c r="N94" s="4" t="s">
        <v>3</v>
      </c>
      <c r="O94" s="4">
        <v>2</v>
      </c>
      <c r="P94" s="4"/>
      <c r="Q94" s="4"/>
      <c r="R94" s="4"/>
      <c r="S94" s="4"/>
      <c r="T94" s="4"/>
      <c r="U94" s="4"/>
      <c r="V94" s="4"/>
      <c r="W94" s="4">
        <v>143262.23000000001</v>
      </c>
      <c r="X94" s="4">
        <v>1</v>
      </c>
      <c r="Y94" s="4">
        <v>143262.23000000001</v>
      </c>
      <c r="Z94" s="4"/>
      <c r="AA94" s="4"/>
      <c r="AB94" s="4"/>
    </row>
    <row r="96" spans="1:206" x14ac:dyDescent="0.2">
      <c r="A96" s="2">
        <v>51</v>
      </c>
      <c r="B96" s="2">
        <f>B20</f>
        <v>1</v>
      </c>
      <c r="C96" s="2">
        <f>A20</f>
        <v>3</v>
      </c>
      <c r="D96" s="2">
        <f>ROW(A20)</f>
        <v>20</v>
      </c>
      <c r="E96" s="2"/>
      <c r="F96" s="2" t="str">
        <f>IF(F20&lt;&gt;"",F20,"")</f>
        <v>02-01-01</v>
      </c>
      <c r="G96" s="2" t="str">
        <f>IF(G20&lt;&gt;"",G20,"")</f>
        <v>Система телемеханики с включением в АИИС КУЭ в ТП</v>
      </c>
      <c r="H96" s="2">
        <v>0</v>
      </c>
      <c r="I96" s="2"/>
      <c r="J96" s="2"/>
      <c r="K96" s="2"/>
      <c r="L96" s="2"/>
      <c r="M96" s="2"/>
      <c r="N96" s="2"/>
      <c r="O96" s="2">
        <f t="shared" ref="O96:T96" si="32">ROUND(O30+O66+AB96,2)</f>
        <v>143684.72</v>
      </c>
      <c r="P96" s="2">
        <f t="shared" si="32"/>
        <v>143262.23000000001</v>
      </c>
      <c r="Q96" s="2">
        <f t="shared" si="32"/>
        <v>6.59</v>
      </c>
      <c r="R96" s="2">
        <f t="shared" si="32"/>
        <v>2.73</v>
      </c>
      <c r="S96" s="2">
        <f t="shared" si="32"/>
        <v>415.9</v>
      </c>
      <c r="T96" s="2">
        <f t="shared" si="32"/>
        <v>0</v>
      </c>
      <c r="U96" s="2">
        <f>U30+U66+AH96</f>
        <v>1.0784099999999999</v>
      </c>
      <c r="V96" s="2">
        <f>V30+V66+AI96</f>
        <v>0</v>
      </c>
      <c r="W96" s="2">
        <f>ROUND(W30+W66+AJ96,2)</f>
        <v>0</v>
      </c>
      <c r="X96" s="2">
        <f>ROUND(X30+X66+AK96,2)</f>
        <v>382.63</v>
      </c>
      <c r="Y96" s="2">
        <f>ROUND(Y30+Y66+AL96,2)</f>
        <v>170.52</v>
      </c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>
        <f t="shared" ref="AO96:BD96" si="33">ROUND(AO30+AO66+BX96,2)</f>
        <v>0</v>
      </c>
      <c r="AP96" s="2">
        <f t="shared" si="33"/>
        <v>143262.23000000001</v>
      </c>
      <c r="AQ96" s="2">
        <f t="shared" si="33"/>
        <v>0</v>
      </c>
      <c r="AR96" s="2">
        <f t="shared" si="33"/>
        <v>144242.23999999999</v>
      </c>
      <c r="AS96" s="2">
        <f t="shared" si="33"/>
        <v>0</v>
      </c>
      <c r="AT96" s="2">
        <f t="shared" si="33"/>
        <v>980.01</v>
      </c>
      <c r="AU96" s="2">
        <f t="shared" si="33"/>
        <v>0</v>
      </c>
      <c r="AV96" s="2">
        <f t="shared" si="33"/>
        <v>143262.23000000001</v>
      </c>
      <c r="AW96" s="2">
        <f t="shared" si="33"/>
        <v>0</v>
      </c>
      <c r="AX96" s="2">
        <f t="shared" si="33"/>
        <v>0</v>
      </c>
      <c r="AY96" s="2">
        <f t="shared" si="33"/>
        <v>0</v>
      </c>
      <c r="AZ96" s="2">
        <f t="shared" si="33"/>
        <v>143262.23000000001</v>
      </c>
      <c r="BA96" s="2">
        <f t="shared" si="33"/>
        <v>0</v>
      </c>
      <c r="BB96" s="2">
        <f t="shared" si="33"/>
        <v>0</v>
      </c>
      <c r="BC96" s="2">
        <f t="shared" si="33"/>
        <v>0</v>
      </c>
      <c r="BD96" s="2">
        <f t="shared" si="33"/>
        <v>0</v>
      </c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>
        <v>0</v>
      </c>
    </row>
    <row r="98" spans="1:28" x14ac:dyDescent="0.2">
      <c r="A98" s="4">
        <v>50</v>
      </c>
      <c r="B98" s="4">
        <v>0</v>
      </c>
      <c r="C98" s="4">
        <v>0</v>
      </c>
      <c r="D98" s="4">
        <v>1</v>
      </c>
      <c r="E98" s="4">
        <v>201</v>
      </c>
      <c r="F98" s="4">
        <f>ROUND(Source!O96,O98)</f>
        <v>143684.72</v>
      </c>
      <c r="G98" s="4" t="s">
        <v>27</v>
      </c>
      <c r="H98" s="4" t="s">
        <v>28</v>
      </c>
      <c r="I98" s="4"/>
      <c r="J98" s="4"/>
      <c r="K98" s="4">
        <v>201</v>
      </c>
      <c r="L98" s="4">
        <v>1</v>
      </c>
      <c r="M98" s="4">
        <v>3</v>
      </c>
      <c r="N98" s="4" t="s">
        <v>3</v>
      </c>
      <c r="O98" s="4">
        <v>2</v>
      </c>
      <c r="P98" s="4"/>
      <c r="Q98" s="4"/>
      <c r="R98" s="4"/>
      <c r="S98" s="4"/>
      <c r="T98" s="4"/>
      <c r="U98" s="4"/>
      <c r="V98" s="4"/>
      <c r="W98" s="4">
        <v>143684.72</v>
      </c>
      <c r="X98" s="4">
        <v>1</v>
      </c>
      <c r="Y98" s="4">
        <v>143684.72</v>
      </c>
      <c r="Z98" s="4"/>
      <c r="AA98" s="4"/>
      <c r="AB98" s="4"/>
    </row>
    <row r="99" spans="1:28" x14ac:dyDescent="0.2">
      <c r="A99" s="4">
        <v>50</v>
      </c>
      <c r="B99" s="4">
        <v>0</v>
      </c>
      <c r="C99" s="4">
        <v>0</v>
      </c>
      <c r="D99" s="4">
        <v>1</v>
      </c>
      <c r="E99" s="4">
        <v>202</v>
      </c>
      <c r="F99" s="4">
        <f>ROUND(Source!P96,O99)</f>
        <v>143262.23000000001</v>
      </c>
      <c r="G99" s="4" t="s">
        <v>29</v>
      </c>
      <c r="H99" s="4" t="s">
        <v>30</v>
      </c>
      <c r="I99" s="4"/>
      <c r="J99" s="4"/>
      <c r="K99" s="4">
        <v>202</v>
      </c>
      <c r="L99" s="4">
        <v>2</v>
      </c>
      <c r="M99" s="4">
        <v>3</v>
      </c>
      <c r="N99" s="4" t="s">
        <v>3</v>
      </c>
      <c r="O99" s="4">
        <v>2</v>
      </c>
      <c r="P99" s="4"/>
      <c r="Q99" s="4"/>
      <c r="R99" s="4"/>
      <c r="S99" s="4"/>
      <c r="T99" s="4"/>
      <c r="U99" s="4"/>
      <c r="V99" s="4"/>
      <c r="W99" s="4">
        <v>143262.23000000001</v>
      </c>
      <c r="X99" s="4">
        <v>1</v>
      </c>
      <c r="Y99" s="4">
        <v>143262.23000000001</v>
      </c>
      <c r="Z99" s="4"/>
      <c r="AA99" s="4"/>
      <c r="AB99" s="4"/>
    </row>
    <row r="100" spans="1:28" x14ac:dyDescent="0.2">
      <c r="A100" s="4">
        <v>50</v>
      </c>
      <c r="B100" s="4">
        <v>0</v>
      </c>
      <c r="C100" s="4">
        <v>0</v>
      </c>
      <c r="D100" s="4">
        <v>1</v>
      </c>
      <c r="E100" s="4">
        <v>222</v>
      </c>
      <c r="F100" s="4">
        <f>ROUND(Source!AO96,O100)</f>
        <v>0</v>
      </c>
      <c r="G100" s="4" t="s">
        <v>31</v>
      </c>
      <c r="H100" s="4" t="s">
        <v>32</v>
      </c>
      <c r="I100" s="4"/>
      <c r="J100" s="4"/>
      <c r="K100" s="4">
        <v>222</v>
      </c>
      <c r="L100" s="4">
        <v>3</v>
      </c>
      <c r="M100" s="4">
        <v>3</v>
      </c>
      <c r="N100" s="4" t="s">
        <v>3</v>
      </c>
      <c r="O100" s="4">
        <v>2</v>
      </c>
      <c r="P100" s="4"/>
      <c r="Q100" s="4"/>
      <c r="R100" s="4"/>
      <c r="S100" s="4"/>
      <c r="T100" s="4"/>
      <c r="U100" s="4"/>
      <c r="V100" s="4"/>
      <c r="W100" s="4">
        <v>0</v>
      </c>
      <c r="X100" s="4">
        <v>1</v>
      </c>
      <c r="Y100" s="4">
        <v>0</v>
      </c>
      <c r="Z100" s="4"/>
      <c r="AA100" s="4"/>
      <c r="AB100" s="4"/>
    </row>
    <row r="101" spans="1:28" x14ac:dyDescent="0.2">
      <c r="A101" s="4">
        <v>50</v>
      </c>
      <c r="B101" s="4">
        <v>0</v>
      </c>
      <c r="C101" s="4">
        <v>0</v>
      </c>
      <c r="D101" s="4">
        <v>1</v>
      </c>
      <c r="E101" s="4">
        <v>225</v>
      </c>
      <c r="F101" s="4">
        <f>ROUND(Source!AV96,O101)</f>
        <v>143262.23000000001</v>
      </c>
      <c r="G101" s="4" t="s">
        <v>33</v>
      </c>
      <c r="H101" s="4" t="s">
        <v>34</v>
      </c>
      <c r="I101" s="4"/>
      <c r="J101" s="4"/>
      <c r="K101" s="4">
        <v>225</v>
      </c>
      <c r="L101" s="4">
        <v>4</v>
      </c>
      <c r="M101" s="4">
        <v>3</v>
      </c>
      <c r="N101" s="4" t="s">
        <v>3</v>
      </c>
      <c r="O101" s="4">
        <v>2</v>
      </c>
      <c r="P101" s="4"/>
      <c r="Q101" s="4"/>
      <c r="R101" s="4"/>
      <c r="S101" s="4"/>
      <c r="T101" s="4"/>
      <c r="U101" s="4"/>
      <c r="V101" s="4"/>
      <c r="W101" s="4">
        <v>143262.23000000001</v>
      </c>
      <c r="X101" s="4">
        <v>1</v>
      </c>
      <c r="Y101" s="4">
        <v>143262.23000000001</v>
      </c>
      <c r="Z101" s="4"/>
      <c r="AA101" s="4"/>
      <c r="AB101" s="4"/>
    </row>
    <row r="102" spans="1:28" x14ac:dyDescent="0.2">
      <c r="A102" s="4">
        <v>50</v>
      </c>
      <c r="B102" s="4">
        <v>0</v>
      </c>
      <c r="C102" s="4">
        <v>0</v>
      </c>
      <c r="D102" s="4">
        <v>1</v>
      </c>
      <c r="E102" s="4">
        <v>226</v>
      </c>
      <c r="F102" s="4">
        <f>ROUND(Source!AW96,O102)</f>
        <v>0</v>
      </c>
      <c r="G102" s="4" t="s">
        <v>35</v>
      </c>
      <c r="H102" s="4" t="s">
        <v>36</v>
      </c>
      <c r="I102" s="4"/>
      <c r="J102" s="4"/>
      <c r="K102" s="4">
        <v>226</v>
      </c>
      <c r="L102" s="4">
        <v>5</v>
      </c>
      <c r="M102" s="4">
        <v>3</v>
      </c>
      <c r="N102" s="4" t="s">
        <v>3</v>
      </c>
      <c r="O102" s="4">
        <v>2</v>
      </c>
      <c r="P102" s="4"/>
      <c r="Q102" s="4"/>
      <c r="R102" s="4"/>
      <c r="S102" s="4"/>
      <c r="T102" s="4"/>
      <c r="U102" s="4"/>
      <c r="V102" s="4"/>
      <c r="W102" s="4">
        <v>0</v>
      </c>
      <c r="X102" s="4">
        <v>1</v>
      </c>
      <c r="Y102" s="4">
        <v>0</v>
      </c>
      <c r="Z102" s="4"/>
      <c r="AA102" s="4"/>
      <c r="AB102" s="4"/>
    </row>
    <row r="103" spans="1:28" x14ac:dyDescent="0.2">
      <c r="A103" s="4">
        <v>50</v>
      </c>
      <c r="B103" s="4">
        <v>0</v>
      </c>
      <c r="C103" s="4">
        <v>0</v>
      </c>
      <c r="D103" s="4">
        <v>1</v>
      </c>
      <c r="E103" s="4">
        <v>227</v>
      </c>
      <c r="F103" s="4">
        <f>ROUND(Source!AX96,O103)</f>
        <v>0</v>
      </c>
      <c r="G103" s="4" t="s">
        <v>37</v>
      </c>
      <c r="H103" s="4" t="s">
        <v>38</v>
      </c>
      <c r="I103" s="4"/>
      <c r="J103" s="4"/>
      <c r="K103" s="4">
        <v>227</v>
      </c>
      <c r="L103" s="4">
        <v>6</v>
      </c>
      <c r="M103" s="4">
        <v>3</v>
      </c>
      <c r="N103" s="4" t="s">
        <v>3</v>
      </c>
      <c r="O103" s="4">
        <v>2</v>
      </c>
      <c r="P103" s="4"/>
      <c r="Q103" s="4"/>
      <c r="R103" s="4"/>
      <c r="S103" s="4"/>
      <c r="T103" s="4"/>
      <c r="U103" s="4"/>
      <c r="V103" s="4"/>
      <c r="W103" s="4">
        <v>0</v>
      </c>
      <c r="X103" s="4">
        <v>1</v>
      </c>
      <c r="Y103" s="4">
        <v>0</v>
      </c>
      <c r="Z103" s="4"/>
      <c r="AA103" s="4"/>
      <c r="AB103" s="4"/>
    </row>
    <row r="104" spans="1:28" x14ac:dyDescent="0.2">
      <c r="A104" s="4">
        <v>50</v>
      </c>
      <c r="B104" s="4">
        <v>0</v>
      </c>
      <c r="C104" s="4">
        <v>0</v>
      </c>
      <c r="D104" s="4">
        <v>1</v>
      </c>
      <c r="E104" s="4">
        <v>228</v>
      </c>
      <c r="F104" s="4">
        <f>ROUND(Source!AY96,O104)</f>
        <v>0</v>
      </c>
      <c r="G104" s="4" t="s">
        <v>39</v>
      </c>
      <c r="H104" s="4" t="s">
        <v>40</v>
      </c>
      <c r="I104" s="4"/>
      <c r="J104" s="4"/>
      <c r="K104" s="4">
        <v>228</v>
      </c>
      <c r="L104" s="4">
        <v>7</v>
      </c>
      <c r="M104" s="4">
        <v>3</v>
      </c>
      <c r="N104" s="4" t="s">
        <v>3</v>
      </c>
      <c r="O104" s="4">
        <v>2</v>
      </c>
      <c r="P104" s="4"/>
      <c r="Q104" s="4"/>
      <c r="R104" s="4"/>
      <c r="S104" s="4"/>
      <c r="T104" s="4"/>
      <c r="U104" s="4"/>
      <c r="V104" s="4"/>
      <c r="W104" s="4">
        <v>0</v>
      </c>
      <c r="X104" s="4">
        <v>1</v>
      </c>
      <c r="Y104" s="4">
        <v>0</v>
      </c>
      <c r="Z104" s="4"/>
      <c r="AA104" s="4"/>
      <c r="AB104" s="4"/>
    </row>
    <row r="105" spans="1:28" x14ac:dyDescent="0.2">
      <c r="A105" s="4">
        <v>50</v>
      </c>
      <c r="B105" s="4">
        <v>0</v>
      </c>
      <c r="C105" s="4">
        <v>0</v>
      </c>
      <c r="D105" s="4">
        <v>1</v>
      </c>
      <c r="E105" s="4">
        <v>216</v>
      </c>
      <c r="F105" s="4">
        <f>ROUND(Source!AP96,O105)</f>
        <v>143262.23000000001</v>
      </c>
      <c r="G105" s="4" t="s">
        <v>41</v>
      </c>
      <c r="H105" s="4" t="s">
        <v>42</v>
      </c>
      <c r="I105" s="4"/>
      <c r="J105" s="4"/>
      <c r="K105" s="4">
        <v>216</v>
      </c>
      <c r="L105" s="4">
        <v>8</v>
      </c>
      <c r="M105" s="4">
        <v>3</v>
      </c>
      <c r="N105" s="4" t="s">
        <v>3</v>
      </c>
      <c r="O105" s="4">
        <v>2</v>
      </c>
      <c r="P105" s="4"/>
      <c r="Q105" s="4"/>
      <c r="R105" s="4"/>
      <c r="S105" s="4"/>
      <c r="T105" s="4"/>
      <c r="U105" s="4"/>
      <c r="V105" s="4"/>
      <c r="W105" s="4">
        <v>143262.23000000001</v>
      </c>
      <c r="X105" s="4">
        <v>1</v>
      </c>
      <c r="Y105" s="4">
        <v>143262.23000000001</v>
      </c>
      <c r="Z105" s="4"/>
      <c r="AA105" s="4"/>
      <c r="AB105" s="4"/>
    </row>
    <row r="106" spans="1:28" x14ac:dyDescent="0.2">
      <c r="A106" s="4">
        <v>50</v>
      </c>
      <c r="B106" s="4">
        <v>0</v>
      </c>
      <c r="C106" s="4">
        <v>0</v>
      </c>
      <c r="D106" s="4">
        <v>1</v>
      </c>
      <c r="E106" s="4">
        <v>223</v>
      </c>
      <c r="F106" s="4">
        <f>ROUND(Source!AQ96,O106)</f>
        <v>0</v>
      </c>
      <c r="G106" s="4" t="s">
        <v>43</v>
      </c>
      <c r="H106" s="4" t="s">
        <v>44</v>
      </c>
      <c r="I106" s="4"/>
      <c r="J106" s="4"/>
      <c r="K106" s="4">
        <v>223</v>
      </c>
      <c r="L106" s="4">
        <v>9</v>
      </c>
      <c r="M106" s="4">
        <v>3</v>
      </c>
      <c r="N106" s="4" t="s">
        <v>3</v>
      </c>
      <c r="O106" s="4">
        <v>2</v>
      </c>
      <c r="P106" s="4"/>
      <c r="Q106" s="4"/>
      <c r="R106" s="4"/>
      <c r="S106" s="4"/>
      <c r="T106" s="4"/>
      <c r="U106" s="4"/>
      <c r="V106" s="4"/>
      <c r="W106" s="4">
        <v>0</v>
      </c>
      <c r="X106" s="4">
        <v>1</v>
      </c>
      <c r="Y106" s="4">
        <v>0</v>
      </c>
      <c r="Z106" s="4"/>
      <c r="AA106" s="4"/>
      <c r="AB106" s="4"/>
    </row>
    <row r="107" spans="1:28" x14ac:dyDescent="0.2">
      <c r="A107" s="4">
        <v>50</v>
      </c>
      <c r="B107" s="4">
        <v>0</v>
      </c>
      <c r="C107" s="4">
        <v>0</v>
      </c>
      <c r="D107" s="4">
        <v>1</v>
      </c>
      <c r="E107" s="4">
        <v>229</v>
      </c>
      <c r="F107" s="4">
        <f>ROUND(Source!AZ96,O107)</f>
        <v>143262.23000000001</v>
      </c>
      <c r="G107" s="4" t="s">
        <v>45</v>
      </c>
      <c r="H107" s="4" t="s">
        <v>46</v>
      </c>
      <c r="I107" s="4"/>
      <c r="J107" s="4"/>
      <c r="K107" s="4">
        <v>229</v>
      </c>
      <c r="L107" s="4">
        <v>10</v>
      </c>
      <c r="M107" s="4">
        <v>3</v>
      </c>
      <c r="N107" s="4" t="s">
        <v>3</v>
      </c>
      <c r="O107" s="4">
        <v>2</v>
      </c>
      <c r="P107" s="4"/>
      <c r="Q107" s="4"/>
      <c r="R107" s="4"/>
      <c r="S107" s="4"/>
      <c r="T107" s="4"/>
      <c r="U107" s="4"/>
      <c r="V107" s="4"/>
      <c r="W107" s="4">
        <v>143262.23000000001</v>
      </c>
      <c r="X107" s="4">
        <v>1</v>
      </c>
      <c r="Y107" s="4">
        <v>143262.23000000001</v>
      </c>
      <c r="Z107" s="4"/>
      <c r="AA107" s="4"/>
      <c r="AB107" s="4"/>
    </row>
    <row r="108" spans="1:28" x14ac:dyDescent="0.2">
      <c r="A108" s="4">
        <v>50</v>
      </c>
      <c r="B108" s="4">
        <v>0</v>
      </c>
      <c r="C108" s="4">
        <v>0</v>
      </c>
      <c r="D108" s="4">
        <v>1</v>
      </c>
      <c r="E108" s="4">
        <v>203</v>
      </c>
      <c r="F108" s="4">
        <f>ROUND(Source!Q96,O108)</f>
        <v>6.59</v>
      </c>
      <c r="G108" s="4" t="s">
        <v>47</v>
      </c>
      <c r="H108" s="4" t="s">
        <v>48</v>
      </c>
      <c r="I108" s="4"/>
      <c r="J108" s="4"/>
      <c r="K108" s="4">
        <v>203</v>
      </c>
      <c r="L108" s="4">
        <v>11</v>
      </c>
      <c r="M108" s="4">
        <v>3</v>
      </c>
      <c r="N108" s="4" t="s">
        <v>3</v>
      </c>
      <c r="O108" s="4">
        <v>2</v>
      </c>
      <c r="P108" s="4"/>
      <c r="Q108" s="4"/>
      <c r="R108" s="4"/>
      <c r="S108" s="4"/>
      <c r="T108" s="4"/>
      <c r="U108" s="4"/>
      <c r="V108" s="4"/>
      <c r="W108" s="4">
        <v>6.59</v>
      </c>
      <c r="X108" s="4">
        <v>1</v>
      </c>
      <c r="Y108" s="4">
        <v>6.59</v>
      </c>
      <c r="Z108" s="4"/>
      <c r="AA108" s="4"/>
      <c r="AB108" s="4"/>
    </row>
    <row r="109" spans="1:28" x14ac:dyDescent="0.2">
      <c r="A109" s="4">
        <v>50</v>
      </c>
      <c r="B109" s="4">
        <v>0</v>
      </c>
      <c r="C109" s="4">
        <v>0</v>
      </c>
      <c r="D109" s="4">
        <v>1</v>
      </c>
      <c r="E109" s="4">
        <v>231</v>
      </c>
      <c r="F109" s="4">
        <f>ROUND(Source!BB96,O109)</f>
        <v>0</v>
      </c>
      <c r="G109" s="4" t="s">
        <v>49</v>
      </c>
      <c r="H109" s="4" t="s">
        <v>50</v>
      </c>
      <c r="I109" s="4"/>
      <c r="J109" s="4"/>
      <c r="K109" s="4">
        <v>231</v>
      </c>
      <c r="L109" s="4">
        <v>12</v>
      </c>
      <c r="M109" s="4">
        <v>3</v>
      </c>
      <c r="N109" s="4" t="s">
        <v>3</v>
      </c>
      <c r="O109" s="4">
        <v>2</v>
      </c>
      <c r="P109" s="4"/>
      <c r="Q109" s="4"/>
      <c r="R109" s="4"/>
      <c r="S109" s="4"/>
      <c r="T109" s="4"/>
      <c r="U109" s="4"/>
      <c r="V109" s="4"/>
      <c r="W109" s="4">
        <v>0</v>
      </c>
      <c r="X109" s="4">
        <v>1</v>
      </c>
      <c r="Y109" s="4">
        <v>0</v>
      </c>
      <c r="Z109" s="4"/>
      <c r="AA109" s="4"/>
      <c r="AB109" s="4"/>
    </row>
    <row r="110" spans="1:28" x14ac:dyDescent="0.2">
      <c r="A110" s="4">
        <v>50</v>
      </c>
      <c r="B110" s="4">
        <v>0</v>
      </c>
      <c r="C110" s="4">
        <v>0</v>
      </c>
      <c r="D110" s="4">
        <v>1</v>
      </c>
      <c r="E110" s="4">
        <v>204</v>
      </c>
      <c r="F110" s="4">
        <f>ROUND(Source!R96,O110)</f>
        <v>2.73</v>
      </c>
      <c r="G110" s="4" t="s">
        <v>51</v>
      </c>
      <c r="H110" s="4" t="s">
        <v>52</v>
      </c>
      <c r="I110" s="4"/>
      <c r="J110" s="4"/>
      <c r="K110" s="4">
        <v>204</v>
      </c>
      <c r="L110" s="4">
        <v>13</v>
      </c>
      <c r="M110" s="4">
        <v>3</v>
      </c>
      <c r="N110" s="4" t="s">
        <v>3</v>
      </c>
      <c r="O110" s="4">
        <v>2</v>
      </c>
      <c r="P110" s="4"/>
      <c r="Q110" s="4"/>
      <c r="R110" s="4"/>
      <c r="S110" s="4"/>
      <c r="T110" s="4"/>
      <c r="U110" s="4"/>
      <c r="V110" s="4"/>
      <c r="W110" s="4">
        <v>2.73</v>
      </c>
      <c r="X110" s="4">
        <v>1</v>
      </c>
      <c r="Y110" s="4">
        <v>2.73</v>
      </c>
      <c r="Z110" s="4"/>
      <c r="AA110" s="4"/>
      <c r="AB110" s="4"/>
    </row>
    <row r="111" spans="1:28" x14ac:dyDescent="0.2">
      <c r="A111" s="4">
        <v>50</v>
      </c>
      <c r="B111" s="4">
        <v>0</v>
      </c>
      <c r="C111" s="4">
        <v>0</v>
      </c>
      <c r="D111" s="4">
        <v>1</v>
      </c>
      <c r="E111" s="4">
        <v>205</v>
      </c>
      <c r="F111" s="4">
        <f>ROUND(Source!S96,O111)</f>
        <v>415.9</v>
      </c>
      <c r="G111" s="4" t="s">
        <v>53</v>
      </c>
      <c r="H111" s="4" t="s">
        <v>54</v>
      </c>
      <c r="I111" s="4"/>
      <c r="J111" s="4"/>
      <c r="K111" s="4">
        <v>205</v>
      </c>
      <c r="L111" s="4">
        <v>14</v>
      </c>
      <c r="M111" s="4">
        <v>3</v>
      </c>
      <c r="N111" s="4" t="s">
        <v>3</v>
      </c>
      <c r="O111" s="4">
        <v>2</v>
      </c>
      <c r="P111" s="4"/>
      <c r="Q111" s="4"/>
      <c r="R111" s="4"/>
      <c r="S111" s="4"/>
      <c r="T111" s="4"/>
      <c r="U111" s="4"/>
      <c r="V111" s="4"/>
      <c r="W111" s="4">
        <v>415.9</v>
      </c>
      <c r="X111" s="4">
        <v>1</v>
      </c>
      <c r="Y111" s="4">
        <v>415.9</v>
      </c>
      <c r="Z111" s="4"/>
      <c r="AA111" s="4"/>
      <c r="AB111" s="4"/>
    </row>
    <row r="112" spans="1:28" x14ac:dyDescent="0.2">
      <c r="A112" s="4">
        <v>50</v>
      </c>
      <c r="B112" s="4">
        <v>0</v>
      </c>
      <c r="C112" s="4">
        <v>0</v>
      </c>
      <c r="D112" s="4">
        <v>1</v>
      </c>
      <c r="E112" s="4">
        <v>232</v>
      </c>
      <c r="F112" s="4">
        <f>ROUND(Source!BC96,O112)</f>
        <v>0</v>
      </c>
      <c r="G112" s="4" t="s">
        <v>55</v>
      </c>
      <c r="H112" s="4" t="s">
        <v>56</v>
      </c>
      <c r="I112" s="4"/>
      <c r="J112" s="4"/>
      <c r="K112" s="4">
        <v>232</v>
      </c>
      <c r="L112" s="4">
        <v>15</v>
      </c>
      <c r="M112" s="4">
        <v>3</v>
      </c>
      <c r="N112" s="4" t="s">
        <v>3</v>
      </c>
      <c r="O112" s="4">
        <v>2</v>
      </c>
      <c r="P112" s="4"/>
      <c r="Q112" s="4"/>
      <c r="R112" s="4"/>
      <c r="S112" s="4"/>
      <c r="T112" s="4"/>
      <c r="U112" s="4"/>
      <c r="V112" s="4"/>
      <c r="W112" s="4">
        <v>0</v>
      </c>
      <c r="X112" s="4">
        <v>1</v>
      </c>
      <c r="Y112" s="4">
        <v>0</v>
      </c>
      <c r="Z112" s="4"/>
      <c r="AA112" s="4"/>
      <c r="AB112" s="4"/>
    </row>
    <row r="113" spans="1:206" x14ac:dyDescent="0.2">
      <c r="A113" s="4">
        <v>50</v>
      </c>
      <c r="B113" s="4">
        <v>0</v>
      </c>
      <c r="C113" s="4">
        <v>0</v>
      </c>
      <c r="D113" s="4">
        <v>1</v>
      </c>
      <c r="E113" s="4">
        <v>214</v>
      </c>
      <c r="F113" s="4">
        <f>ROUND(Source!AS96,O113)</f>
        <v>0</v>
      </c>
      <c r="G113" s="4" t="s">
        <v>57</v>
      </c>
      <c r="H113" s="4" t="s">
        <v>58</v>
      </c>
      <c r="I113" s="4"/>
      <c r="J113" s="4"/>
      <c r="K113" s="4">
        <v>214</v>
      </c>
      <c r="L113" s="4">
        <v>16</v>
      </c>
      <c r="M113" s="4">
        <v>3</v>
      </c>
      <c r="N113" s="4" t="s">
        <v>3</v>
      </c>
      <c r="O113" s="4">
        <v>2</v>
      </c>
      <c r="P113" s="4"/>
      <c r="Q113" s="4"/>
      <c r="R113" s="4"/>
      <c r="S113" s="4"/>
      <c r="T113" s="4"/>
      <c r="U113" s="4"/>
      <c r="V113" s="4"/>
      <c r="W113" s="4">
        <v>0</v>
      </c>
      <c r="X113" s="4">
        <v>1</v>
      </c>
      <c r="Y113" s="4">
        <v>0</v>
      </c>
      <c r="Z113" s="4"/>
      <c r="AA113" s="4"/>
      <c r="AB113" s="4"/>
    </row>
    <row r="114" spans="1:206" x14ac:dyDescent="0.2">
      <c r="A114" s="4">
        <v>50</v>
      </c>
      <c r="B114" s="4">
        <v>0</v>
      </c>
      <c r="C114" s="4">
        <v>0</v>
      </c>
      <c r="D114" s="4">
        <v>1</v>
      </c>
      <c r="E114" s="4">
        <v>215</v>
      </c>
      <c r="F114" s="4">
        <f>ROUND(Source!AT96,O114)</f>
        <v>980.01</v>
      </c>
      <c r="G114" s="4" t="s">
        <v>59</v>
      </c>
      <c r="H114" s="4" t="s">
        <v>60</v>
      </c>
      <c r="I114" s="4"/>
      <c r="J114" s="4"/>
      <c r="K114" s="4">
        <v>215</v>
      </c>
      <c r="L114" s="4">
        <v>17</v>
      </c>
      <c r="M114" s="4">
        <v>3</v>
      </c>
      <c r="N114" s="4" t="s">
        <v>3</v>
      </c>
      <c r="O114" s="4">
        <v>2</v>
      </c>
      <c r="P114" s="4"/>
      <c r="Q114" s="4"/>
      <c r="R114" s="4"/>
      <c r="S114" s="4"/>
      <c r="T114" s="4"/>
      <c r="U114" s="4"/>
      <c r="V114" s="4"/>
      <c r="W114" s="4">
        <v>980.01</v>
      </c>
      <c r="X114" s="4">
        <v>1</v>
      </c>
      <c r="Y114" s="4">
        <v>980.01</v>
      </c>
      <c r="Z114" s="4"/>
      <c r="AA114" s="4"/>
      <c r="AB114" s="4"/>
    </row>
    <row r="115" spans="1:206" x14ac:dyDescent="0.2">
      <c r="A115" s="4">
        <v>50</v>
      </c>
      <c r="B115" s="4">
        <v>0</v>
      </c>
      <c r="C115" s="4">
        <v>0</v>
      </c>
      <c r="D115" s="4">
        <v>1</v>
      </c>
      <c r="E115" s="4">
        <v>217</v>
      </c>
      <c r="F115" s="4">
        <f>ROUND(Source!AU96,O115)</f>
        <v>0</v>
      </c>
      <c r="G115" s="4" t="s">
        <v>61</v>
      </c>
      <c r="H115" s="4" t="s">
        <v>62</v>
      </c>
      <c r="I115" s="4"/>
      <c r="J115" s="4"/>
      <c r="K115" s="4">
        <v>217</v>
      </c>
      <c r="L115" s="4">
        <v>18</v>
      </c>
      <c r="M115" s="4">
        <v>3</v>
      </c>
      <c r="N115" s="4" t="s">
        <v>3</v>
      </c>
      <c r="O115" s="4">
        <v>2</v>
      </c>
      <c r="P115" s="4"/>
      <c r="Q115" s="4"/>
      <c r="R115" s="4"/>
      <c r="S115" s="4"/>
      <c r="T115" s="4"/>
      <c r="U115" s="4"/>
      <c r="V115" s="4"/>
      <c r="W115" s="4">
        <v>0</v>
      </c>
      <c r="X115" s="4">
        <v>1</v>
      </c>
      <c r="Y115" s="4">
        <v>0</v>
      </c>
      <c r="Z115" s="4"/>
      <c r="AA115" s="4"/>
      <c r="AB115" s="4"/>
    </row>
    <row r="116" spans="1:206" x14ac:dyDescent="0.2">
      <c r="A116" s="4">
        <v>50</v>
      </c>
      <c r="B116" s="4">
        <v>0</v>
      </c>
      <c r="C116" s="4">
        <v>0</v>
      </c>
      <c r="D116" s="4">
        <v>1</v>
      </c>
      <c r="E116" s="4">
        <v>230</v>
      </c>
      <c r="F116" s="4">
        <f>ROUND(Source!BA96,O116)</f>
        <v>0</v>
      </c>
      <c r="G116" s="4" t="s">
        <v>63</v>
      </c>
      <c r="H116" s="4" t="s">
        <v>64</v>
      </c>
      <c r="I116" s="4"/>
      <c r="J116" s="4"/>
      <c r="K116" s="4">
        <v>230</v>
      </c>
      <c r="L116" s="4">
        <v>19</v>
      </c>
      <c r="M116" s="4">
        <v>3</v>
      </c>
      <c r="N116" s="4" t="s">
        <v>3</v>
      </c>
      <c r="O116" s="4">
        <v>2</v>
      </c>
      <c r="P116" s="4"/>
      <c r="Q116" s="4"/>
      <c r="R116" s="4"/>
      <c r="S116" s="4"/>
      <c r="T116" s="4"/>
      <c r="U116" s="4"/>
      <c r="V116" s="4"/>
      <c r="W116" s="4">
        <v>0</v>
      </c>
      <c r="X116" s="4">
        <v>1</v>
      </c>
      <c r="Y116" s="4">
        <v>0</v>
      </c>
      <c r="Z116" s="4"/>
      <c r="AA116" s="4"/>
      <c r="AB116" s="4"/>
    </row>
    <row r="117" spans="1:206" x14ac:dyDescent="0.2">
      <c r="A117" s="4">
        <v>50</v>
      </c>
      <c r="B117" s="4">
        <v>0</v>
      </c>
      <c r="C117" s="4">
        <v>0</v>
      </c>
      <c r="D117" s="4">
        <v>1</v>
      </c>
      <c r="E117" s="4">
        <v>206</v>
      </c>
      <c r="F117" s="4">
        <f>ROUND(Source!T96,O117)</f>
        <v>0</v>
      </c>
      <c r="G117" s="4" t="s">
        <v>65</v>
      </c>
      <c r="H117" s="4" t="s">
        <v>66</v>
      </c>
      <c r="I117" s="4"/>
      <c r="J117" s="4"/>
      <c r="K117" s="4">
        <v>206</v>
      </c>
      <c r="L117" s="4">
        <v>20</v>
      </c>
      <c r="M117" s="4">
        <v>3</v>
      </c>
      <c r="N117" s="4" t="s">
        <v>3</v>
      </c>
      <c r="O117" s="4">
        <v>2</v>
      </c>
      <c r="P117" s="4"/>
      <c r="Q117" s="4"/>
      <c r="R117" s="4"/>
      <c r="S117" s="4"/>
      <c r="T117" s="4"/>
      <c r="U117" s="4"/>
      <c r="V117" s="4"/>
      <c r="W117" s="4">
        <v>0</v>
      </c>
      <c r="X117" s="4">
        <v>1</v>
      </c>
      <c r="Y117" s="4">
        <v>0</v>
      </c>
      <c r="Z117" s="4"/>
      <c r="AA117" s="4"/>
      <c r="AB117" s="4"/>
    </row>
    <row r="118" spans="1:206" x14ac:dyDescent="0.2">
      <c r="A118" s="4">
        <v>50</v>
      </c>
      <c r="B118" s="4">
        <v>0</v>
      </c>
      <c r="C118" s="4">
        <v>0</v>
      </c>
      <c r="D118" s="4">
        <v>1</v>
      </c>
      <c r="E118" s="4">
        <v>207</v>
      </c>
      <c r="F118" s="4">
        <f>Source!U96</f>
        <v>1.0784099999999999</v>
      </c>
      <c r="G118" s="4" t="s">
        <v>67</v>
      </c>
      <c r="H118" s="4" t="s">
        <v>68</v>
      </c>
      <c r="I118" s="4"/>
      <c r="J118" s="4"/>
      <c r="K118" s="4">
        <v>207</v>
      </c>
      <c r="L118" s="4">
        <v>21</v>
      </c>
      <c r="M118" s="4">
        <v>3</v>
      </c>
      <c r="N118" s="4" t="s">
        <v>3</v>
      </c>
      <c r="O118" s="4">
        <v>-1</v>
      </c>
      <c r="P118" s="4"/>
      <c r="Q118" s="4"/>
      <c r="R118" s="4"/>
      <c r="S118" s="4"/>
      <c r="T118" s="4"/>
      <c r="U118" s="4"/>
      <c r="V118" s="4"/>
      <c r="W118" s="4">
        <v>1.0784100000000001</v>
      </c>
      <c r="X118" s="4">
        <v>1</v>
      </c>
      <c r="Y118" s="4">
        <v>1.0784100000000001</v>
      </c>
      <c r="Z118" s="4"/>
      <c r="AA118" s="4"/>
      <c r="AB118" s="4"/>
    </row>
    <row r="119" spans="1:206" x14ac:dyDescent="0.2">
      <c r="A119" s="4">
        <v>50</v>
      </c>
      <c r="B119" s="4">
        <v>0</v>
      </c>
      <c r="C119" s="4">
        <v>0</v>
      </c>
      <c r="D119" s="4">
        <v>1</v>
      </c>
      <c r="E119" s="4">
        <v>208</v>
      </c>
      <c r="F119" s="4">
        <f>Source!V96</f>
        <v>0</v>
      </c>
      <c r="G119" s="4" t="s">
        <v>69</v>
      </c>
      <c r="H119" s="4" t="s">
        <v>70</v>
      </c>
      <c r="I119" s="4"/>
      <c r="J119" s="4"/>
      <c r="K119" s="4">
        <v>208</v>
      </c>
      <c r="L119" s="4">
        <v>22</v>
      </c>
      <c r="M119" s="4">
        <v>3</v>
      </c>
      <c r="N119" s="4" t="s">
        <v>3</v>
      </c>
      <c r="O119" s="4">
        <v>-1</v>
      </c>
      <c r="P119" s="4"/>
      <c r="Q119" s="4"/>
      <c r="R119" s="4"/>
      <c r="S119" s="4"/>
      <c r="T119" s="4"/>
      <c r="U119" s="4"/>
      <c r="V119" s="4"/>
      <c r="W119" s="4">
        <v>0</v>
      </c>
      <c r="X119" s="4">
        <v>1</v>
      </c>
      <c r="Y119" s="4">
        <v>0</v>
      </c>
      <c r="Z119" s="4"/>
      <c r="AA119" s="4"/>
      <c r="AB119" s="4"/>
    </row>
    <row r="120" spans="1:206" x14ac:dyDescent="0.2">
      <c r="A120" s="4">
        <v>50</v>
      </c>
      <c r="B120" s="4">
        <v>0</v>
      </c>
      <c r="C120" s="4">
        <v>0</v>
      </c>
      <c r="D120" s="4">
        <v>1</v>
      </c>
      <c r="E120" s="4">
        <v>209</v>
      </c>
      <c r="F120" s="4">
        <f>ROUND(Source!W96,O120)</f>
        <v>0</v>
      </c>
      <c r="G120" s="4" t="s">
        <v>71</v>
      </c>
      <c r="H120" s="4" t="s">
        <v>72</v>
      </c>
      <c r="I120" s="4"/>
      <c r="J120" s="4"/>
      <c r="K120" s="4">
        <v>209</v>
      </c>
      <c r="L120" s="4">
        <v>23</v>
      </c>
      <c r="M120" s="4">
        <v>3</v>
      </c>
      <c r="N120" s="4" t="s">
        <v>3</v>
      </c>
      <c r="O120" s="4">
        <v>2</v>
      </c>
      <c r="P120" s="4"/>
      <c r="Q120" s="4"/>
      <c r="R120" s="4"/>
      <c r="S120" s="4"/>
      <c r="T120" s="4"/>
      <c r="U120" s="4"/>
      <c r="V120" s="4"/>
      <c r="W120" s="4">
        <v>0</v>
      </c>
      <c r="X120" s="4">
        <v>1</v>
      </c>
      <c r="Y120" s="4">
        <v>0</v>
      </c>
      <c r="Z120" s="4"/>
      <c r="AA120" s="4"/>
      <c r="AB120" s="4"/>
    </row>
    <row r="121" spans="1:206" x14ac:dyDescent="0.2">
      <c r="A121" s="4">
        <v>50</v>
      </c>
      <c r="B121" s="4">
        <v>0</v>
      </c>
      <c r="C121" s="4">
        <v>0</v>
      </c>
      <c r="D121" s="4">
        <v>1</v>
      </c>
      <c r="E121" s="4">
        <v>233</v>
      </c>
      <c r="F121" s="4">
        <f>ROUND(Source!BD96,O121)</f>
        <v>0</v>
      </c>
      <c r="G121" s="4" t="s">
        <v>73</v>
      </c>
      <c r="H121" s="4" t="s">
        <v>74</v>
      </c>
      <c r="I121" s="4"/>
      <c r="J121" s="4"/>
      <c r="K121" s="4">
        <v>233</v>
      </c>
      <c r="L121" s="4">
        <v>24</v>
      </c>
      <c r="M121" s="4">
        <v>3</v>
      </c>
      <c r="N121" s="4" t="s">
        <v>3</v>
      </c>
      <c r="O121" s="4">
        <v>2</v>
      </c>
      <c r="P121" s="4"/>
      <c r="Q121" s="4"/>
      <c r="R121" s="4"/>
      <c r="S121" s="4"/>
      <c r="T121" s="4"/>
      <c r="U121" s="4"/>
      <c r="V121" s="4"/>
      <c r="W121" s="4">
        <v>0</v>
      </c>
      <c r="X121" s="4">
        <v>1</v>
      </c>
      <c r="Y121" s="4">
        <v>0</v>
      </c>
      <c r="Z121" s="4"/>
      <c r="AA121" s="4"/>
      <c r="AB121" s="4"/>
    </row>
    <row r="122" spans="1:206" x14ac:dyDescent="0.2">
      <c r="A122" s="4">
        <v>50</v>
      </c>
      <c r="B122" s="4">
        <v>0</v>
      </c>
      <c r="C122" s="4">
        <v>0</v>
      </c>
      <c r="D122" s="4">
        <v>1</v>
      </c>
      <c r="E122" s="4">
        <v>210</v>
      </c>
      <c r="F122" s="4">
        <f>ROUND(Source!X96,O122)</f>
        <v>382.63</v>
      </c>
      <c r="G122" s="4" t="s">
        <v>75</v>
      </c>
      <c r="H122" s="4" t="s">
        <v>76</v>
      </c>
      <c r="I122" s="4"/>
      <c r="J122" s="4"/>
      <c r="K122" s="4">
        <v>210</v>
      </c>
      <c r="L122" s="4">
        <v>25</v>
      </c>
      <c r="M122" s="4">
        <v>3</v>
      </c>
      <c r="N122" s="4" t="s">
        <v>3</v>
      </c>
      <c r="O122" s="4">
        <v>2</v>
      </c>
      <c r="P122" s="4"/>
      <c r="Q122" s="4"/>
      <c r="R122" s="4"/>
      <c r="S122" s="4"/>
      <c r="T122" s="4"/>
      <c r="U122" s="4"/>
      <c r="V122" s="4"/>
      <c r="W122" s="4">
        <v>382.63</v>
      </c>
      <c r="X122" s="4">
        <v>1</v>
      </c>
      <c r="Y122" s="4">
        <v>382.63</v>
      </c>
      <c r="Z122" s="4"/>
      <c r="AA122" s="4"/>
      <c r="AB122" s="4"/>
    </row>
    <row r="123" spans="1:206" x14ac:dyDescent="0.2">
      <c r="A123" s="4">
        <v>50</v>
      </c>
      <c r="B123" s="4">
        <v>0</v>
      </c>
      <c r="C123" s="4">
        <v>0</v>
      </c>
      <c r="D123" s="4">
        <v>1</v>
      </c>
      <c r="E123" s="4">
        <v>211</v>
      </c>
      <c r="F123" s="4">
        <f>ROUND(Source!Y96,O123)</f>
        <v>170.52</v>
      </c>
      <c r="G123" s="4" t="s">
        <v>77</v>
      </c>
      <c r="H123" s="4" t="s">
        <v>78</v>
      </c>
      <c r="I123" s="4"/>
      <c r="J123" s="4"/>
      <c r="K123" s="4">
        <v>211</v>
      </c>
      <c r="L123" s="4">
        <v>26</v>
      </c>
      <c r="M123" s="4">
        <v>3</v>
      </c>
      <c r="N123" s="4" t="s">
        <v>3</v>
      </c>
      <c r="O123" s="4">
        <v>2</v>
      </c>
      <c r="P123" s="4"/>
      <c r="Q123" s="4"/>
      <c r="R123" s="4"/>
      <c r="S123" s="4"/>
      <c r="T123" s="4"/>
      <c r="U123" s="4"/>
      <c r="V123" s="4"/>
      <c r="W123" s="4">
        <v>170.52</v>
      </c>
      <c r="X123" s="4">
        <v>1</v>
      </c>
      <c r="Y123" s="4">
        <v>170.52</v>
      </c>
      <c r="Z123" s="4"/>
      <c r="AA123" s="4"/>
      <c r="AB123" s="4"/>
    </row>
    <row r="124" spans="1:206" x14ac:dyDescent="0.2">
      <c r="A124" s="4">
        <v>50</v>
      </c>
      <c r="B124" s="4">
        <v>0</v>
      </c>
      <c r="C124" s="4">
        <v>0</v>
      </c>
      <c r="D124" s="4">
        <v>1</v>
      </c>
      <c r="E124" s="4">
        <v>224</v>
      </c>
      <c r="F124" s="4">
        <f>ROUND(Source!AR96,O124)</f>
        <v>144242.23999999999</v>
      </c>
      <c r="G124" s="4" t="s">
        <v>79</v>
      </c>
      <c r="H124" s="4" t="s">
        <v>80</v>
      </c>
      <c r="I124" s="4"/>
      <c r="J124" s="4"/>
      <c r="K124" s="4">
        <v>224</v>
      </c>
      <c r="L124" s="4">
        <v>27</v>
      </c>
      <c r="M124" s="4">
        <v>3</v>
      </c>
      <c r="N124" s="4" t="s">
        <v>3</v>
      </c>
      <c r="O124" s="4">
        <v>2</v>
      </c>
      <c r="P124" s="4"/>
      <c r="Q124" s="4"/>
      <c r="R124" s="4"/>
      <c r="S124" s="4"/>
      <c r="T124" s="4"/>
      <c r="U124" s="4"/>
      <c r="V124" s="4"/>
      <c r="W124" s="4">
        <v>144242.23999999999</v>
      </c>
      <c r="X124" s="4">
        <v>1</v>
      </c>
      <c r="Y124" s="4">
        <v>144242.23999999999</v>
      </c>
      <c r="Z124" s="4"/>
      <c r="AA124" s="4"/>
      <c r="AB124" s="4"/>
    </row>
    <row r="126" spans="1:206" x14ac:dyDescent="0.2">
      <c r="A126" s="1">
        <v>3</v>
      </c>
      <c r="B126" s="1">
        <v>1</v>
      </c>
      <c r="C126" s="1"/>
      <c r="D126" s="1">
        <f>ROW(A172)</f>
        <v>172</v>
      </c>
      <c r="E126" s="1"/>
      <c r="F126" s="1" t="s">
        <v>91</v>
      </c>
      <c r="G126" s="1" t="s">
        <v>92</v>
      </c>
      <c r="H126" s="1" t="s">
        <v>3</v>
      </c>
      <c r="I126" s="1">
        <v>0</v>
      </c>
      <c r="J126" s="1" t="s">
        <v>16</v>
      </c>
      <c r="K126" s="1">
        <v>-1</v>
      </c>
      <c r="L126" s="1" t="s">
        <v>91</v>
      </c>
      <c r="M126" s="1" t="s">
        <v>3</v>
      </c>
      <c r="N126" s="1"/>
      <c r="O126" s="1"/>
      <c r="P126" s="1"/>
      <c r="Q126" s="1"/>
      <c r="R126" s="1"/>
      <c r="S126" s="1">
        <v>0</v>
      </c>
      <c r="T126" s="1"/>
      <c r="U126" s="1" t="s">
        <v>3</v>
      </c>
      <c r="V126" s="1">
        <v>0</v>
      </c>
      <c r="W126" s="1"/>
      <c r="X126" s="1"/>
      <c r="Y126" s="1"/>
      <c r="Z126" s="1"/>
      <c r="AA126" s="1"/>
      <c r="AB126" s="1" t="s">
        <v>3</v>
      </c>
      <c r="AC126" s="1" t="s">
        <v>3</v>
      </c>
      <c r="AD126" s="1" t="s">
        <v>3</v>
      </c>
      <c r="AE126" s="1" t="s">
        <v>3</v>
      </c>
      <c r="AF126" s="1" t="s">
        <v>3</v>
      </c>
      <c r="AG126" s="1" t="s">
        <v>3</v>
      </c>
      <c r="AH126" s="1"/>
      <c r="AI126" s="1"/>
      <c r="AJ126" s="1"/>
      <c r="AK126" s="1"/>
      <c r="AL126" s="1"/>
      <c r="AM126" s="1"/>
      <c r="AN126" s="1"/>
      <c r="AO126" s="1"/>
      <c r="AP126" s="1" t="s">
        <v>3</v>
      </c>
      <c r="AQ126" s="1" t="s">
        <v>3</v>
      </c>
      <c r="AR126" s="1" t="s">
        <v>3</v>
      </c>
      <c r="AS126" s="1"/>
      <c r="AT126" s="1"/>
      <c r="AU126" s="1"/>
      <c r="AV126" s="1"/>
      <c r="AW126" s="1"/>
      <c r="AX126" s="1"/>
      <c r="AY126" s="1"/>
      <c r="AZ126" s="1" t="s">
        <v>3</v>
      </c>
      <c r="BA126" s="1"/>
      <c r="BB126" s="1" t="s">
        <v>3</v>
      </c>
      <c r="BC126" s="1" t="s">
        <v>3</v>
      </c>
      <c r="BD126" s="1" t="s">
        <v>3</v>
      </c>
      <c r="BE126" s="1" t="s">
        <v>3</v>
      </c>
      <c r="BF126" s="1" t="s">
        <v>3</v>
      </c>
      <c r="BG126" s="1" t="s">
        <v>3</v>
      </c>
      <c r="BH126" s="1" t="s">
        <v>3</v>
      </c>
      <c r="BI126" s="1" t="s">
        <v>3</v>
      </c>
      <c r="BJ126" s="1" t="s">
        <v>3</v>
      </c>
      <c r="BK126" s="1" t="s">
        <v>3</v>
      </c>
      <c r="BL126" s="1" t="s">
        <v>3</v>
      </c>
      <c r="BM126" s="1" t="s">
        <v>3</v>
      </c>
      <c r="BN126" s="1" t="s">
        <v>3</v>
      </c>
      <c r="BO126" s="1" t="s">
        <v>3</v>
      </c>
      <c r="BP126" s="1" t="s">
        <v>3</v>
      </c>
      <c r="BQ126" s="1"/>
      <c r="BR126" s="1"/>
      <c r="BS126" s="1"/>
      <c r="BT126" s="1"/>
      <c r="BU126" s="1"/>
      <c r="BV126" s="1"/>
      <c r="BW126" s="1"/>
      <c r="BX126" s="1">
        <v>0</v>
      </c>
      <c r="BY126" s="1"/>
      <c r="BZ126" s="1"/>
      <c r="CA126" s="1"/>
      <c r="CB126" s="1"/>
      <c r="CC126" s="1"/>
      <c r="CD126" s="1"/>
      <c r="CE126" s="1"/>
      <c r="CF126" s="1">
        <v>0</v>
      </c>
      <c r="CG126" s="1">
        <v>0</v>
      </c>
      <c r="CH126" s="1"/>
      <c r="CI126" s="1" t="s">
        <v>3</v>
      </c>
      <c r="CJ126" s="1" t="s">
        <v>3</v>
      </c>
      <c r="CK126" t="s">
        <v>3</v>
      </c>
      <c r="CL126" t="s">
        <v>3</v>
      </c>
      <c r="CM126" t="s">
        <v>3</v>
      </c>
      <c r="CN126" t="s">
        <v>3</v>
      </c>
      <c r="CO126" t="s">
        <v>3</v>
      </c>
      <c r="CP126" t="s">
        <v>3</v>
      </c>
      <c r="CQ126" t="s">
        <v>3</v>
      </c>
    </row>
    <row r="128" spans="1:206" x14ac:dyDescent="0.2">
      <c r="A128" s="2">
        <v>52</v>
      </c>
      <c r="B128" s="2">
        <f t="shared" ref="B128:G128" si="34">B172</f>
        <v>1</v>
      </c>
      <c r="C128" s="2">
        <f t="shared" si="34"/>
        <v>3</v>
      </c>
      <c r="D128" s="2">
        <f t="shared" si="34"/>
        <v>126</v>
      </c>
      <c r="E128" s="2">
        <f t="shared" si="34"/>
        <v>0</v>
      </c>
      <c r="F128" s="2" t="str">
        <f t="shared" si="34"/>
        <v>09-01-01</v>
      </c>
      <c r="G128" s="2" t="str">
        <f t="shared" si="34"/>
        <v>Система телемеханики с включением в АИИС КУЭ в ТП. ПНР</v>
      </c>
      <c r="H128" s="2"/>
      <c r="I128" s="2"/>
      <c r="J128" s="2"/>
      <c r="K128" s="2"/>
      <c r="L128" s="2"/>
      <c r="M128" s="2"/>
      <c r="N128" s="2"/>
      <c r="O128" s="2">
        <f t="shared" ref="O128:AT128" si="35">O172</f>
        <v>206250.64</v>
      </c>
      <c r="P128" s="2">
        <f t="shared" si="35"/>
        <v>0</v>
      </c>
      <c r="Q128" s="2">
        <f t="shared" si="35"/>
        <v>0</v>
      </c>
      <c r="R128" s="2">
        <f t="shared" si="35"/>
        <v>0</v>
      </c>
      <c r="S128" s="2">
        <f t="shared" si="35"/>
        <v>206250.64</v>
      </c>
      <c r="T128" s="2">
        <f t="shared" si="35"/>
        <v>0</v>
      </c>
      <c r="U128" s="2">
        <f t="shared" si="35"/>
        <v>325.04000000000002</v>
      </c>
      <c r="V128" s="2">
        <f t="shared" si="35"/>
        <v>0</v>
      </c>
      <c r="W128" s="2">
        <f t="shared" si="35"/>
        <v>0</v>
      </c>
      <c r="X128" s="2">
        <f t="shared" si="35"/>
        <v>144375.45000000001</v>
      </c>
      <c r="Y128" s="2">
        <f t="shared" si="35"/>
        <v>84562.76</v>
      </c>
      <c r="Z128" s="2">
        <f t="shared" si="35"/>
        <v>0</v>
      </c>
      <c r="AA128" s="2">
        <f t="shared" si="35"/>
        <v>0</v>
      </c>
      <c r="AB128" s="2">
        <f t="shared" si="35"/>
        <v>0</v>
      </c>
      <c r="AC128" s="2">
        <f t="shared" si="35"/>
        <v>0</v>
      </c>
      <c r="AD128" s="2">
        <f t="shared" si="35"/>
        <v>0</v>
      </c>
      <c r="AE128" s="2">
        <f t="shared" si="35"/>
        <v>0</v>
      </c>
      <c r="AF128" s="2">
        <f t="shared" si="35"/>
        <v>0</v>
      </c>
      <c r="AG128" s="2">
        <f t="shared" si="35"/>
        <v>0</v>
      </c>
      <c r="AH128" s="2">
        <f t="shared" si="35"/>
        <v>0</v>
      </c>
      <c r="AI128" s="2">
        <f t="shared" si="35"/>
        <v>0</v>
      </c>
      <c r="AJ128" s="2">
        <f t="shared" si="35"/>
        <v>0</v>
      </c>
      <c r="AK128" s="2">
        <f t="shared" si="35"/>
        <v>0</v>
      </c>
      <c r="AL128" s="2">
        <f t="shared" si="35"/>
        <v>0</v>
      </c>
      <c r="AM128" s="2">
        <f t="shared" si="35"/>
        <v>0</v>
      </c>
      <c r="AN128" s="2">
        <f t="shared" si="35"/>
        <v>0</v>
      </c>
      <c r="AO128" s="2">
        <f t="shared" si="35"/>
        <v>0</v>
      </c>
      <c r="AP128" s="2">
        <f t="shared" si="35"/>
        <v>0</v>
      </c>
      <c r="AQ128" s="2">
        <f t="shared" si="35"/>
        <v>0</v>
      </c>
      <c r="AR128" s="2">
        <f t="shared" si="35"/>
        <v>435188.85</v>
      </c>
      <c r="AS128" s="2">
        <f t="shared" si="35"/>
        <v>0</v>
      </c>
      <c r="AT128" s="2">
        <f t="shared" si="35"/>
        <v>0</v>
      </c>
      <c r="AU128" s="2">
        <f t="shared" ref="AU128:BZ128" si="36">AU172</f>
        <v>435188.85</v>
      </c>
      <c r="AV128" s="2">
        <f t="shared" si="36"/>
        <v>0</v>
      </c>
      <c r="AW128" s="2">
        <f t="shared" si="36"/>
        <v>0</v>
      </c>
      <c r="AX128" s="2">
        <f t="shared" si="36"/>
        <v>0</v>
      </c>
      <c r="AY128" s="2">
        <f t="shared" si="36"/>
        <v>0</v>
      </c>
      <c r="AZ128" s="2">
        <f t="shared" si="36"/>
        <v>0</v>
      </c>
      <c r="BA128" s="2">
        <f t="shared" si="36"/>
        <v>0</v>
      </c>
      <c r="BB128" s="2">
        <f t="shared" si="36"/>
        <v>0</v>
      </c>
      <c r="BC128" s="2">
        <f t="shared" si="36"/>
        <v>0</v>
      </c>
      <c r="BD128" s="2">
        <f t="shared" si="36"/>
        <v>0</v>
      </c>
      <c r="BE128" s="2">
        <f t="shared" si="36"/>
        <v>0</v>
      </c>
      <c r="BF128" s="2">
        <f t="shared" si="36"/>
        <v>0</v>
      </c>
      <c r="BG128" s="2">
        <f t="shared" si="36"/>
        <v>0</v>
      </c>
      <c r="BH128" s="2">
        <f t="shared" si="36"/>
        <v>0</v>
      </c>
      <c r="BI128" s="2">
        <f t="shared" si="36"/>
        <v>0</v>
      </c>
      <c r="BJ128" s="2">
        <f t="shared" si="36"/>
        <v>0</v>
      </c>
      <c r="BK128" s="2">
        <f t="shared" si="36"/>
        <v>0</v>
      </c>
      <c r="BL128" s="2">
        <f t="shared" si="36"/>
        <v>0</v>
      </c>
      <c r="BM128" s="2">
        <f t="shared" si="36"/>
        <v>0</v>
      </c>
      <c r="BN128" s="2">
        <f t="shared" si="36"/>
        <v>0</v>
      </c>
      <c r="BO128" s="2">
        <f t="shared" si="36"/>
        <v>0</v>
      </c>
      <c r="BP128" s="2">
        <f t="shared" si="36"/>
        <v>0</v>
      </c>
      <c r="BQ128" s="2">
        <f t="shared" si="36"/>
        <v>0</v>
      </c>
      <c r="BR128" s="2">
        <f t="shared" si="36"/>
        <v>0</v>
      </c>
      <c r="BS128" s="2">
        <f t="shared" si="36"/>
        <v>0</v>
      </c>
      <c r="BT128" s="2">
        <f t="shared" si="36"/>
        <v>0</v>
      </c>
      <c r="BU128" s="2">
        <f t="shared" si="36"/>
        <v>0</v>
      </c>
      <c r="BV128" s="2">
        <f t="shared" si="36"/>
        <v>0</v>
      </c>
      <c r="BW128" s="2">
        <f t="shared" si="36"/>
        <v>0</v>
      </c>
      <c r="BX128" s="2">
        <f t="shared" si="36"/>
        <v>0</v>
      </c>
      <c r="BY128" s="2">
        <f t="shared" si="36"/>
        <v>0</v>
      </c>
      <c r="BZ128" s="2">
        <f t="shared" si="36"/>
        <v>0</v>
      </c>
      <c r="CA128" s="2">
        <f t="shared" ref="CA128:DF128" si="37">CA172</f>
        <v>0</v>
      </c>
      <c r="CB128" s="2">
        <f t="shared" si="37"/>
        <v>0</v>
      </c>
      <c r="CC128" s="2">
        <f t="shared" si="37"/>
        <v>0</v>
      </c>
      <c r="CD128" s="2">
        <f t="shared" si="37"/>
        <v>0</v>
      </c>
      <c r="CE128" s="2">
        <f t="shared" si="37"/>
        <v>0</v>
      </c>
      <c r="CF128" s="2">
        <f t="shared" si="37"/>
        <v>0</v>
      </c>
      <c r="CG128" s="2">
        <f t="shared" si="37"/>
        <v>0</v>
      </c>
      <c r="CH128" s="2">
        <f t="shared" si="37"/>
        <v>0</v>
      </c>
      <c r="CI128" s="2">
        <f t="shared" si="37"/>
        <v>0</v>
      </c>
      <c r="CJ128" s="2">
        <f t="shared" si="37"/>
        <v>0</v>
      </c>
      <c r="CK128" s="2">
        <f t="shared" si="37"/>
        <v>0</v>
      </c>
      <c r="CL128" s="2">
        <f t="shared" si="37"/>
        <v>0</v>
      </c>
      <c r="CM128" s="2">
        <f t="shared" si="37"/>
        <v>0</v>
      </c>
      <c r="CN128" s="2">
        <f t="shared" si="37"/>
        <v>0</v>
      </c>
      <c r="CO128" s="2">
        <f t="shared" si="37"/>
        <v>0</v>
      </c>
      <c r="CP128" s="2">
        <f t="shared" si="37"/>
        <v>0</v>
      </c>
      <c r="CQ128" s="2">
        <f t="shared" si="37"/>
        <v>0</v>
      </c>
      <c r="CR128" s="2">
        <f t="shared" si="37"/>
        <v>0</v>
      </c>
      <c r="CS128" s="2">
        <f t="shared" si="37"/>
        <v>0</v>
      </c>
      <c r="CT128" s="2">
        <f t="shared" si="37"/>
        <v>0</v>
      </c>
      <c r="CU128" s="2">
        <f t="shared" si="37"/>
        <v>0</v>
      </c>
      <c r="CV128" s="2">
        <f t="shared" si="37"/>
        <v>0</v>
      </c>
      <c r="CW128" s="2">
        <f t="shared" si="37"/>
        <v>0</v>
      </c>
      <c r="CX128" s="2">
        <f t="shared" si="37"/>
        <v>0</v>
      </c>
      <c r="CY128" s="2">
        <f t="shared" si="37"/>
        <v>0</v>
      </c>
      <c r="CZ128" s="2">
        <f t="shared" si="37"/>
        <v>0</v>
      </c>
      <c r="DA128" s="2">
        <f t="shared" si="37"/>
        <v>0</v>
      </c>
      <c r="DB128" s="2">
        <f t="shared" si="37"/>
        <v>0</v>
      </c>
      <c r="DC128" s="2">
        <f t="shared" si="37"/>
        <v>0</v>
      </c>
      <c r="DD128" s="2">
        <f t="shared" si="37"/>
        <v>0</v>
      </c>
      <c r="DE128" s="2">
        <f t="shared" si="37"/>
        <v>0</v>
      </c>
      <c r="DF128" s="2">
        <f t="shared" si="37"/>
        <v>0</v>
      </c>
      <c r="DG128" s="3">
        <f t="shared" ref="DG128:EL128" si="38">DG172</f>
        <v>0</v>
      </c>
      <c r="DH128" s="3">
        <f t="shared" si="38"/>
        <v>0</v>
      </c>
      <c r="DI128" s="3">
        <f t="shared" si="38"/>
        <v>0</v>
      </c>
      <c r="DJ128" s="3">
        <f t="shared" si="38"/>
        <v>0</v>
      </c>
      <c r="DK128" s="3">
        <f t="shared" si="38"/>
        <v>0</v>
      </c>
      <c r="DL128" s="3">
        <f t="shared" si="38"/>
        <v>0</v>
      </c>
      <c r="DM128" s="3">
        <f t="shared" si="38"/>
        <v>0</v>
      </c>
      <c r="DN128" s="3">
        <f t="shared" si="38"/>
        <v>0</v>
      </c>
      <c r="DO128" s="3">
        <f t="shared" si="38"/>
        <v>0</v>
      </c>
      <c r="DP128" s="3">
        <f t="shared" si="38"/>
        <v>0</v>
      </c>
      <c r="DQ128" s="3">
        <f t="shared" si="38"/>
        <v>0</v>
      </c>
      <c r="DR128" s="3">
        <f t="shared" si="38"/>
        <v>0</v>
      </c>
      <c r="DS128" s="3">
        <f t="shared" si="38"/>
        <v>0</v>
      </c>
      <c r="DT128" s="3">
        <f t="shared" si="38"/>
        <v>0</v>
      </c>
      <c r="DU128" s="3">
        <f t="shared" si="38"/>
        <v>0</v>
      </c>
      <c r="DV128" s="3">
        <f t="shared" si="38"/>
        <v>0</v>
      </c>
      <c r="DW128" s="3">
        <f t="shared" si="38"/>
        <v>0</v>
      </c>
      <c r="DX128" s="3">
        <f t="shared" si="38"/>
        <v>0</v>
      </c>
      <c r="DY128" s="3">
        <f t="shared" si="38"/>
        <v>0</v>
      </c>
      <c r="DZ128" s="3">
        <f t="shared" si="38"/>
        <v>0</v>
      </c>
      <c r="EA128" s="3">
        <f t="shared" si="38"/>
        <v>0</v>
      </c>
      <c r="EB128" s="3">
        <f t="shared" si="38"/>
        <v>0</v>
      </c>
      <c r="EC128" s="3">
        <f t="shared" si="38"/>
        <v>0</v>
      </c>
      <c r="ED128" s="3">
        <f t="shared" si="38"/>
        <v>0</v>
      </c>
      <c r="EE128" s="3">
        <f t="shared" si="38"/>
        <v>0</v>
      </c>
      <c r="EF128" s="3">
        <f t="shared" si="38"/>
        <v>0</v>
      </c>
      <c r="EG128" s="3">
        <f t="shared" si="38"/>
        <v>0</v>
      </c>
      <c r="EH128" s="3">
        <f t="shared" si="38"/>
        <v>0</v>
      </c>
      <c r="EI128" s="3">
        <f t="shared" si="38"/>
        <v>0</v>
      </c>
      <c r="EJ128" s="3">
        <f t="shared" si="38"/>
        <v>0</v>
      </c>
      <c r="EK128" s="3">
        <f t="shared" si="38"/>
        <v>0</v>
      </c>
      <c r="EL128" s="3">
        <f t="shared" si="38"/>
        <v>0</v>
      </c>
      <c r="EM128" s="3">
        <f t="shared" ref="EM128:FR128" si="39">EM172</f>
        <v>0</v>
      </c>
      <c r="EN128" s="3">
        <f t="shared" si="39"/>
        <v>0</v>
      </c>
      <c r="EO128" s="3">
        <f t="shared" si="39"/>
        <v>0</v>
      </c>
      <c r="EP128" s="3">
        <f t="shared" si="39"/>
        <v>0</v>
      </c>
      <c r="EQ128" s="3">
        <f t="shared" si="39"/>
        <v>0</v>
      </c>
      <c r="ER128" s="3">
        <f t="shared" si="39"/>
        <v>0</v>
      </c>
      <c r="ES128" s="3">
        <f t="shared" si="39"/>
        <v>0</v>
      </c>
      <c r="ET128" s="3">
        <f t="shared" si="39"/>
        <v>0</v>
      </c>
      <c r="EU128" s="3">
        <f t="shared" si="39"/>
        <v>0</v>
      </c>
      <c r="EV128" s="3">
        <f t="shared" si="39"/>
        <v>0</v>
      </c>
      <c r="EW128" s="3">
        <f t="shared" si="39"/>
        <v>0</v>
      </c>
      <c r="EX128" s="3">
        <f t="shared" si="39"/>
        <v>0</v>
      </c>
      <c r="EY128" s="3">
        <f t="shared" si="39"/>
        <v>0</v>
      </c>
      <c r="EZ128" s="3">
        <f t="shared" si="39"/>
        <v>0</v>
      </c>
      <c r="FA128" s="3">
        <f t="shared" si="39"/>
        <v>0</v>
      </c>
      <c r="FB128" s="3">
        <f t="shared" si="39"/>
        <v>0</v>
      </c>
      <c r="FC128" s="3">
        <f t="shared" si="39"/>
        <v>0</v>
      </c>
      <c r="FD128" s="3">
        <f t="shared" si="39"/>
        <v>0</v>
      </c>
      <c r="FE128" s="3">
        <f t="shared" si="39"/>
        <v>0</v>
      </c>
      <c r="FF128" s="3">
        <f t="shared" si="39"/>
        <v>0</v>
      </c>
      <c r="FG128" s="3">
        <f t="shared" si="39"/>
        <v>0</v>
      </c>
      <c r="FH128" s="3">
        <f t="shared" si="39"/>
        <v>0</v>
      </c>
      <c r="FI128" s="3">
        <f t="shared" si="39"/>
        <v>0</v>
      </c>
      <c r="FJ128" s="3">
        <f t="shared" si="39"/>
        <v>0</v>
      </c>
      <c r="FK128" s="3">
        <f t="shared" si="39"/>
        <v>0</v>
      </c>
      <c r="FL128" s="3">
        <f t="shared" si="39"/>
        <v>0</v>
      </c>
      <c r="FM128" s="3">
        <f t="shared" si="39"/>
        <v>0</v>
      </c>
      <c r="FN128" s="3">
        <f t="shared" si="39"/>
        <v>0</v>
      </c>
      <c r="FO128" s="3">
        <f t="shared" si="39"/>
        <v>0</v>
      </c>
      <c r="FP128" s="3">
        <f t="shared" si="39"/>
        <v>0</v>
      </c>
      <c r="FQ128" s="3">
        <f t="shared" si="39"/>
        <v>0</v>
      </c>
      <c r="FR128" s="3">
        <f t="shared" si="39"/>
        <v>0</v>
      </c>
      <c r="FS128" s="3">
        <f t="shared" ref="FS128:GX128" si="40">FS172</f>
        <v>0</v>
      </c>
      <c r="FT128" s="3">
        <f t="shared" si="40"/>
        <v>0</v>
      </c>
      <c r="FU128" s="3">
        <f t="shared" si="40"/>
        <v>0</v>
      </c>
      <c r="FV128" s="3">
        <f t="shared" si="40"/>
        <v>0</v>
      </c>
      <c r="FW128" s="3">
        <f t="shared" si="40"/>
        <v>0</v>
      </c>
      <c r="FX128" s="3">
        <f t="shared" si="40"/>
        <v>0</v>
      </c>
      <c r="FY128" s="3">
        <f t="shared" si="40"/>
        <v>0</v>
      </c>
      <c r="FZ128" s="3">
        <f t="shared" si="40"/>
        <v>0</v>
      </c>
      <c r="GA128" s="3">
        <f t="shared" si="40"/>
        <v>0</v>
      </c>
      <c r="GB128" s="3">
        <f t="shared" si="40"/>
        <v>0</v>
      </c>
      <c r="GC128" s="3">
        <f t="shared" si="40"/>
        <v>0</v>
      </c>
      <c r="GD128" s="3">
        <f t="shared" si="40"/>
        <v>0</v>
      </c>
      <c r="GE128" s="3">
        <f t="shared" si="40"/>
        <v>0</v>
      </c>
      <c r="GF128" s="3">
        <f t="shared" si="40"/>
        <v>0</v>
      </c>
      <c r="GG128" s="3">
        <f t="shared" si="40"/>
        <v>0</v>
      </c>
      <c r="GH128" s="3">
        <f t="shared" si="40"/>
        <v>0</v>
      </c>
      <c r="GI128" s="3">
        <f t="shared" si="40"/>
        <v>0</v>
      </c>
      <c r="GJ128" s="3">
        <f t="shared" si="40"/>
        <v>0</v>
      </c>
      <c r="GK128" s="3">
        <f t="shared" si="40"/>
        <v>0</v>
      </c>
      <c r="GL128" s="3">
        <f t="shared" si="40"/>
        <v>0</v>
      </c>
      <c r="GM128" s="3">
        <f t="shared" si="40"/>
        <v>0</v>
      </c>
      <c r="GN128" s="3">
        <f t="shared" si="40"/>
        <v>0</v>
      </c>
      <c r="GO128" s="3">
        <f t="shared" si="40"/>
        <v>0</v>
      </c>
      <c r="GP128" s="3">
        <f t="shared" si="40"/>
        <v>0</v>
      </c>
      <c r="GQ128" s="3">
        <f t="shared" si="40"/>
        <v>0</v>
      </c>
      <c r="GR128" s="3">
        <f t="shared" si="40"/>
        <v>0</v>
      </c>
      <c r="GS128" s="3">
        <f t="shared" si="40"/>
        <v>0</v>
      </c>
      <c r="GT128" s="3">
        <f t="shared" si="40"/>
        <v>0</v>
      </c>
      <c r="GU128" s="3">
        <f t="shared" si="40"/>
        <v>0</v>
      </c>
      <c r="GV128" s="3">
        <f t="shared" si="40"/>
        <v>0</v>
      </c>
      <c r="GW128" s="3">
        <f t="shared" si="40"/>
        <v>0</v>
      </c>
      <c r="GX128" s="3">
        <f t="shared" si="40"/>
        <v>0</v>
      </c>
    </row>
    <row r="130" spans="1:245" x14ac:dyDescent="0.2">
      <c r="A130" s="1">
        <v>4</v>
      </c>
      <c r="B130" s="1">
        <v>1</v>
      </c>
      <c r="C130" s="1"/>
      <c r="D130" s="1">
        <f>ROW(A142)</f>
        <v>142</v>
      </c>
      <c r="E130" s="1"/>
      <c r="F130" s="1" t="s">
        <v>17</v>
      </c>
      <c r="G130" s="1" t="s">
        <v>93</v>
      </c>
      <c r="H130" s="1" t="s">
        <v>3</v>
      </c>
      <c r="I130" s="1">
        <v>0</v>
      </c>
      <c r="J130" s="1"/>
      <c r="K130" s="1">
        <v>0</v>
      </c>
      <c r="L130" s="1"/>
      <c r="M130" s="1" t="s">
        <v>3</v>
      </c>
      <c r="N130" s="1"/>
      <c r="O130" s="1"/>
      <c r="P130" s="1"/>
      <c r="Q130" s="1"/>
      <c r="R130" s="1"/>
      <c r="S130" s="1">
        <v>0</v>
      </c>
      <c r="T130" s="1"/>
      <c r="U130" s="1" t="s">
        <v>3</v>
      </c>
      <c r="V130" s="1">
        <v>0</v>
      </c>
      <c r="W130" s="1"/>
      <c r="X130" s="1"/>
      <c r="Y130" s="1"/>
      <c r="Z130" s="1"/>
      <c r="AA130" s="1"/>
      <c r="AB130" s="1" t="s">
        <v>3</v>
      </c>
      <c r="AC130" s="1" t="s">
        <v>3</v>
      </c>
      <c r="AD130" s="1" t="s">
        <v>3</v>
      </c>
      <c r="AE130" s="1" t="s">
        <v>3</v>
      </c>
      <c r="AF130" s="1" t="s">
        <v>3</v>
      </c>
      <c r="AG130" s="1" t="s">
        <v>3</v>
      </c>
      <c r="AH130" s="1"/>
      <c r="AI130" s="1"/>
      <c r="AJ130" s="1"/>
      <c r="AK130" s="1"/>
      <c r="AL130" s="1"/>
      <c r="AM130" s="1"/>
      <c r="AN130" s="1"/>
      <c r="AO130" s="1"/>
      <c r="AP130" s="1" t="s">
        <v>3</v>
      </c>
      <c r="AQ130" s="1" t="s">
        <v>3</v>
      </c>
      <c r="AR130" s="1" t="s">
        <v>3</v>
      </c>
      <c r="AS130" s="1"/>
      <c r="AT130" s="1"/>
      <c r="AU130" s="1"/>
      <c r="AV130" s="1"/>
      <c r="AW130" s="1"/>
      <c r="AX130" s="1"/>
      <c r="AY130" s="1"/>
      <c r="AZ130" s="1" t="s">
        <v>3</v>
      </c>
      <c r="BA130" s="1"/>
      <c r="BB130" s="1" t="s">
        <v>3</v>
      </c>
      <c r="BC130" s="1" t="s">
        <v>3</v>
      </c>
      <c r="BD130" s="1" t="s">
        <v>3</v>
      </c>
      <c r="BE130" s="1" t="s">
        <v>3</v>
      </c>
      <c r="BF130" s="1" t="s">
        <v>3</v>
      </c>
      <c r="BG130" s="1" t="s">
        <v>3</v>
      </c>
      <c r="BH130" s="1" t="s">
        <v>3</v>
      </c>
      <c r="BI130" s="1" t="s">
        <v>3</v>
      </c>
      <c r="BJ130" s="1" t="s">
        <v>3</v>
      </c>
      <c r="BK130" s="1" t="s">
        <v>3</v>
      </c>
      <c r="BL130" s="1" t="s">
        <v>3</v>
      </c>
      <c r="BM130" s="1" t="s">
        <v>3</v>
      </c>
      <c r="BN130" s="1" t="s">
        <v>3</v>
      </c>
      <c r="BO130" s="1" t="s">
        <v>3</v>
      </c>
      <c r="BP130" s="1" t="s">
        <v>3</v>
      </c>
      <c r="BQ130" s="1"/>
      <c r="BR130" s="1"/>
      <c r="BS130" s="1"/>
      <c r="BT130" s="1"/>
      <c r="BU130" s="1"/>
      <c r="BV130" s="1"/>
      <c r="BW130" s="1"/>
      <c r="BX130" s="1">
        <v>0</v>
      </c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>
        <v>0</v>
      </c>
    </row>
    <row r="132" spans="1:245" x14ac:dyDescent="0.2">
      <c r="A132" s="2">
        <v>52</v>
      </c>
      <c r="B132" s="2">
        <f t="shared" ref="B132:G132" si="41">B142</f>
        <v>1</v>
      </c>
      <c r="C132" s="2">
        <f t="shared" si="41"/>
        <v>4</v>
      </c>
      <c r="D132" s="2">
        <f t="shared" si="41"/>
        <v>130</v>
      </c>
      <c r="E132" s="2">
        <f t="shared" si="41"/>
        <v>0</v>
      </c>
      <c r="F132" s="2" t="str">
        <f t="shared" si="41"/>
        <v>Новый раздел</v>
      </c>
      <c r="G132" s="2" t="str">
        <f t="shared" si="41"/>
        <v>Пусконаладочные работы</v>
      </c>
      <c r="H132" s="2"/>
      <c r="I132" s="2"/>
      <c r="J132" s="2"/>
      <c r="K132" s="2"/>
      <c r="L132" s="2"/>
      <c r="M132" s="2"/>
      <c r="N132" s="2"/>
      <c r="O132" s="2">
        <f t="shared" ref="O132:AT132" si="42">O142</f>
        <v>206250.64</v>
      </c>
      <c r="P132" s="2">
        <f t="shared" si="42"/>
        <v>0</v>
      </c>
      <c r="Q132" s="2">
        <f t="shared" si="42"/>
        <v>0</v>
      </c>
      <c r="R132" s="2">
        <f t="shared" si="42"/>
        <v>0</v>
      </c>
      <c r="S132" s="2">
        <f t="shared" si="42"/>
        <v>206250.64</v>
      </c>
      <c r="T132" s="2">
        <f t="shared" si="42"/>
        <v>0</v>
      </c>
      <c r="U132" s="2">
        <f t="shared" si="42"/>
        <v>325.04000000000002</v>
      </c>
      <c r="V132" s="2">
        <f t="shared" si="42"/>
        <v>0</v>
      </c>
      <c r="W132" s="2">
        <f t="shared" si="42"/>
        <v>0</v>
      </c>
      <c r="X132" s="2">
        <f t="shared" si="42"/>
        <v>144375.45000000001</v>
      </c>
      <c r="Y132" s="2">
        <f t="shared" si="42"/>
        <v>84562.76</v>
      </c>
      <c r="Z132" s="2">
        <f t="shared" si="42"/>
        <v>0</v>
      </c>
      <c r="AA132" s="2">
        <f t="shared" si="42"/>
        <v>0</v>
      </c>
      <c r="AB132" s="2">
        <f t="shared" si="42"/>
        <v>206250.64</v>
      </c>
      <c r="AC132" s="2">
        <f t="shared" si="42"/>
        <v>0</v>
      </c>
      <c r="AD132" s="2">
        <f t="shared" si="42"/>
        <v>0</v>
      </c>
      <c r="AE132" s="2">
        <f t="shared" si="42"/>
        <v>0</v>
      </c>
      <c r="AF132" s="2">
        <f t="shared" si="42"/>
        <v>206250.64</v>
      </c>
      <c r="AG132" s="2">
        <f t="shared" si="42"/>
        <v>0</v>
      </c>
      <c r="AH132" s="2">
        <f t="shared" si="42"/>
        <v>325.04000000000002</v>
      </c>
      <c r="AI132" s="2">
        <f t="shared" si="42"/>
        <v>0</v>
      </c>
      <c r="AJ132" s="2">
        <f t="shared" si="42"/>
        <v>0</v>
      </c>
      <c r="AK132" s="2">
        <f t="shared" si="42"/>
        <v>144375.45000000001</v>
      </c>
      <c r="AL132" s="2">
        <f t="shared" si="42"/>
        <v>84562.76</v>
      </c>
      <c r="AM132" s="2">
        <f t="shared" si="42"/>
        <v>0</v>
      </c>
      <c r="AN132" s="2">
        <f t="shared" si="42"/>
        <v>0</v>
      </c>
      <c r="AO132" s="2">
        <f t="shared" si="42"/>
        <v>0</v>
      </c>
      <c r="AP132" s="2">
        <f t="shared" si="42"/>
        <v>0</v>
      </c>
      <c r="AQ132" s="2">
        <f t="shared" si="42"/>
        <v>0</v>
      </c>
      <c r="AR132" s="2">
        <f t="shared" si="42"/>
        <v>435188.85</v>
      </c>
      <c r="AS132" s="2">
        <f t="shared" si="42"/>
        <v>0</v>
      </c>
      <c r="AT132" s="2">
        <f t="shared" si="42"/>
        <v>0</v>
      </c>
      <c r="AU132" s="2">
        <f t="shared" ref="AU132:BZ132" si="43">AU142</f>
        <v>435188.85</v>
      </c>
      <c r="AV132" s="2">
        <f t="shared" si="43"/>
        <v>0</v>
      </c>
      <c r="AW132" s="2">
        <f t="shared" si="43"/>
        <v>0</v>
      </c>
      <c r="AX132" s="2">
        <f t="shared" si="43"/>
        <v>0</v>
      </c>
      <c r="AY132" s="2">
        <f t="shared" si="43"/>
        <v>0</v>
      </c>
      <c r="AZ132" s="2">
        <f t="shared" si="43"/>
        <v>0</v>
      </c>
      <c r="BA132" s="2">
        <f t="shared" si="43"/>
        <v>0</v>
      </c>
      <c r="BB132" s="2">
        <f t="shared" si="43"/>
        <v>0</v>
      </c>
      <c r="BC132" s="2">
        <f t="shared" si="43"/>
        <v>0</v>
      </c>
      <c r="BD132" s="2">
        <f t="shared" si="43"/>
        <v>0</v>
      </c>
      <c r="BE132" s="2">
        <f t="shared" si="43"/>
        <v>0</v>
      </c>
      <c r="BF132" s="2">
        <f t="shared" si="43"/>
        <v>0</v>
      </c>
      <c r="BG132" s="2">
        <f t="shared" si="43"/>
        <v>0</v>
      </c>
      <c r="BH132" s="2">
        <f t="shared" si="43"/>
        <v>0</v>
      </c>
      <c r="BI132" s="2">
        <f t="shared" si="43"/>
        <v>0</v>
      </c>
      <c r="BJ132" s="2">
        <f t="shared" si="43"/>
        <v>0</v>
      </c>
      <c r="BK132" s="2">
        <f t="shared" si="43"/>
        <v>0</v>
      </c>
      <c r="BL132" s="2">
        <f t="shared" si="43"/>
        <v>0</v>
      </c>
      <c r="BM132" s="2">
        <f t="shared" si="43"/>
        <v>0</v>
      </c>
      <c r="BN132" s="2">
        <f t="shared" si="43"/>
        <v>0</v>
      </c>
      <c r="BO132" s="2">
        <f t="shared" si="43"/>
        <v>0</v>
      </c>
      <c r="BP132" s="2">
        <f t="shared" si="43"/>
        <v>0</v>
      </c>
      <c r="BQ132" s="2">
        <f t="shared" si="43"/>
        <v>0</v>
      </c>
      <c r="BR132" s="2">
        <f t="shared" si="43"/>
        <v>0</v>
      </c>
      <c r="BS132" s="2">
        <f t="shared" si="43"/>
        <v>0</v>
      </c>
      <c r="BT132" s="2">
        <f t="shared" si="43"/>
        <v>0</v>
      </c>
      <c r="BU132" s="2">
        <f t="shared" si="43"/>
        <v>0</v>
      </c>
      <c r="BV132" s="2">
        <f t="shared" si="43"/>
        <v>0</v>
      </c>
      <c r="BW132" s="2">
        <f t="shared" si="43"/>
        <v>0</v>
      </c>
      <c r="BX132" s="2">
        <f t="shared" si="43"/>
        <v>0</v>
      </c>
      <c r="BY132" s="2">
        <f t="shared" si="43"/>
        <v>0</v>
      </c>
      <c r="BZ132" s="2">
        <f t="shared" si="43"/>
        <v>0</v>
      </c>
      <c r="CA132" s="2">
        <f t="shared" ref="CA132:DF132" si="44">CA142</f>
        <v>435188.85</v>
      </c>
      <c r="CB132" s="2">
        <f t="shared" si="44"/>
        <v>0</v>
      </c>
      <c r="CC132" s="2">
        <f t="shared" si="44"/>
        <v>0</v>
      </c>
      <c r="CD132" s="2">
        <f t="shared" si="44"/>
        <v>435188.85</v>
      </c>
      <c r="CE132" s="2">
        <f t="shared" si="44"/>
        <v>0</v>
      </c>
      <c r="CF132" s="2">
        <f t="shared" si="44"/>
        <v>0</v>
      </c>
      <c r="CG132" s="2">
        <f t="shared" si="44"/>
        <v>0</v>
      </c>
      <c r="CH132" s="2">
        <f t="shared" si="44"/>
        <v>0</v>
      </c>
      <c r="CI132" s="2">
        <f t="shared" si="44"/>
        <v>0</v>
      </c>
      <c r="CJ132" s="2">
        <f t="shared" si="44"/>
        <v>0</v>
      </c>
      <c r="CK132" s="2">
        <f t="shared" si="44"/>
        <v>0</v>
      </c>
      <c r="CL132" s="2">
        <f t="shared" si="44"/>
        <v>0</v>
      </c>
      <c r="CM132" s="2">
        <f t="shared" si="44"/>
        <v>0</v>
      </c>
      <c r="CN132" s="2">
        <f t="shared" si="44"/>
        <v>0</v>
      </c>
      <c r="CO132" s="2">
        <f t="shared" si="44"/>
        <v>0</v>
      </c>
      <c r="CP132" s="2">
        <f t="shared" si="44"/>
        <v>0</v>
      </c>
      <c r="CQ132" s="2">
        <f t="shared" si="44"/>
        <v>0</v>
      </c>
      <c r="CR132" s="2">
        <f t="shared" si="44"/>
        <v>0</v>
      </c>
      <c r="CS132" s="2">
        <f t="shared" si="44"/>
        <v>0</v>
      </c>
      <c r="CT132" s="2">
        <f t="shared" si="44"/>
        <v>0</v>
      </c>
      <c r="CU132" s="2">
        <f t="shared" si="44"/>
        <v>0</v>
      </c>
      <c r="CV132" s="2">
        <f t="shared" si="44"/>
        <v>0</v>
      </c>
      <c r="CW132" s="2">
        <f t="shared" si="44"/>
        <v>0</v>
      </c>
      <c r="CX132" s="2">
        <f t="shared" si="44"/>
        <v>0</v>
      </c>
      <c r="CY132" s="2">
        <f t="shared" si="44"/>
        <v>0</v>
      </c>
      <c r="CZ132" s="2">
        <f t="shared" si="44"/>
        <v>0</v>
      </c>
      <c r="DA132" s="2">
        <f t="shared" si="44"/>
        <v>0</v>
      </c>
      <c r="DB132" s="2">
        <f t="shared" si="44"/>
        <v>0</v>
      </c>
      <c r="DC132" s="2">
        <f t="shared" si="44"/>
        <v>0</v>
      </c>
      <c r="DD132" s="2">
        <f t="shared" si="44"/>
        <v>0</v>
      </c>
      <c r="DE132" s="2">
        <f t="shared" si="44"/>
        <v>0</v>
      </c>
      <c r="DF132" s="2">
        <f t="shared" si="44"/>
        <v>0</v>
      </c>
      <c r="DG132" s="3">
        <f t="shared" ref="DG132:EL132" si="45">DG142</f>
        <v>0</v>
      </c>
      <c r="DH132" s="3">
        <f t="shared" si="45"/>
        <v>0</v>
      </c>
      <c r="DI132" s="3">
        <f t="shared" si="45"/>
        <v>0</v>
      </c>
      <c r="DJ132" s="3">
        <f t="shared" si="45"/>
        <v>0</v>
      </c>
      <c r="DK132" s="3">
        <f t="shared" si="45"/>
        <v>0</v>
      </c>
      <c r="DL132" s="3">
        <f t="shared" si="45"/>
        <v>0</v>
      </c>
      <c r="DM132" s="3">
        <f t="shared" si="45"/>
        <v>0</v>
      </c>
      <c r="DN132" s="3">
        <f t="shared" si="45"/>
        <v>0</v>
      </c>
      <c r="DO132" s="3">
        <f t="shared" si="45"/>
        <v>0</v>
      </c>
      <c r="DP132" s="3">
        <f t="shared" si="45"/>
        <v>0</v>
      </c>
      <c r="DQ132" s="3">
        <f t="shared" si="45"/>
        <v>0</v>
      </c>
      <c r="DR132" s="3">
        <f t="shared" si="45"/>
        <v>0</v>
      </c>
      <c r="DS132" s="3">
        <f t="shared" si="45"/>
        <v>0</v>
      </c>
      <c r="DT132" s="3">
        <f t="shared" si="45"/>
        <v>0</v>
      </c>
      <c r="DU132" s="3">
        <f t="shared" si="45"/>
        <v>0</v>
      </c>
      <c r="DV132" s="3">
        <f t="shared" si="45"/>
        <v>0</v>
      </c>
      <c r="DW132" s="3">
        <f t="shared" si="45"/>
        <v>0</v>
      </c>
      <c r="DX132" s="3">
        <f t="shared" si="45"/>
        <v>0</v>
      </c>
      <c r="DY132" s="3">
        <f t="shared" si="45"/>
        <v>0</v>
      </c>
      <c r="DZ132" s="3">
        <f t="shared" si="45"/>
        <v>0</v>
      </c>
      <c r="EA132" s="3">
        <f t="shared" si="45"/>
        <v>0</v>
      </c>
      <c r="EB132" s="3">
        <f t="shared" si="45"/>
        <v>0</v>
      </c>
      <c r="EC132" s="3">
        <f t="shared" si="45"/>
        <v>0</v>
      </c>
      <c r="ED132" s="3">
        <f t="shared" si="45"/>
        <v>0</v>
      </c>
      <c r="EE132" s="3">
        <f t="shared" si="45"/>
        <v>0</v>
      </c>
      <c r="EF132" s="3">
        <f t="shared" si="45"/>
        <v>0</v>
      </c>
      <c r="EG132" s="3">
        <f t="shared" si="45"/>
        <v>0</v>
      </c>
      <c r="EH132" s="3">
        <f t="shared" si="45"/>
        <v>0</v>
      </c>
      <c r="EI132" s="3">
        <f t="shared" si="45"/>
        <v>0</v>
      </c>
      <c r="EJ132" s="3">
        <f t="shared" si="45"/>
        <v>0</v>
      </c>
      <c r="EK132" s="3">
        <f t="shared" si="45"/>
        <v>0</v>
      </c>
      <c r="EL132" s="3">
        <f t="shared" si="45"/>
        <v>0</v>
      </c>
      <c r="EM132" s="3">
        <f t="shared" ref="EM132:FR132" si="46">EM142</f>
        <v>0</v>
      </c>
      <c r="EN132" s="3">
        <f t="shared" si="46"/>
        <v>0</v>
      </c>
      <c r="EO132" s="3">
        <f t="shared" si="46"/>
        <v>0</v>
      </c>
      <c r="EP132" s="3">
        <f t="shared" si="46"/>
        <v>0</v>
      </c>
      <c r="EQ132" s="3">
        <f t="shared" si="46"/>
        <v>0</v>
      </c>
      <c r="ER132" s="3">
        <f t="shared" si="46"/>
        <v>0</v>
      </c>
      <c r="ES132" s="3">
        <f t="shared" si="46"/>
        <v>0</v>
      </c>
      <c r="ET132" s="3">
        <f t="shared" si="46"/>
        <v>0</v>
      </c>
      <c r="EU132" s="3">
        <f t="shared" si="46"/>
        <v>0</v>
      </c>
      <c r="EV132" s="3">
        <f t="shared" si="46"/>
        <v>0</v>
      </c>
      <c r="EW132" s="3">
        <f t="shared" si="46"/>
        <v>0</v>
      </c>
      <c r="EX132" s="3">
        <f t="shared" si="46"/>
        <v>0</v>
      </c>
      <c r="EY132" s="3">
        <f t="shared" si="46"/>
        <v>0</v>
      </c>
      <c r="EZ132" s="3">
        <f t="shared" si="46"/>
        <v>0</v>
      </c>
      <c r="FA132" s="3">
        <f t="shared" si="46"/>
        <v>0</v>
      </c>
      <c r="FB132" s="3">
        <f t="shared" si="46"/>
        <v>0</v>
      </c>
      <c r="FC132" s="3">
        <f t="shared" si="46"/>
        <v>0</v>
      </c>
      <c r="FD132" s="3">
        <f t="shared" si="46"/>
        <v>0</v>
      </c>
      <c r="FE132" s="3">
        <f t="shared" si="46"/>
        <v>0</v>
      </c>
      <c r="FF132" s="3">
        <f t="shared" si="46"/>
        <v>0</v>
      </c>
      <c r="FG132" s="3">
        <f t="shared" si="46"/>
        <v>0</v>
      </c>
      <c r="FH132" s="3">
        <f t="shared" si="46"/>
        <v>0</v>
      </c>
      <c r="FI132" s="3">
        <f t="shared" si="46"/>
        <v>0</v>
      </c>
      <c r="FJ132" s="3">
        <f t="shared" si="46"/>
        <v>0</v>
      </c>
      <c r="FK132" s="3">
        <f t="shared" si="46"/>
        <v>0</v>
      </c>
      <c r="FL132" s="3">
        <f t="shared" si="46"/>
        <v>0</v>
      </c>
      <c r="FM132" s="3">
        <f t="shared" si="46"/>
        <v>0</v>
      </c>
      <c r="FN132" s="3">
        <f t="shared" si="46"/>
        <v>0</v>
      </c>
      <c r="FO132" s="3">
        <f t="shared" si="46"/>
        <v>0</v>
      </c>
      <c r="FP132" s="3">
        <f t="shared" si="46"/>
        <v>0</v>
      </c>
      <c r="FQ132" s="3">
        <f t="shared" si="46"/>
        <v>0</v>
      </c>
      <c r="FR132" s="3">
        <f t="shared" si="46"/>
        <v>0</v>
      </c>
      <c r="FS132" s="3">
        <f t="shared" ref="FS132:GX132" si="47">FS142</f>
        <v>0</v>
      </c>
      <c r="FT132" s="3">
        <f t="shared" si="47"/>
        <v>0</v>
      </c>
      <c r="FU132" s="3">
        <f t="shared" si="47"/>
        <v>0</v>
      </c>
      <c r="FV132" s="3">
        <f t="shared" si="47"/>
        <v>0</v>
      </c>
      <c r="FW132" s="3">
        <f t="shared" si="47"/>
        <v>0</v>
      </c>
      <c r="FX132" s="3">
        <f t="shared" si="47"/>
        <v>0</v>
      </c>
      <c r="FY132" s="3">
        <f t="shared" si="47"/>
        <v>0</v>
      </c>
      <c r="FZ132" s="3">
        <f t="shared" si="47"/>
        <v>0</v>
      </c>
      <c r="GA132" s="3">
        <f t="shared" si="47"/>
        <v>0</v>
      </c>
      <c r="GB132" s="3">
        <f t="shared" si="47"/>
        <v>0</v>
      </c>
      <c r="GC132" s="3">
        <f t="shared" si="47"/>
        <v>0</v>
      </c>
      <c r="GD132" s="3">
        <f t="shared" si="47"/>
        <v>0</v>
      </c>
      <c r="GE132" s="3">
        <f t="shared" si="47"/>
        <v>0</v>
      </c>
      <c r="GF132" s="3">
        <f t="shared" si="47"/>
        <v>0</v>
      </c>
      <c r="GG132" s="3">
        <f t="shared" si="47"/>
        <v>0</v>
      </c>
      <c r="GH132" s="3">
        <f t="shared" si="47"/>
        <v>0</v>
      </c>
      <c r="GI132" s="3">
        <f t="shared" si="47"/>
        <v>0</v>
      </c>
      <c r="GJ132" s="3">
        <f t="shared" si="47"/>
        <v>0</v>
      </c>
      <c r="GK132" s="3">
        <f t="shared" si="47"/>
        <v>0</v>
      </c>
      <c r="GL132" s="3">
        <f t="shared" si="47"/>
        <v>0</v>
      </c>
      <c r="GM132" s="3">
        <f t="shared" si="47"/>
        <v>0</v>
      </c>
      <c r="GN132" s="3">
        <f t="shared" si="47"/>
        <v>0</v>
      </c>
      <c r="GO132" s="3">
        <f t="shared" si="47"/>
        <v>0</v>
      </c>
      <c r="GP132" s="3">
        <f t="shared" si="47"/>
        <v>0</v>
      </c>
      <c r="GQ132" s="3">
        <f t="shared" si="47"/>
        <v>0</v>
      </c>
      <c r="GR132" s="3">
        <f t="shared" si="47"/>
        <v>0</v>
      </c>
      <c r="GS132" s="3">
        <f t="shared" si="47"/>
        <v>0</v>
      </c>
      <c r="GT132" s="3">
        <f t="shared" si="47"/>
        <v>0</v>
      </c>
      <c r="GU132" s="3">
        <f t="shared" si="47"/>
        <v>0</v>
      </c>
      <c r="GV132" s="3">
        <f t="shared" si="47"/>
        <v>0</v>
      </c>
      <c r="GW132" s="3">
        <f t="shared" si="47"/>
        <v>0</v>
      </c>
      <c r="GX132" s="3">
        <f t="shared" si="47"/>
        <v>0</v>
      </c>
    </row>
    <row r="134" spans="1:245" x14ac:dyDescent="0.2">
      <c r="A134">
        <v>17</v>
      </c>
      <c r="B134">
        <v>1</v>
      </c>
      <c r="D134">
        <f>ROW(EtalonRes!A4)</f>
        <v>4</v>
      </c>
      <c r="E134" t="s">
        <v>19</v>
      </c>
      <c r="F134" t="s">
        <v>94</v>
      </c>
      <c r="G134" t="s">
        <v>95</v>
      </c>
      <c r="H134" t="s">
        <v>96</v>
      </c>
      <c r="I134">
        <v>1</v>
      </c>
      <c r="J134">
        <v>0</v>
      </c>
      <c r="K134">
        <v>1</v>
      </c>
      <c r="O134">
        <f t="shared" ref="O134:O140" si="48">ROUND(CP134,2)</f>
        <v>39159.86</v>
      </c>
      <c r="P134">
        <f t="shared" ref="P134:P140" si="49">ROUND((ROUND((AC134*AW134*I134),2)*BC134),2)</f>
        <v>0</v>
      </c>
      <c r="Q134">
        <f t="shared" ref="Q134:Q140" si="50">(ROUND((ROUND(((ET134)*AV134*I134),2)*BB134),2)+ROUND((ROUND(((AE134-(EU134))*AV134*I134),2)*BS134),2))</f>
        <v>0</v>
      </c>
      <c r="R134">
        <f t="shared" ref="R134:R140" si="51">ROUND((ROUND((AE134*AV134*I134),2)*BS134),2)</f>
        <v>0</v>
      </c>
      <c r="S134">
        <f t="shared" ref="S134:S140" si="52">ROUND((ROUND((AF134*AV134*I134),2)*BA134),2)</f>
        <v>39159.86</v>
      </c>
      <c r="T134">
        <f t="shared" ref="T134:T140" si="53">ROUND(CU134*I134,2)</f>
        <v>0</v>
      </c>
      <c r="U134">
        <f t="shared" ref="U134:U140" si="54">CV134*I134</f>
        <v>59.2</v>
      </c>
      <c r="V134">
        <f t="shared" ref="V134:V140" si="55">CW134*I134</f>
        <v>0</v>
      </c>
      <c r="W134">
        <f t="shared" ref="W134:W140" si="56">ROUND(CX134*I134,2)</f>
        <v>0</v>
      </c>
      <c r="X134">
        <f t="shared" ref="X134:Y140" si="57">ROUND(CY134,2)</f>
        <v>27411.9</v>
      </c>
      <c r="Y134">
        <f t="shared" si="57"/>
        <v>16055.54</v>
      </c>
      <c r="AA134">
        <v>51975038</v>
      </c>
      <c r="AB134">
        <f t="shared" ref="AB134:AB140" si="58">ROUND((AC134+AD134+AF134),6)</f>
        <v>1148.72</v>
      </c>
      <c r="AC134">
        <f t="shared" ref="AC134:AC140" si="59">ROUND((ES134),6)</f>
        <v>0</v>
      </c>
      <c r="AD134">
        <f t="shared" ref="AD134:AD140" si="60">ROUND((((ET134)-(EU134))+AE134),6)</f>
        <v>0</v>
      </c>
      <c r="AE134">
        <f t="shared" ref="AE134:AE140" si="61">ROUND((EU134),6)</f>
        <v>0</v>
      </c>
      <c r="AF134">
        <f t="shared" ref="AF134:AF140" si="62">ROUND(((EV134*0.8)),6)</f>
        <v>1148.72</v>
      </c>
      <c r="AG134">
        <f t="shared" ref="AG134:AG140" si="63">ROUND((AP134),6)</f>
        <v>0</v>
      </c>
      <c r="AH134">
        <f t="shared" ref="AH134:AH140" si="64">((EW134*0.8))</f>
        <v>59.2</v>
      </c>
      <c r="AI134">
        <f t="shared" ref="AI134:AI140" si="65">(EX134)</f>
        <v>0</v>
      </c>
      <c r="AJ134">
        <f t="shared" ref="AJ134:AJ140" si="66">(AS134)</f>
        <v>0</v>
      </c>
      <c r="AK134">
        <v>1435.9</v>
      </c>
      <c r="AL134">
        <v>0</v>
      </c>
      <c r="AM134">
        <v>0</v>
      </c>
      <c r="AN134">
        <v>0</v>
      </c>
      <c r="AO134">
        <v>1435.9</v>
      </c>
      <c r="AP134">
        <v>0</v>
      </c>
      <c r="AQ134">
        <v>74</v>
      </c>
      <c r="AR134">
        <v>0</v>
      </c>
      <c r="AS134">
        <v>0</v>
      </c>
      <c r="AT134">
        <v>70</v>
      </c>
      <c r="AU134">
        <v>41</v>
      </c>
      <c r="AV134">
        <v>1</v>
      </c>
      <c r="AW134">
        <v>1</v>
      </c>
      <c r="AZ134">
        <v>1</v>
      </c>
      <c r="BA134">
        <v>34.090000000000003</v>
      </c>
      <c r="BB134">
        <v>1</v>
      </c>
      <c r="BC134">
        <v>1</v>
      </c>
      <c r="BD134" t="s">
        <v>3</v>
      </c>
      <c r="BE134" t="s">
        <v>3</v>
      </c>
      <c r="BF134" t="s">
        <v>3</v>
      </c>
      <c r="BG134" t="s">
        <v>3</v>
      </c>
      <c r="BH134">
        <v>0</v>
      </c>
      <c r="BI134">
        <v>4</v>
      </c>
      <c r="BJ134" t="s">
        <v>97</v>
      </c>
      <c r="BM134">
        <v>382</v>
      </c>
      <c r="BN134">
        <v>0</v>
      </c>
      <c r="BO134" t="s">
        <v>3</v>
      </c>
      <c r="BP134">
        <v>0</v>
      </c>
      <c r="BQ134">
        <v>50</v>
      </c>
      <c r="BR134">
        <v>0</v>
      </c>
      <c r="BS134">
        <v>34.090000000000003</v>
      </c>
      <c r="BT134">
        <v>1</v>
      </c>
      <c r="BU134">
        <v>1</v>
      </c>
      <c r="BV134">
        <v>1</v>
      </c>
      <c r="BW134">
        <v>1</v>
      </c>
      <c r="BX134">
        <v>1</v>
      </c>
      <c r="BY134" t="s">
        <v>3</v>
      </c>
      <c r="BZ134">
        <v>70</v>
      </c>
      <c r="CA134">
        <v>41</v>
      </c>
      <c r="CB134" t="s">
        <v>3</v>
      </c>
      <c r="CE134">
        <v>30</v>
      </c>
      <c r="CF134">
        <v>0</v>
      </c>
      <c r="CG134">
        <v>0</v>
      </c>
      <c r="CM134">
        <v>0</v>
      </c>
      <c r="CN134" t="s">
        <v>98</v>
      </c>
      <c r="CO134">
        <v>0</v>
      </c>
      <c r="CP134">
        <f t="shared" ref="CP134:CP140" si="67">(P134+Q134+S134)</f>
        <v>39159.86</v>
      </c>
      <c r="CQ134">
        <f t="shared" ref="CQ134:CQ140" si="68">ROUND((ROUND((AC134*AW134*1),2)*BC134),2)</f>
        <v>0</v>
      </c>
      <c r="CR134">
        <f t="shared" ref="CR134:CR140" si="69">(ROUND((ROUND(((ET134)*AV134*1),2)*BB134),2)+ROUND((ROUND(((AE134-(EU134))*AV134*1),2)*BS134),2))</f>
        <v>0</v>
      </c>
      <c r="CS134">
        <f t="shared" ref="CS134:CS140" si="70">ROUND((ROUND((AE134*AV134*1),2)*BS134),2)</f>
        <v>0</v>
      </c>
      <c r="CT134">
        <f t="shared" ref="CT134:CT140" si="71">ROUND((ROUND((AF134*AV134*1),2)*BA134),2)</f>
        <v>39159.86</v>
      </c>
      <c r="CU134">
        <f t="shared" ref="CU134:CU140" si="72">AG134</f>
        <v>0</v>
      </c>
      <c r="CV134">
        <f t="shared" ref="CV134:CV140" si="73">(AH134*AV134)</f>
        <v>59.2</v>
      </c>
      <c r="CW134">
        <f t="shared" ref="CW134:CX140" si="74">AI134</f>
        <v>0</v>
      </c>
      <c r="CX134">
        <f t="shared" si="74"/>
        <v>0</v>
      </c>
      <c r="CY134">
        <f t="shared" ref="CY134:CY140" si="75">S134*(BZ134/100)</f>
        <v>27411.901999999998</v>
      </c>
      <c r="CZ134">
        <f t="shared" ref="CZ134:CZ140" si="76">S134*(CA134/100)</f>
        <v>16055.542599999999</v>
      </c>
      <c r="DC134" t="s">
        <v>3</v>
      </c>
      <c r="DD134" t="s">
        <v>3</v>
      </c>
      <c r="DE134" t="s">
        <v>3</v>
      </c>
      <c r="DF134" t="s">
        <v>3</v>
      </c>
      <c r="DG134" t="s">
        <v>99</v>
      </c>
      <c r="DH134" t="s">
        <v>3</v>
      </c>
      <c r="DI134" t="s">
        <v>99</v>
      </c>
      <c r="DJ134" t="s">
        <v>3</v>
      </c>
      <c r="DK134" t="s">
        <v>3</v>
      </c>
      <c r="DL134" t="s">
        <v>3</v>
      </c>
      <c r="DM134" t="s">
        <v>3</v>
      </c>
      <c r="DN134">
        <v>75</v>
      </c>
      <c r="DO134">
        <v>70</v>
      </c>
      <c r="DP134">
        <v>1</v>
      </c>
      <c r="DQ134">
        <v>1</v>
      </c>
      <c r="DU134">
        <v>1013</v>
      </c>
      <c r="DV134" t="s">
        <v>96</v>
      </c>
      <c r="DW134" t="s">
        <v>96</v>
      </c>
      <c r="DX134">
        <v>1</v>
      </c>
      <c r="DZ134" t="s">
        <v>3</v>
      </c>
      <c r="EA134" t="s">
        <v>3</v>
      </c>
      <c r="EB134" t="s">
        <v>3</v>
      </c>
      <c r="EC134" t="s">
        <v>3</v>
      </c>
      <c r="EE134">
        <v>51355023</v>
      </c>
      <c r="EF134">
        <v>50</v>
      </c>
      <c r="EG134" t="s">
        <v>93</v>
      </c>
      <c r="EH134">
        <v>0</v>
      </c>
      <c r="EI134" t="s">
        <v>3</v>
      </c>
      <c r="EJ134">
        <v>4</v>
      </c>
      <c r="EK134">
        <v>382</v>
      </c>
      <c r="EL134" t="s">
        <v>100</v>
      </c>
      <c r="EM134" t="s">
        <v>101</v>
      </c>
      <c r="EO134" t="s">
        <v>102</v>
      </c>
      <c r="EQ134">
        <v>131072</v>
      </c>
      <c r="ER134">
        <v>1435.9</v>
      </c>
      <c r="ES134">
        <v>0</v>
      </c>
      <c r="ET134">
        <v>0</v>
      </c>
      <c r="EU134">
        <v>0</v>
      </c>
      <c r="EV134">
        <v>1435.9</v>
      </c>
      <c r="EW134">
        <v>74</v>
      </c>
      <c r="EX134">
        <v>0</v>
      </c>
      <c r="EY134">
        <v>0</v>
      </c>
      <c r="FQ134">
        <v>0</v>
      </c>
      <c r="FR134">
        <f t="shared" ref="FR134:FR140" si="77">ROUND(IF(BI134=3,GM134,0),2)</f>
        <v>0</v>
      </c>
      <c r="FS134">
        <v>0</v>
      </c>
      <c r="FX134">
        <v>75</v>
      </c>
      <c r="FY134">
        <v>70</v>
      </c>
      <c r="GA134" t="s">
        <v>3</v>
      </c>
      <c r="GD134">
        <v>0</v>
      </c>
      <c r="GF134">
        <v>-717237162</v>
      </c>
      <c r="GG134">
        <v>2</v>
      </c>
      <c r="GH134">
        <v>1</v>
      </c>
      <c r="GI134">
        <v>2</v>
      </c>
      <c r="GJ134">
        <v>0</v>
      </c>
      <c r="GK134">
        <f>ROUND(R134*(R12)/100,2)</f>
        <v>0</v>
      </c>
      <c r="GL134">
        <f t="shared" ref="GL134:GL140" si="78">ROUND(IF(AND(BH134=3,BI134=3,FS134&lt;&gt;0),P134,0),2)</f>
        <v>0</v>
      </c>
      <c r="GM134">
        <f t="shared" ref="GM134:GM140" si="79">ROUND(O134+X134+Y134+GK134,2)+GX134</f>
        <v>82627.3</v>
      </c>
      <c r="GN134">
        <f t="shared" ref="GN134:GN140" si="80">IF(OR(BI134=0,BI134=1),GM134-GX134,0)</f>
        <v>0</v>
      </c>
      <c r="GO134">
        <f t="shared" ref="GO134:GO140" si="81">IF(BI134=2,GM134-GX134,0)</f>
        <v>0</v>
      </c>
      <c r="GP134">
        <f t="shared" ref="GP134:GP140" si="82">IF(BI134=4,GM134-GX134,0)</f>
        <v>82627.3</v>
      </c>
      <c r="GR134">
        <v>0</v>
      </c>
      <c r="GS134">
        <v>3</v>
      </c>
      <c r="GT134">
        <v>0</v>
      </c>
      <c r="GU134" t="s">
        <v>3</v>
      </c>
      <c r="GV134">
        <f t="shared" ref="GV134:GV140" si="83">ROUND((GT134),6)</f>
        <v>0</v>
      </c>
      <c r="GW134">
        <v>1</v>
      </c>
      <c r="GX134">
        <f t="shared" ref="GX134:GX140" si="84">ROUND(HC134*I134,2)</f>
        <v>0</v>
      </c>
      <c r="HA134">
        <v>0</v>
      </c>
      <c r="HB134">
        <v>0</v>
      </c>
      <c r="HC134">
        <f t="shared" ref="HC134:HC140" si="85">GV134*GW134</f>
        <v>0</v>
      </c>
      <c r="HE134" t="s">
        <v>3</v>
      </c>
      <c r="HF134" t="s">
        <v>3</v>
      </c>
      <c r="HM134" t="s">
        <v>3</v>
      </c>
      <c r="HN134" t="s">
        <v>3</v>
      </c>
      <c r="HO134" t="s">
        <v>3</v>
      </c>
      <c r="HP134" t="s">
        <v>3</v>
      </c>
      <c r="HQ134" t="s">
        <v>3</v>
      </c>
      <c r="IK134">
        <v>0</v>
      </c>
    </row>
    <row r="135" spans="1:245" x14ac:dyDescent="0.2">
      <c r="A135">
        <v>17</v>
      </c>
      <c r="B135">
        <v>1</v>
      </c>
      <c r="D135">
        <f>ROW(EtalonRes!A5)</f>
        <v>5</v>
      </c>
      <c r="E135" t="s">
        <v>82</v>
      </c>
      <c r="F135" t="s">
        <v>103</v>
      </c>
      <c r="G135" t="s">
        <v>104</v>
      </c>
      <c r="H135" t="s">
        <v>105</v>
      </c>
      <c r="I135">
        <v>1</v>
      </c>
      <c r="J135">
        <v>0</v>
      </c>
      <c r="K135">
        <v>1</v>
      </c>
      <c r="O135">
        <f t="shared" si="48"/>
        <v>31362.12</v>
      </c>
      <c r="P135">
        <f t="shared" si="49"/>
        <v>0</v>
      </c>
      <c r="Q135">
        <f t="shared" si="50"/>
        <v>0</v>
      </c>
      <c r="R135">
        <f t="shared" si="51"/>
        <v>0</v>
      </c>
      <c r="S135">
        <f t="shared" si="52"/>
        <v>31362.12</v>
      </c>
      <c r="T135">
        <f t="shared" si="53"/>
        <v>0</v>
      </c>
      <c r="U135">
        <f t="shared" si="54"/>
        <v>57.6</v>
      </c>
      <c r="V135">
        <f t="shared" si="55"/>
        <v>0</v>
      </c>
      <c r="W135">
        <f t="shared" si="56"/>
        <v>0</v>
      </c>
      <c r="X135">
        <f t="shared" si="57"/>
        <v>21953.48</v>
      </c>
      <c r="Y135">
        <f t="shared" si="57"/>
        <v>12858.47</v>
      </c>
      <c r="AA135">
        <v>51975038</v>
      </c>
      <c r="AB135">
        <f t="shared" si="58"/>
        <v>919.98400000000004</v>
      </c>
      <c r="AC135">
        <f t="shared" si="59"/>
        <v>0</v>
      </c>
      <c r="AD135">
        <f t="shared" si="60"/>
        <v>0</v>
      </c>
      <c r="AE135">
        <f t="shared" si="61"/>
        <v>0</v>
      </c>
      <c r="AF135">
        <f t="shared" si="62"/>
        <v>919.98400000000004</v>
      </c>
      <c r="AG135">
        <f t="shared" si="63"/>
        <v>0</v>
      </c>
      <c r="AH135">
        <f t="shared" si="64"/>
        <v>57.6</v>
      </c>
      <c r="AI135">
        <f t="shared" si="65"/>
        <v>0</v>
      </c>
      <c r="AJ135">
        <f t="shared" si="66"/>
        <v>0</v>
      </c>
      <c r="AK135">
        <v>1149.98</v>
      </c>
      <c r="AL135">
        <v>0</v>
      </c>
      <c r="AM135">
        <v>0</v>
      </c>
      <c r="AN135">
        <v>0</v>
      </c>
      <c r="AO135">
        <v>1149.98</v>
      </c>
      <c r="AP135">
        <v>0</v>
      </c>
      <c r="AQ135">
        <v>72</v>
      </c>
      <c r="AR135">
        <v>0</v>
      </c>
      <c r="AS135">
        <v>0</v>
      </c>
      <c r="AT135">
        <v>70</v>
      </c>
      <c r="AU135">
        <v>41</v>
      </c>
      <c r="AV135">
        <v>1</v>
      </c>
      <c r="AW135">
        <v>1</v>
      </c>
      <c r="AZ135">
        <v>1</v>
      </c>
      <c r="BA135">
        <v>34.090000000000003</v>
      </c>
      <c r="BB135">
        <v>1</v>
      </c>
      <c r="BC135">
        <v>1</v>
      </c>
      <c r="BD135" t="s">
        <v>3</v>
      </c>
      <c r="BE135" t="s">
        <v>3</v>
      </c>
      <c r="BF135" t="s">
        <v>3</v>
      </c>
      <c r="BG135" t="s">
        <v>3</v>
      </c>
      <c r="BH135">
        <v>0</v>
      </c>
      <c r="BI135">
        <v>4</v>
      </c>
      <c r="BJ135" t="s">
        <v>106</v>
      </c>
      <c r="BM135">
        <v>382</v>
      </c>
      <c r="BN135">
        <v>0</v>
      </c>
      <c r="BO135" t="s">
        <v>3</v>
      </c>
      <c r="BP135">
        <v>0</v>
      </c>
      <c r="BQ135">
        <v>50</v>
      </c>
      <c r="BR135">
        <v>0</v>
      </c>
      <c r="BS135">
        <v>34.090000000000003</v>
      </c>
      <c r="BT135">
        <v>1</v>
      </c>
      <c r="BU135">
        <v>1</v>
      </c>
      <c r="BV135">
        <v>1</v>
      </c>
      <c r="BW135">
        <v>1</v>
      </c>
      <c r="BX135">
        <v>1</v>
      </c>
      <c r="BY135" t="s">
        <v>3</v>
      </c>
      <c r="BZ135">
        <v>70</v>
      </c>
      <c r="CA135">
        <v>41</v>
      </c>
      <c r="CB135" t="s">
        <v>3</v>
      </c>
      <c r="CE135">
        <v>30</v>
      </c>
      <c r="CF135">
        <v>0</v>
      </c>
      <c r="CG135">
        <v>0</v>
      </c>
      <c r="CM135">
        <v>0</v>
      </c>
      <c r="CN135" t="s">
        <v>98</v>
      </c>
      <c r="CO135">
        <v>0</v>
      </c>
      <c r="CP135">
        <f t="shared" si="67"/>
        <v>31362.12</v>
      </c>
      <c r="CQ135">
        <f t="shared" si="68"/>
        <v>0</v>
      </c>
      <c r="CR135">
        <f t="shared" si="69"/>
        <v>0</v>
      </c>
      <c r="CS135">
        <f t="shared" si="70"/>
        <v>0</v>
      </c>
      <c r="CT135">
        <f t="shared" si="71"/>
        <v>31362.12</v>
      </c>
      <c r="CU135">
        <f t="shared" si="72"/>
        <v>0</v>
      </c>
      <c r="CV135">
        <f t="shared" si="73"/>
        <v>57.6</v>
      </c>
      <c r="CW135">
        <f t="shared" si="74"/>
        <v>0</v>
      </c>
      <c r="CX135">
        <f t="shared" si="74"/>
        <v>0</v>
      </c>
      <c r="CY135">
        <f t="shared" si="75"/>
        <v>21953.483999999997</v>
      </c>
      <c r="CZ135">
        <f t="shared" si="76"/>
        <v>12858.4692</v>
      </c>
      <c r="DC135" t="s">
        <v>3</v>
      </c>
      <c r="DD135" t="s">
        <v>3</v>
      </c>
      <c r="DE135" t="s">
        <v>3</v>
      </c>
      <c r="DF135" t="s">
        <v>3</v>
      </c>
      <c r="DG135" t="s">
        <v>99</v>
      </c>
      <c r="DH135" t="s">
        <v>3</v>
      </c>
      <c r="DI135" t="s">
        <v>99</v>
      </c>
      <c r="DJ135" t="s">
        <v>3</v>
      </c>
      <c r="DK135" t="s">
        <v>3</v>
      </c>
      <c r="DL135" t="s">
        <v>3</v>
      </c>
      <c r="DM135" t="s">
        <v>3</v>
      </c>
      <c r="DN135">
        <v>75</v>
      </c>
      <c r="DO135">
        <v>70</v>
      </c>
      <c r="DP135">
        <v>1</v>
      </c>
      <c r="DQ135">
        <v>1</v>
      </c>
      <c r="DU135">
        <v>1013</v>
      </c>
      <c r="DV135" t="s">
        <v>105</v>
      </c>
      <c r="DW135" t="s">
        <v>105</v>
      </c>
      <c r="DX135">
        <v>1</v>
      </c>
      <c r="DZ135" t="s">
        <v>3</v>
      </c>
      <c r="EA135" t="s">
        <v>3</v>
      </c>
      <c r="EB135" t="s">
        <v>3</v>
      </c>
      <c r="EC135" t="s">
        <v>3</v>
      </c>
      <c r="EE135">
        <v>51355023</v>
      </c>
      <c r="EF135">
        <v>50</v>
      </c>
      <c r="EG135" t="s">
        <v>93</v>
      </c>
      <c r="EH135">
        <v>0</v>
      </c>
      <c r="EI135" t="s">
        <v>3</v>
      </c>
      <c r="EJ135">
        <v>4</v>
      </c>
      <c r="EK135">
        <v>382</v>
      </c>
      <c r="EL135" t="s">
        <v>100</v>
      </c>
      <c r="EM135" t="s">
        <v>101</v>
      </c>
      <c r="EO135" t="s">
        <v>102</v>
      </c>
      <c r="EQ135">
        <v>131072</v>
      </c>
      <c r="ER135">
        <v>1149.98</v>
      </c>
      <c r="ES135">
        <v>0</v>
      </c>
      <c r="ET135">
        <v>0</v>
      </c>
      <c r="EU135">
        <v>0</v>
      </c>
      <c r="EV135">
        <v>1149.98</v>
      </c>
      <c r="EW135">
        <v>72</v>
      </c>
      <c r="EX135">
        <v>0</v>
      </c>
      <c r="EY135">
        <v>0</v>
      </c>
      <c r="FQ135">
        <v>0</v>
      </c>
      <c r="FR135">
        <f t="shared" si="77"/>
        <v>0</v>
      </c>
      <c r="FS135">
        <v>0</v>
      </c>
      <c r="FX135">
        <v>75</v>
      </c>
      <c r="FY135">
        <v>70</v>
      </c>
      <c r="GA135" t="s">
        <v>3</v>
      </c>
      <c r="GD135">
        <v>0</v>
      </c>
      <c r="GF135">
        <v>733234140</v>
      </c>
      <c r="GG135">
        <v>2</v>
      </c>
      <c r="GH135">
        <v>1</v>
      </c>
      <c r="GI135">
        <v>2</v>
      </c>
      <c r="GJ135">
        <v>0</v>
      </c>
      <c r="GK135">
        <f>ROUND(R135*(R12)/100,2)</f>
        <v>0</v>
      </c>
      <c r="GL135">
        <f t="shared" si="78"/>
        <v>0</v>
      </c>
      <c r="GM135">
        <f t="shared" si="79"/>
        <v>66174.070000000007</v>
      </c>
      <c r="GN135">
        <f t="shared" si="80"/>
        <v>0</v>
      </c>
      <c r="GO135">
        <f t="shared" si="81"/>
        <v>0</v>
      </c>
      <c r="GP135">
        <f t="shared" si="82"/>
        <v>66174.070000000007</v>
      </c>
      <c r="GR135">
        <v>0</v>
      </c>
      <c r="GS135">
        <v>3</v>
      </c>
      <c r="GT135">
        <v>0</v>
      </c>
      <c r="GU135" t="s">
        <v>3</v>
      </c>
      <c r="GV135">
        <f t="shared" si="83"/>
        <v>0</v>
      </c>
      <c r="GW135">
        <v>1</v>
      </c>
      <c r="GX135">
        <f t="shared" si="84"/>
        <v>0</v>
      </c>
      <c r="HA135">
        <v>0</v>
      </c>
      <c r="HB135">
        <v>0</v>
      </c>
      <c r="HC135">
        <f t="shared" si="85"/>
        <v>0</v>
      </c>
      <c r="HE135" t="s">
        <v>3</v>
      </c>
      <c r="HF135" t="s">
        <v>3</v>
      </c>
      <c r="HM135" t="s">
        <v>3</v>
      </c>
      <c r="HN135" t="s">
        <v>3</v>
      </c>
      <c r="HO135" t="s">
        <v>3</v>
      </c>
      <c r="HP135" t="s">
        <v>3</v>
      </c>
      <c r="HQ135" t="s">
        <v>3</v>
      </c>
      <c r="IK135">
        <v>0</v>
      </c>
    </row>
    <row r="136" spans="1:245" x14ac:dyDescent="0.2">
      <c r="A136">
        <v>17</v>
      </c>
      <c r="B136">
        <v>1</v>
      </c>
      <c r="D136">
        <f>ROW(EtalonRes!A6)</f>
        <v>6</v>
      </c>
      <c r="E136" t="s">
        <v>89</v>
      </c>
      <c r="F136" t="s">
        <v>107</v>
      </c>
      <c r="G136" t="s">
        <v>108</v>
      </c>
      <c r="H136" t="s">
        <v>109</v>
      </c>
      <c r="I136">
        <v>1</v>
      </c>
      <c r="J136">
        <v>0</v>
      </c>
      <c r="K136">
        <v>1</v>
      </c>
      <c r="O136">
        <f t="shared" si="48"/>
        <v>15346.64</v>
      </c>
      <c r="P136">
        <f t="shared" si="49"/>
        <v>0</v>
      </c>
      <c r="Q136">
        <f t="shared" si="50"/>
        <v>0</v>
      </c>
      <c r="R136">
        <f t="shared" si="51"/>
        <v>0</v>
      </c>
      <c r="S136">
        <f t="shared" si="52"/>
        <v>15346.64</v>
      </c>
      <c r="T136">
        <f t="shared" si="53"/>
        <v>0</v>
      </c>
      <c r="U136">
        <f t="shared" si="54"/>
        <v>23.200000000000003</v>
      </c>
      <c r="V136">
        <f t="shared" si="55"/>
        <v>0</v>
      </c>
      <c r="W136">
        <f t="shared" si="56"/>
        <v>0</v>
      </c>
      <c r="X136">
        <f t="shared" si="57"/>
        <v>10742.65</v>
      </c>
      <c r="Y136">
        <f t="shared" si="57"/>
        <v>6292.12</v>
      </c>
      <c r="AA136">
        <v>51975038</v>
      </c>
      <c r="AB136">
        <f t="shared" si="58"/>
        <v>450.17599999999999</v>
      </c>
      <c r="AC136">
        <f t="shared" si="59"/>
        <v>0</v>
      </c>
      <c r="AD136">
        <f t="shared" si="60"/>
        <v>0</v>
      </c>
      <c r="AE136">
        <f t="shared" si="61"/>
        <v>0</v>
      </c>
      <c r="AF136">
        <f t="shared" si="62"/>
        <v>450.17599999999999</v>
      </c>
      <c r="AG136">
        <f t="shared" si="63"/>
        <v>0</v>
      </c>
      <c r="AH136">
        <f t="shared" si="64"/>
        <v>23.200000000000003</v>
      </c>
      <c r="AI136">
        <f t="shared" si="65"/>
        <v>0</v>
      </c>
      <c r="AJ136">
        <f t="shared" si="66"/>
        <v>0</v>
      </c>
      <c r="AK136">
        <v>562.72</v>
      </c>
      <c r="AL136">
        <v>0</v>
      </c>
      <c r="AM136">
        <v>0</v>
      </c>
      <c r="AN136">
        <v>0</v>
      </c>
      <c r="AO136">
        <v>562.72</v>
      </c>
      <c r="AP136">
        <v>0</v>
      </c>
      <c r="AQ136">
        <v>29</v>
      </c>
      <c r="AR136">
        <v>0</v>
      </c>
      <c r="AS136">
        <v>0</v>
      </c>
      <c r="AT136">
        <v>70</v>
      </c>
      <c r="AU136">
        <v>41</v>
      </c>
      <c r="AV136">
        <v>1</v>
      </c>
      <c r="AW136">
        <v>1</v>
      </c>
      <c r="AZ136">
        <v>1</v>
      </c>
      <c r="BA136">
        <v>34.090000000000003</v>
      </c>
      <c r="BB136">
        <v>1</v>
      </c>
      <c r="BC136">
        <v>1</v>
      </c>
      <c r="BD136" t="s">
        <v>3</v>
      </c>
      <c r="BE136" t="s">
        <v>3</v>
      </c>
      <c r="BF136" t="s">
        <v>3</v>
      </c>
      <c r="BG136" t="s">
        <v>3</v>
      </c>
      <c r="BH136">
        <v>0</v>
      </c>
      <c r="BI136">
        <v>4</v>
      </c>
      <c r="BJ136" t="s">
        <v>110</v>
      </c>
      <c r="BM136">
        <v>382</v>
      </c>
      <c r="BN136">
        <v>0</v>
      </c>
      <c r="BO136" t="s">
        <v>3</v>
      </c>
      <c r="BP136">
        <v>0</v>
      </c>
      <c r="BQ136">
        <v>50</v>
      </c>
      <c r="BR136">
        <v>0</v>
      </c>
      <c r="BS136">
        <v>34.090000000000003</v>
      </c>
      <c r="BT136">
        <v>1</v>
      </c>
      <c r="BU136">
        <v>1</v>
      </c>
      <c r="BV136">
        <v>1</v>
      </c>
      <c r="BW136">
        <v>1</v>
      </c>
      <c r="BX136">
        <v>1</v>
      </c>
      <c r="BY136" t="s">
        <v>3</v>
      </c>
      <c r="BZ136">
        <v>70</v>
      </c>
      <c r="CA136">
        <v>41</v>
      </c>
      <c r="CB136" t="s">
        <v>3</v>
      </c>
      <c r="CE136">
        <v>30</v>
      </c>
      <c r="CF136">
        <v>0</v>
      </c>
      <c r="CG136">
        <v>0</v>
      </c>
      <c r="CM136">
        <v>0</v>
      </c>
      <c r="CN136" t="s">
        <v>98</v>
      </c>
      <c r="CO136">
        <v>0</v>
      </c>
      <c r="CP136">
        <f t="shared" si="67"/>
        <v>15346.64</v>
      </c>
      <c r="CQ136">
        <f t="shared" si="68"/>
        <v>0</v>
      </c>
      <c r="CR136">
        <f t="shared" si="69"/>
        <v>0</v>
      </c>
      <c r="CS136">
        <f t="shared" si="70"/>
        <v>0</v>
      </c>
      <c r="CT136">
        <f t="shared" si="71"/>
        <v>15346.64</v>
      </c>
      <c r="CU136">
        <f t="shared" si="72"/>
        <v>0</v>
      </c>
      <c r="CV136">
        <f t="shared" si="73"/>
        <v>23.200000000000003</v>
      </c>
      <c r="CW136">
        <f t="shared" si="74"/>
        <v>0</v>
      </c>
      <c r="CX136">
        <f t="shared" si="74"/>
        <v>0</v>
      </c>
      <c r="CY136">
        <f t="shared" si="75"/>
        <v>10742.647999999999</v>
      </c>
      <c r="CZ136">
        <f t="shared" si="76"/>
        <v>6292.1223999999993</v>
      </c>
      <c r="DC136" t="s">
        <v>3</v>
      </c>
      <c r="DD136" t="s">
        <v>3</v>
      </c>
      <c r="DE136" t="s">
        <v>3</v>
      </c>
      <c r="DF136" t="s">
        <v>3</v>
      </c>
      <c r="DG136" t="s">
        <v>99</v>
      </c>
      <c r="DH136" t="s">
        <v>3</v>
      </c>
      <c r="DI136" t="s">
        <v>99</v>
      </c>
      <c r="DJ136" t="s">
        <v>3</v>
      </c>
      <c r="DK136" t="s">
        <v>3</v>
      </c>
      <c r="DL136" t="s">
        <v>3</v>
      </c>
      <c r="DM136" t="s">
        <v>3</v>
      </c>
      <c r="DN136">
        <v>75</v>
      </c>
      <c r="DO136">
        <v>70</v>
      </c>
      <c r="DP136">
        <v>1</v>
      </c>
      <c r="DQ136">
        <v>1</v>
      </c>
      <c r="DU136">
        <v>1013</v>
      </c>
      <c r="DV136" t="s">
        <v>109</v>
      </c>
      <c r="DW136" t="s">
        <v>109</v>
      </c>
      <c r="DX136">
        <v>1</v>
      </c>
      <c r="DZ136" t="s">
        <v>3</v>
      </c>
      <c r="EA136" t="s">
        <v>3</v>
      </c>
      <c r="EB136" t="s">
        <v>3</v>
      </c>
      <c r="EC136" t="s">
        <v>3</v>
      </c>
      <c r="EE136">
        <v>51355023</v>
      </c>
      <c r="EF136">
        <v>50</v>
      </c>
      <c r="EG136" t="s">
        <v>93</v>
      </c>
      <c r="EH136">
        <v>0</v>
      </c>
      <c r="EI136" t="s">
        <v>3</v>
      </c>
      <c r="EJ136">
        <v>4</v>
      </c>
      <c r="EK136">
        <v>382</v>
      </c>
      <c r="EL136" t="s">
        <v>100</v>
      </c>
      <c r="EM136" t="s">
        <v>101</v>
      </c>
      <c r="EO136" t="s">
        <v>102</v>
      </c>
      <c r="EQ136">
        <v>131072</v>
      </c>
      <c r="ER136">
        <v>562.72</v>
      </c>
      <c r="ES136">
        <v>0</v>
      </c>
      <c r="ET136">
        <v>0</v>
      </c>
      <c r="EU136">
        <v>0</v>
      </c>
      <c r="EV136">
        <v>562.72</v>
      </c>
      <c r="EW136">
        <v>29</v>
      </c>
      <c r="EX136">
        <v>0</v>
      </c>
      <c r="EY136">
        <v>0</v>
      </c>
      <c r="FQ136">
        <v>0</v>
      </c>
      <c r="FR136">
        <f t="shared" si="77"/>
        <v>0</v>
      </c>
      <c r="FS136">
        <v>0</v>
      </c>
      <c r="FX136">
        <v>75</v>
      </c>
      <c r="FY136">
        <v>70</v>
      </c>
      <c r="GA136" t="s">
        <v>3</v>
      </c>
      <c r="GD136">
        <v>0</v>
      </c>
      <c r="GF136">
        <v>815409331</v>
      </c>
      <c r="GG136">
        <v>2</v>
      </c>
      <c r="GH136">
        <v>1</v>
      </c>
      <c r="GI136">
        <v>2</v>
      </c>
      <c r="GJ136">
        <v>0</v>
      </c>
      <c r="GK136">
        <f>ROUND(R136*(R12)/100,2)</f>
        <v>0</v>
      </c>
      <c r="GL136">
        <f t="shared" si="78"/>
        <v>0</v>
      </c>
      <c r="GM136">
        <f t="shared" si="79"/>
        <v>32381.41</v>
      </c>
      <c r="GN136">
        <f t="shared" si="80"/>
        <v>0</v>
      </c>
      <c r="GO136">
        <f t="shared" si="81"/>
        <v>0</v>
      </c>
      <c r="GP136">
        <f t="shared" si="82"/>
        <v>32381.41</v>
      </c>
      <c r="GR136">
        <v>0</v>
      </c>
      <c r="GS136">
        <v>3</v>
      </c>
      <c r="GT136">
        <v>0</v>
      </c>
      <c r="GU136" t="s">
        <v>3</v>
      </c>
      <c r="GV136">
        <f t="shared" si="83"/>
        <v>0</v>
      </c>
      <c r="GW136">
        <v>1</v>
      </c>
      <c r="GX136">
        <f t="shared" si="84"/>
        <v>0</v>
      </c>
      <c r="HA136">
        <v>0</v>
      </c>
      <c r="HB136">
        <v>0</v>
      </c>
      <c r="HC136">
        <f t="shared" si="85"/>
        <v>0</v>
      </c>
      <c r="HE136" t="s">
        <v>3</v>
      </c>
      <c r="HF136" t="s">
        <v>3</v>
      </c>
      <c r="HM136" t="s">
        <v>3</v>
      </c>
      <c r="HN136" t="s">
        <v>3</v>
      </c>
      <c r="HO136" t="s">
        <v>3</v>
      </c>
      <c r="HP136" t="s">
        <v>3</v>
      </c>
      <c r="HQ136" t="s">
        <v>3</v>
      </c>
      <c r="IK136">
        <v>0</v>
      </c>
    </row>
    <row r="137" spans="1:245" x14ac:dyDescent="0.2">
      <c r="A137">
        <v>17</v>
      </c>
      <c r="B137">
        <v>1</v>
      </c>
      <c r="D137">
        <f>ROW(EtalonRes!A7)</f>
        <v>7</v>
      </c>
      <c r="E137" t="s">
        <v>111</v>
      </c>
      <c r="F137" t="s">
        <v>112</v>
      </c>
      <c r="G137" t="s">
        <v>113</v>
      </c>
      <c r="H137" t="s">
        <v>114</v>
      </c>
      <c r="I137">
        <v>28</v>
      </c>
      <c r="J137">
        <v>0</v>
      </c>
      <c r="K137">
        <v>28</v>
      </c>
      <c r="O137">
        <f t="shared" si="48"/>
        <v>50375.82</v>
      </c>
      <c r="P137">
        <f t="shared" si="49"/>
        <v>0</v>
      </c>
      <c r="Q137">
        <f t="shared" si="50"/>
        <v>0</v>
      </c>
      <c r="R137">
        <f t="shared" si="51"/>
        <v>0</v>
      </c>
      <c r="S137">
        <f t="shared" si="52"/>
        <v>50375.82</v>
      </c>
      <c r="T137">
        <f t="shared" si="53"/>
        <v>0</v>
      </c>
      <c r="U137">
        <f t="shared" si="54"/>
        <v>76.160000000000011</v>
      </c>
      <c r="V137">
        <f t="shared" si="55"/>
        <v>0</v>
      </c>
      <c r="W137">
        <f t="shared" si="56"/>
        <v>0</v>
      </c>
      <c r="X137">
        <f t="shared" si="57"/>
        <v>35263.07</v>
      </c>
      <c r="Y137">
        <f t="shared" si="57"/>
        <v>20654.09</v>
      </c>
      <c r="AA137">
        <v>51975038</v>
      </c>
      <c r="AB137">
        <f t="shared" si="58"/>
        <v>52.776000000000003</v>
      </c>
      <c r="AC137">
        <f t="shared" si="59"/>
        <v>0</v>
      </c>
      <c r="AD137">
        <f t="shared" si="60"/>
        <v>0</v>
      </c>
      <c r="AE137">
        <f t="shared" si="61"/>
        <v>0</v>
      </c>
      <c r="AF137">
        <f t="shared" si="62"/>
        <v>52.776000000000003</v>
      </c>
      <c r="AG137">
        <f t="shared" si="63"/>
        <v>0</v>
      </c>
      <c r="AH137">
        <f t="shared" si="64"/>
        <v>2.72</v>
      </c>
      <c r="AI137">
        <f t="shared" si="65"/>
        <v>0</v>
      </c>
      <c r="AJ137">
        <f t="shared" si="66"/>
        <v>0</v>
      </c>
      <c r="AK137">
        <v>65.97</v>
      </c>
      <c r="AL137">
        <v>0</v>
      </c>
      <c r="AM137">
        <v>0</v>
      </c>
      <c r="AN137">
        <v>0</v>
      </c>
      <c r="AO137">
        <v>65.97</v>
      </c>
      <c r="AP137">
        <v>0</v>
      </c>
      <c r="AQ137">
        <v>3.4</v>
      </c>
      <c r="AR137">
        <v>0</v>
      </c>
      <c r="AS137">
        <v>0</v>
      </c>
      <c r="AT137">
        <v>70</v>
      </c>
      <c r="AU137">
        <v>41</v>
      </c>
      <c r="AV137">
        <v>1</v>
      </c>
      <c r="AW137">
        <v>1</v>
      </c>
      <c r="AZ137">
        <v>1</v>
      </c>
      <c r="BA137">
        <v>34.090000000000003</v>
      </c>
      <c r="BB137">
        <v>1</v>
      </c>
      <c r="BC137">
        <v>1</v>
      </c>
      <c r="BD137" t="s">
        <v>3</v>
      </c>
      <c r="BE137" t="s">
        <v>3</v>
      </c>
      <c r="BF137" t="s">
        <v>3</v>
      </c>
      <c r="BG137" t="s">
        <v>3</v>
      </c>
      <c r="BH137">
        <v>0</v>
      </c>
      <c r="BI137">
        <v>4</v>
      </c>
      <c r="BJ137" t="s">
        <v>115</v>
      </c>
      <c r="BM137">
        <v>382</v>
      </c>
      <c r="BN137">
        <v>0</v>
      </c>
      <c r="BO137" t="s">
        <v>3</v>
      </c>
      <c r="BP137">
        <v>0</v>
      </c>
      <c r="BQ137">
        <v>50</v>
      </c>
      <c r="BR137">
        <v>0</v>
      </c>
      <c r="BS137">
        <v>34.090000000000003</v>
      </c>
      <c r="BT137">
        <v>1</v>
      </c>
      <c r="BU137">
        <v>1</v>
      </c>
      <c r="BV137">
        <v>1</v>
      </c>
      <c r="BW137">
        <v>1</v>
      </c>
      <c r="BX137">
        <v>1</v>
      </c>
      <c r="BY137" t="s">
        <v>3</v>
      </c>
      <c r="BZ137">
        <v>70</v>
      </c>
      <c r="CA137">
        <v>41</v>
      </c>
      <c r="CB137" t="s">
        <v>3</v>
      </c>
      <c r="CE137">
        <v>30</v>
      </c>
      <c r="CF137">
        <v>0</v>
      </c>
      <c r="CG137">
        <v>0</v>
      </c>
      <c r="CM137">
        <v>0</v>
      </c>
      <c r="CN137" t="s">
        <v>98</v>
      </c>
      <c r="CO137">
        <v>0</v>
      </c>
      <c r="CP137">
        <f t="shared" si="67"/>
        <v>50375.82</v>
      </c>
      <c r="CQ137">
        <f t="shared" si="68"/>
        <v>0</v>
      </c>
      <c r="CR137">
        <f t="shared" si="69"/>
        <v>0</v>
      </c>
      <c r="CS137">
        <f t="shared" si="70"/>
        <v>0</v>
      </c>
      <c r="CT137">
        <f t="shared" si="71"/>
        <v>1799.27</v>
      </c>
      <c r="CU137">
        <f t="shared" si="72"/>
        <v>0</v>
      </c>
      <c r="CV137">
        <f t="shared" si="73"/>
        <v>2.72</v>
      </c>
      <c r="CW137">
        <f t="shared" si="74"/>
        <v>0</v>
      </c>
      <c r="CX137">
        <f t="shared" si="74"/>
        <v>0</v>
      </c>
      <c r="CY137">
        <f t="shared" si="75"/>
        <v>35263.074000000001</v>
      </c>
      <c r="CZ137">
        <f t="shared" si="76"/>
        <v>20654.086199999998</v>
      </c>
      <c r="DC137" t="s">
        <v>3</v>
      </c>
      <c r="DD137" t="s">
        <v>3</v>
      </c>
      <c r="DE137" t="s">
        <v>3</v>
      </c>
      <c r="DF137" t="s">
        <v>3</v>
      </c>
      <c r="DG137" t="s">
        <v>99</v>
      </c>
      <c r="DH137" t="s">
        <v>3</v>
      </c>
      <c r="DI137" t="s">
        <v>99</v>
      </c>
      <c r="DJ137" t="s">
        <v>3</v>
      </c>
      <c r="DK137" t="s">
        <v>3</v>
      </c>
      <c r="DL137" t="s">
        <v>3</v>
      </c>
      <c r="DM137" t="s">
        <v>3</v>
      </c>
      <c r="DN137">
        <v>75</v>
      </c>
      <c r="DO137">
        <v>70</v>
      </c>
      <c r="DP137">
        <v>1</v>
      </c>
      <c r="DQ137">
        <v>1</v>
      </c>
      <c r="DU137">
        <v>1013</v>
      </c>
      <c r="DV137" t="s">
        <v>114</v>
      </c>
      <c r="DW137" t="s">
        <v>114</v>
      </c>
      <c r="DX137">
        <v>1</v>
      </c>
      <c r="DZ137" t="s">
        <v>3</v>
      </c>
      <c r="EA137" t="s">
        <v>3</v>
      </c>
      <c r="EB137" t="s">
        <v>3</v>
      </c>
      <c r="EC137" t="s">
        <v>3</v>
      </c>
      <c r="EE137">
        <v>51355023</v>
      </c>
      <c r="EF137">
        <v>50</v>
      </c>
      <c r="EG137" t="s">
        <v>93</v>
      </c>
      <c r="EH137">
        <v>0</v>
      </c>
      <c r="EI137" t="s">
        <v>3</v>
      </c>
      <c r="EJ137">
        <v>4</v>
      </c>
      <c r="EK137">
        <v>382</v>
      </c>
      <c r="EL137" t="s">
        <v>100</v>
      </c>
      <c r="EM137" t="s">
        <v>101</v>
      </c>
      <c r="EO137" t="s">
        <v>102</v>
      </c>
      <c r="EQ137">
        <v>131072</v>
      </c>
      <c r="ER137">
        <v>65.97</v>
      </c>
      <c r="ES137">
        <v>0</v>
      </c>
      <c r="ET137">
        <v>0</v>
      </c>
      <c r="EU137">
        <v>0</v>
      </c>
      <c r="EV137">
        <v>65.97</v>
      </c>
      <c r="EW137">
        <v>3.4</v>
      </c>
      <c r="EX137">
        <v>0</v>
      </c>
      <c r="EY137">
        <v>0</v>
      </c>
      <c r="FQ137">
        <v>0</v>
      </c>
      <c r="FR137">
        <f t="shared" si="77"/>
        <v>0</v>
      </c>
      <c r="FS137">
        <v>0</v>
      </c>
      <c r="FX137">
        <v>75</v>
      </c>
      <c r="FY137">
        <v>70</v>
      </c>
      <c r="GA137" t="s">
        <v>3</v>
      </c>
      <c r="GD137">
        <v>0</v>
      </c>
      <c r="GF137">
        <v>-593472285</v>
      </c>
      <c r="GG137">
        <v>2</v>
      </c>
      <c r="GH137">
        <v>1</v>
      </c>
      <c r="GI137">
        <v>2</v>
      </c>
      <c r="GJ137">
        <v>0</v>
      </c>
      <c r="GK137">
        <f>ROUND(R137*(R12)/100,2)</f>
        <v>0</v>
      </c>
      <c r="GL137">
        <f t="shared" si="78"/>
        <v>0</v>
      </c>
      <c r="GM137">
        <f t="shared" si="79"/>
        <v>106292.98</v>
      </c>
      <c r="GN137">
        <f t="shared" si="80"/>
        <v>0</v>
      </c>
      <c r="GO137">
        <f t="shared" si="81"/>
        <v>0</v>
      </c>
      <c r="GP137">
        <f t="shared" si="82"/>
        <v>106292.98</v>
      </c>
      <c r="GR137">
        <v>0</v>
      </c>
      <c r="GS137">
        <v>3</v>
      </c>
      <c r="GT137">
        <v>0</v>
      </c>
      <c r="GU137" t="s">
        <v>3</v>
      </c>
      <c r="GV137">
        <f t="shared" si="83"/>
        <v>0</v>
      </c>
      <c r="GW137">
        <v>1</v>
      </c>
      <c r="GX137">
        <f t="shared" si="84"/>
        <v>0</v>
      </c>
      <c r="HA137">
        <v>0</v>
      </c>
      <c r="HB137">
        <v>0</v>
      </c>
      <c r="HC137">
        <f t="shared" si="85"/>
        <v>0</v>
      </c>
      <c r="HE137" t="s">
        <v>3</v>
      </c>
      <c r="HF137" t="s">
        <v>3</v>
      </c>
      <c r="HM137" t="s">
        <v>3</v>
      </c>
      <c r="HN137" t="s">
        <v>3</v>
      </c>
      <c r="HO137" t="s">
        <v>3</v>
      </c>
      <c r="HP137" t="s">
        <v>3</v>
      </c>
      <c r="HQ137" t="s">
        <v>3</v>
      </c>
      <c r="IK137">
        <v>0</v>
      </c>
    </row>
    <row r="138" spans="1:245" x14ac:dyDescent="0.2">
      <c r="A138">
        <v>17</v>
      </c>
      <c r="B138">
        <v>1</v>
      </c>
      <c r="D138">
        <f>ROW(EtalonRes!A8)</f>
        <v>8</v>
      </c>
      <c r="E138" t="s">
        <v>116</v>
      </c>
      <c r="F138" t="s">
        <v>117</v>
      </c>
      <c r="G138" t="s">
        <v>144</v>
      </c>
      <c r="H138" t="s">
        <v>118</v>
      </c>
      <c r="I138">
        <v>1</v>
      </c>
      <c r="J138">
        <v>0</v>
      </c>
      <c r="K138">
        <v>1</v>
      </c>
      <c r="O138">
        <f t="shared" si="48"/>
        <v>2469.48</v>
      </c>
      <c r="P138">
        <f t="shared" si="49"/>
        <v>0</v>
      </c>
      <c r="Q138">
        <f t="shared" si="50"/>
        <v>0</v>
      </c>
      <c r="R138">
        <f t="shared" si="51"/>
        <v>0</v>
      </c>
      <c r="S138">
        <f t="shared" si="52"/>
        <v>2469.48</v>
      </c>
      <c r="T138">
        <f t="shared" si="53"/>
        <v>0</v>
      </c>
      <c r="U138">
        <f t="shared" si="54"/>
        <v>3.9200000000000004</v>
      </c>
      <c r="V138">
        <f t="shared" si="55"/>
        <v>0</v>
      </c>
      <c r="W138">
        <f t="shared" si="56"/>
        <v>0</v>
      </c>
      <c r="X138">
        <f t="shared" si="57"/>
        <v>1728.64</v>
      </c>
      <c r="Y138">
        <f t="shared" si="57"/>
        <v>1012.49</v>
      </c>
      <c r="AA138">
        <v>51975038</v>
      </c>
      <c r="AB138">
        <f t="shared" si="58"/>
        <v>72.44</v>
      </c>
      <c r="AC138">
        <f t="shared" si="59"/>
        <v>0</v>
      </c>
      <c r="AD138">
        <f t="shared" si="60"/>
        <v>0</v>
      </c>
      <c r="AE138">
        <f t="shared" si="61"/>
        <v>0</v>
      </c>
      <c r="AF138">
        <f t="shared" si="62"/>
        <v>72.44</v>
      </c>
      <c r="AG138">
        <f t="shared" si="63"/>
        <v>0</v>
      </c>
      <c r="AH138">
        <f t="shared" si="64"/>
        <v>3.9200000000000004</v>
      </c>
      <c r="AI138">
        <f t="shared" si="65"/>
        <v>0</v>
      </c>
      <c r="AJ138">
        <f t="shared" si="66"/>
        <v>0</v>
      </c>
      <c r="AK138">
        <v>90.55</v>
      </c>
      <c r="AL138">
        <v>0</v>
      </c>
      <c r="AM138">
        <v>0</v>
      </c>
      <c r="AN138">
        <v>0</v>
      </c>
      <c r="AO138">
        <v>90.55</v>
      </c>
      <c r="AP138">
        <v>0</v>
      </c>
      <c r="AQ138">
        <v>4.9000000000000004</v>
      </c>
      <c r="AR138">
        <v>0</v>
      </c>
      <c r="AS138">
        <v>0</v>
      </c>
      <c r="AT138">
        <v>70</v>
      </c>
      <c r="AU138">
        <v>41</v>
      </c>
      <c r="AV138">
        <v>1</v>
      </c>
      <c r="AW138">
        <v>1</v>
      </c>
      <c r="AZ138">
        <v>1</v>
      </c>
      <c r="BA138">
        <v>34.090000000000003</v>
      </c>
      <c r="BB138">
        <v>1</v>
      </c>
      <c r="BC138">
        <v>1</v>
      </c>
      <c r="BD138" t="s">
        <v>3</v>
      </c>
      <c r="BE138" t="s">
        <v>3</v>
      </c>
      <c r="BF138" t="s">
        <v>3</v>
      </c>
      <c r="BG138" t="s">
        <v>3</v>
      </c>
      <c r="BH138">
        <v>0</v>
      </c>
      <c r="BI138">
        <v>4</v>
      </c>
      <c r="BJ138" t="s">
        <v>119</v>
      </c>
      <c r="BM138">
        <v>382</v>
      </c>
      <c r="BN138">
        <v>0</v>
      </c>
      <c r="BO138" t="s">
        <v>3</v>
      </c>
      <c r="BP138">
        <v>0</v>
      </c>
      <c r="BQ138">
        <v>50</v>
      </c>
      <c r="BR138">
        <v>0</v>
      </c>
      <c r="BS138">
        <v>34.090000000000003</v>
      </c>
      <c r="BT138">
        <v>1</v>
      </c>
      <c r="BU138">
        <v>1</v>
      </c>
      <c r="BV138">
        <v>1</v>
      </c>
      <c r="BW138">
        <v>1</v>
      </c>
      <c r="BX138">
        <v>1</v>
      </c>
      <c r="BY138" t="s">
        <v>3</v>
      </c>
      <c r="BZ138">
        <v>70</v>
      </c>
      <c r="CA138">
        <v>41</v>
      </c>
      <c r="CB138" t="s">
        <v>3</v>
      </c>
      <c r="CE138">
        <v>30</v>
      </c>
      <c r="CF138">
        <v>0</v>
      </c>
      <c r="CG138">
        <v>0</v>
      </c>
      <c r="CM138">
        <v>0</v>
      </c>
      <c r="CN138" t="s">
        <v>98</v>
      </c>
      <c r="CO138">
        <v>0</v>
      </c>
      <c r="CP138">
        <f t="shared" si="67"/>
        <v>2469.48</v>
      </c>
      <c r="CQ138">
        <f t="shared" si="68"/>
        <v>0</v>
      </c>
      <c r="CR138">
        <f t="shared" si="69"/>
        <v>0</v>
      </c>
      <c r="CS138">
        <f t="shared" si="70"/>
        <v>0</v>
      </c>
      <c r="CT138">
        <f t="shared" si="71"/>
        <v>2469.48</v>
      </c>
      <c r="CU138">
        <f t="shared" si="72"/>
        <v>0</v>
      </c>
      <c r="CV138">
        <f t="shared" si="73"/>
        <v>3.9200000000000004</v>
      </c>
      <c r="CW138">
        <f t="shared" si="74"/>
        <v>0</v>
      </c>
      <c r="CX138">
        <f t="shared" si="74"/>
        <v>0</v>
      </c>
      <c r="CY138">
        <f t="shared" si="75"/>
        <v>1728.636</v>
      </c>
      <c r="CZ138">
        <f t="shared" si="76"/>
        <v>1012.4867999999999</v>
      </c>
      <c r="DC138" t="s">
        <v>3</v>
      </c>
      <c r="DD138" t="s">
        <v>3</v>
      </c>
      <c r="DE138" t="s">
        <v>3</v>
      </c>
      <c r="DF138" t="s">
        <v>3</v>
      </c>
      <c r="DG138" t="s">
        <v>99</v>
      </c>
      <c r="DH138" t="s">
        <v>3</v>
      </c>
      <c r="DI138" t="s">
        <v>99</v>
      </c>
      <c r="DJ138" t="s">
        <v>3</v>
      </c>
      <c r="DK138" t="s">
        <v>3</v>
      </c>
      <c r="DL138" t="s">
        <v>3</v>
      </c>
      <c r="DM138" t="s">
        <v>3</v>
      </c>
      <c r="DN138">
        <v>75</v>
      </c>
      <c r="DO138">
        <v>70</v>
      </c>
      <c r="DP138">
        <v>1</v>
      </c>
      <c r="DQ138">
        <v>1</v>
      </c>
      <c r="DU138">
        <v>1013</v>
      </c>
      <c r="DV138" t="s">
        <v>118</v>
      </c>
      <c r="DW138" t="s">
        <v>118</v>
      </c>
      <c r="DX138">
        <v>1</v>
      </c>
      <c r="DZ138" t="s">
        <v>3</v>
      </c>
      <c r="EA138" t="s">
        <v>3</v>
      </c>
      <c r="EB138" t="s">
        <v>3</v>
      </c>
      <c r="EC138" t="s">
        <v>3</v>
      </c>
      <c r="EE138">
        <v>51355023</v>
      </c>
      <c r="EF138">
        <v>50</v>
      </c>
      <c r="EG138" t="s">
        <v>93</v>
      </c>
      <c r="EH138">
        <v>0</v>
      </c>
      <c r="EI138" t="s">
        <v>3</v>
      </c>
      <c r="EJ138">
        <v>4</v>
      </c>
      <c r="EK138">
        <v>382</v>
      </c>
      <c r="EL138" t="s">
        <v>100</v>
      </c>
      <c r="EM138" t="s">
        <v>101</v>
      </c>
      <c r="EO138" t="s">
        <v>102</v>
      </c>
      <c r="EQ138">
        <v>131072</v>
      </c>
      <c r="ER138">
        <v>90.55</v>
      </c>
      <c r="ES138">
        <v>0</v>
      </c>
      <c r="ET138">
        <v>0</v>
      </c>
      <c r="EU138">
        <v>0</v>
      </c>
      <c r="EV138">
        <v>90.55</v>
      </c>
      <c r="EW138">
        <v>4.9000000000000004</v>
      </c>
      <c r="EX138">
        <v>0</v>
      </c>
      <c r="EY138">
        <v>0</v>
      </c>
      <c r="FQ138">
        <v>0</v>
      </c>
      <c r="FR138">
        <f t="shared" si="77"/>
        <v>0</v>
      </c>
      <c r="FS138">
        <v>0</v>
      </c>
      <c r="FX138">
        <v>75</v>
      </c>
      <c r="FY138">
        <v>70</v>
      </c>
      <c r="GA138" t="s">
        <v>3</v>
      </c>
      <c r="GD138">
        <v>0</v>
      </c>
      <c r="GF138">
        <v>778964517</v>
      </c>
      <c r="GG138">
        <v>2</v>
      </c>
      <c r="GH138">
        <v>1</v>
      </c>
      <c r="GI138">
        <v>2</v>
      </c>
      <c r="GJ138">
        <v>0</v>
      </c>
      <c r="GK138">
        <f>ROUND(R138*(R12)/100,2)</f>
        <v>0</v>
      </c>
      <c r="GL138">
        <f t="shared" si="78"/>
        <v>0</v>
      </c>
      <c r="GM138">
        <f t="shared" si="79"/>
        <v>5210.6099999999997</v>
      </c>
      <c r="GN138">
        <f t="shared" si="80"/>
        <v>0</v>
      </c>
      <c r="GO138">
        <f t="shared" si="81"/>
        <v>0</v>
      </c>
      <c r="GP138">
        <f t="shared" si="82"/>
        <v>5210.6099999999997</v>
      </c>
      <c r="GR138">
        <v>0</v>
      </c>
      <c r="GS138">
        <v>3</v>
      </c>
      <c r="GT138">
        <v>0</v>
      </c>
      <c r="GU138" t="s">
        <v>3</v>
      </c>
      <c r="GV138">
        <f t="shared" si="83"/>
        <v>0</v>
      </c>
      <c r="GW138">
        <v>1</v>
      </c>
      <c r="GX138">
        <f t="shared" si="84"/>
        <v>0</v>
      </c>
      <c r="HA138">
        <v>0</v>
      </c>
      <c r="HB138">
        <v>0</v>
      </c>
      <c r="HC138">
        <f t="shared" si="85"/>
        <v>0</v>
      </c>
      <c r="HE138" t="s">
        <v>3</v>
      </c>
      <c r="HF138" t="s">
        <v>3</v>
      </c>
      <c r="HM138" t="s">
        <v>3</v>
      </c>
      <c r="HN138" t="s">
        <v>3</v>
      </c>
      <c r="HO138" t="s">
        <v>3</v>
      </c>
      <c r="HP138" t="s">
        <v>3</v>
      </c>
      <c r="HQ138" t="s">
        <v>3</v>
      </c>
      <c r="IK138">
        <v>0</v>
      </c>
    </row>
    <row r="139" spans="1:245" x14ac:dyDescent="0.2">
      <c r="A139">
        <v>17</v>
      </c>
      <c r="B139">
        <v>1</v>
      </c>
      <c r="D139">
        <f>ROW(EtalonRes!A9)</f>
        <v>9</v>
      </c>
      <c r="E139" t="s">
        <v>120</v>
      </c>
      <c r="F139" t="s">
        <v>121</v>
      </c>
      <c r="G139" t="s">
        <v>122</v>
      </c>
      <c r="H139" t="s">
        <v>114</v>
      </c>
      <c r="I139">
        <v>47</v>
      </c>
      <c r="J139">
        <v>0</v>
      </c>
      <c r="K139">
        <v>47</v>
      </c>
      <c r="O139">
        <f t="shared" si="48"/>
        <v>37902.28</v>
      </c>
      <c r="P139">
        <f t="shared" si="49"/>
        <v>0</v>
      </c>
      <c r="Q139">
        <f t="shared" si="50"/>
        <v>0</v>
      </c>
      <c r="R139">
        <f t="shared" si="51"/>
        <v>0</v>
      </c>
      <c r="S139">
        <f t="shared" si="52"/>
        <v>37902.28</v>
      </c>
      <c r="T139">
        <f t="shared" si="53"/>
        <v>0</v>
      </c>
      <c r="U139">
        <f t="shared" si="54"/>
        <v>60.160000000000011</v>
      </c>
      <c r="V139">
        <f t="shared" si="55"/>
        <v>0</v>
      </c>
      <c r="W139">
        <f t="shared" si="56"/>
        <v>0</v>
      </c>
      <c r="X139">
        <f t="shared" si="57"/>
        <v>26531.599999999999</v>
      </c>
      <c r="Y139">
        <f t="shared" si="57"/>
        <v>15539.93</v>
      </c>
      <c r="AA139">
        <v>51975038</v>
      </c>
      <c r="AB139">
        <f t="shared" si="58"/>
        <v>23.655999999999999</v>
      </c>
      <c r="AC139">
        <f t="shared" si="59"/>
        <v>0</v>
      </c>
      <c r="AD139">
        <f t="shared" si="60"/>
        <v>0</v>
      </c>
      <c r="AE139">
        <f t="shared" si="61"/>
        <v>0</v>
      </c>
      <c r="AF139">
        <f t="shared" si="62"/>
        <v>23.655999999999999</v>
      </c>
      <c r="AG139">
        <f t="shared" si="63"/>
        <v>0</v>
      </c>
      <c r="AH139">
        <f t="shared" si="64"/>
        <v>1.2800000000000002</v>
      </c>
      <c r="AI139">
        <f t="shared" si="65"/>
        <v>0</v>
      </c>
      <c r="AJ139">
        <f t="shared" si="66"/>
        <v>0</v>
      </c>
      <c r="AK139">
        <v>29.57</v>
      </c>
      <c r="AL139">
        <v>0</v>
      </c>
      <c r="AM139">
        <v>0</v>
      </c>
      <c r="AN139">
        <v>0</v>
      </c>
      <c r="AO139">
        <v>29.57</v>
      </c>
      <c r="AP139">
        <v>0</v>
      </c>
      <c r="AQ139">
        <v>1.6</v>
      </c>
      <c r="AR139">
        <v>0</v>
      </c>
      <c r="AS139">
        <v>0</v>
      </c>
      <c r="AT139">
        <v>70</v>
      </c>
      <c r="AU139">
        <v>41</v>
      </c>
      <c r="AV139">
        <v>1</v>
      </c>
      <c r="AW139">
        <v>1</v>
      </c>
      <c r="AZ139">
        <v>1</v>
      </c>
      <c r="BA139">
        <v>34.090000000000003</v>
      </c>
      <c r="BB139">
        <v>1</v>
      </c>
      <c r="BC139">
        <v>1</v>
      </c>
      <c r="BD139" t="s">
        <v>3</v>
      </c>
      <c r="BE139" t="s">
        <v>3</v>
      </c>
      <c r="BF139" t="s">
        <v>3</v>
      </c>
      <c r="BG139" t="s">
        <v>3</v>
      </c>
      <c r="BH139">
        <v>0</v>
      </c>
      <c r="BI139">
        <v>4</v>
      </c>
      <c r="BJ139" t="s">
        <v>123</v>
      </c>
      <c r="BM139">
        <v>382</v>
      </c>
      <c r="BN139">
        <v>0</v>
      </c>
      <c r="BO139" t="s">
        <v>3</v>
      </c>
      <c r="BP139">
        <v>0</v>
      </c>
      <c r="BQ139">
        <v>50</v>
      </c>
      <c r="BR139">
        <v>0</v>
      </c>
      <c r="BS139">
        <v>34.090000000000003</v>
      </c>
      <c r="BT139">
        <v>1</v>
      </c>
      <c r="BU139">
        <v>1</v>
      </c>
      <c r="BV139">
        <v>1</v>
      </c>
      <c r="BW139">
        <v>1</v>
      </c>
      <c r="BX139">
        <v>1</v>
      </c>
      <c r="BY139" t="s">
        <v>3</v>
      </c>
      <c r="BZ139">
        <v>70</v>
      </c>
      <c r="CA139">
        <v>41</v>
      </c>
      <c r="CB139" t="s">
        <v>3</v>
      </c>
      <c r="CE139">
        <v>30</v>
      </c>
      <c r="CF139">
        <v>0</v>
      </c>
      <c r="CG139">
        <v>0</v>
      </c>
      <c r="CM139">
        <v>0</v>
      </c>
      <c r="CN139" t="s">
        <v>98</v>
      </c>
      <c r="CO139">
        <v>0</v>
      </c>
      <c r="CP139">
        <f t="shared" si="67"/>
        <v>37902.28</v>
      </c>
      <c r="CQ139">
        <f t="shared" si="68"/>
        <v>0</v>
      </c>
      <c r="CR139">
        <f t="shared" si="69"/>
        <v>0</v>
      </c>
      <c r="CS139">
        <f t="shared" si="70"/>
        <v>0</v>
      </c>
      <c r="CT139">
        <f t="shared" si="71"/>
        <v>806.57</v>
      </c>
      <c r="CU139">
        <f t="shared" si="72"/>
        <v>0</v>
      </c>
      <c r="CV139">
        <f t="shared" si="73"/>
        <v>1.2800000000000002</v>
      </c>
      <c r="CW139">
        <f t="shared" si="74"/>
        <v>0</v>
      </c>
      <c r="CX139">
        <f t="shared" si="74"/>
        <v>0</v>
      </c>
      <c r="CY139">
        <f t="shared" si="75"/>
        <v>26531.595999999998</v>
      </c>
      <c r="CZ139">
        <f t="shared" si="76"/>
        <v>15539.934799999999</v>
      </c>
      <c r="DC139" t="s">
        <v>3</v>
      </c>
      <c r="DD139" t="s">
        <v>3</v>
      </c>
      <c r="DE139" t="s">
        <v>3</v>
      </c>
      <c r="DF139" t="s">
        <v>3</v>
      </c>
      <c r="DG139" t="s">
        <v>99</v>
      </c>
      <c r="DH139" t="s">
        <v>3</v>
      </c>
      <c r="DI139" t="s">
        <v>99</v>
      </c>
      <c r="DJ139" t="s">
        <v>3</v>
      </c>
      <c r="DK139" t="s">
        <v>3</v>
      </c>
      <c r="DL139" t="s">
        <v>3</v>
      </c>
      <c r="DM139" t="s">
        <v>3</v>
      </c>
      <c r="DN139">
        <v>75</v>
      </c>
      <c r="DO139">
        <v>70</v>
      </c>
      <c r="DP139">
        <v>1</v>
      </c>
      <c r="DQ139">
        <v>1</v>
      </c>
      <c r="DU139">
        <v>1013</v>
      </c>
      <c r="DV139" t="s">
        <v>114</v>
      </c>
      <c r="DW139" t="s">
        <v>114</v>
      </c>
      <c r="DX139">
        <v>1</v>
      </c>
      <c r="DZ139" t="s">
        <v>3</v>
      </c>
      <c r="EA139" t="s">
        <v>3</v>
      </c>
      <c r="EB139" t="s">
        <v>3</v>
      </c>
      <c r="EC139" t="s">
        <v>3</v>
      </c>
      <c r="EE139">
        <v>51355023</v>
      </c>
      <c r="EF139">
        <v>50</v>
      </c>
      <c r="EG139" t="s">
        <v>93</v>
      </c>
      <c r="EH139">
        <v>0</v>
      </c>
      <c r="EI139" t="s">
        <v>3</v>
      </c>
      <c r="EJ139">
        <v>4</v>
      </c>
      <c r="EK139">
        <v>382</v>
      </c>
      <c r="EL139" t="s">
        <v>100</v>
      </c>
      <c r="EM139" t="s">
        <v>101</v>
      </c>
      <c r="EO139" t="s">
        <v>102</v>
      </c>
      <c r="EQ139">
        <v>131072</v>
      </c>
      <c r="ER139">
        <v>29.57</v>
      </c>
      <c r="ES139">
        <v>0</v>
      </c>
      <c r="ET139">
        <v>0</v>
      </c>
      <c r="EU139">
        <v>0</v>
      </c>
      <c r="EV139">
        <v>29.57</v>
      </c>
      <c r="EW139">
        <v>1.6</v>
      </c>
      <c r="EX139">
        <v>0</v>
      </c>
      <c r="EY139">
        <v>0</v>
      </c>
      <c r="FQ139">
        <v>0</v>
      </c>
      <c r="FR139">
        <f t="shared" si="77"/>
        <v>0</v>
      </c>
      <c r="FS139">
        <v>0</v>
      </c>
      <c r="FX139">
        <v>75</v>
      </c>
      <c r="FY139">
        <v>70</v>
      </c>
      <c r="GA139" t="s">
        <v>3</v>
      </c>
      <c r="GD139">
        <v>0</v>
      </c>
      <c r="GF139">
        <v>1413002904</v>
      </c>
      <c r="GG139">
        <v>2</v>
      </c>
      <c r="GH139">
        <v>1</v>
      </c>
      <c r="GI139">
        <v>2</v>
      </c>
      <c r="GJ139">
        <v>0</v>
      </c>
      <c r="GK139">
        <f>ROUND(R139*(R12)/100,2)</f>
        <v>0</v>
      </c>
      <c r="GL139">
        <f t="shared" si="78"/>
        <v>0</v>
      </c>
      <c r="GM139">
        <f t="shared" si="79"/>
        <v>79973.81</v>
      </c>
      <c r="GN139">
        <f t="shared" si="80"/>
        <v>0</v>
      </c>
      <c r="GO139">
        <f t="shared" si="81"/>
        <v>0</v>
      </c>
      <c r="GP139">
        <f t="shared" si="82"/>
        <v>79973.81</v>
      </c>
      <c r="GR139">
        <v>0</v>
      </c>
      <c r="GS139">
        <v>3</v>
      </c>
      <c r="GT139">
        <v>0</v>
      </c>
      <c r="GU139" t="s">
        <v>3</v>
      </c>
      <c r="GV139">
        <f t="shared" si="83"/>
        <v>0</v>
      </c>
      <c r="GW139">
        <v>1</v>
      </c>
      <c r="GX139">
        <f t="shared" si="84"/>
        <v>0</v>
      </c>
      <c r="HA139">
        <v>0</v>
      </c>
      <c r="HB139">
        <v>0</v>
      </c>
      <c r="HC139">
        <f t="shared" si="85"/>
        <v>0</v>
      </c>
      <c r="HE139" t="s">
        <v>3</v>
      </c>
      <c r="HF139" t="s">
        <v>3</v>
      </c>
      <c r="HM139" t="s">
        <v>3</v>
      </c>
      <c r="HN139" t="s">
        <v>3</v>
      </c>
      <c r="HO139" t="s">
        <v>3</v>
      </c>
      <c r="HP139" t="s">
        <v>3</v>
      </c>
      <c r="HQ139" t="s">
        <v>3</v>
      </c>
      <c r="IK139">
        <v>0</v>
      </c>
    </row>
    <row r="140" spans="1:245" x14ac:dyDescent="0.2">
      <c r="A140">
        <v>17</v>
      </c>
      <c r="B140">
        <v>1</v>
      </c>
      <c r="D140">
        <f>ROW(EtalonRes!A10)</f>
        <v>10</v>
      </c>
      <c r="E140" t="s">
        <v>124</v>
      </c>
      <c r="F140" t="s">
        <v>125</v>
      </c>
      <c r="G140" t="s">
        <v>126</v>
      </c>
      <c r="H140" t="s">
        <v>96</v>
      </c>
      <c r="I140">
        <v>1</v>
      </c>
      <c r="J140">
        <v>0</v>
      </c>
      <c r="K140">
        <v>1</v>
      </c>
      <c r="O140">
        <f t="shared" si="48"/>
        <v>29634.44</v>
      </c>
      <c r="P140">
        <f t="shared" si="49"/>
        <v>0</v>
      </c>
      <c r="Q140">
        <f t="shared" si="50"/>
        <v>0</v>
      </c>
      <c r="R140">
        <f t="shared" si="51"/>
        <v>0</v>
      </c>
      <c r="S140">
        <f t="shared" si="52"/>
        <v>29634.44</v>
      </c>
      <c r="T140">
        <f t="shared" si="53"/>
        <v>0</v>
      </c>
      <c r="U140">
        <f t="shared" si="54"/>
        <v>44.800000000000004</v>
      </c>
      <c r="V140">
        <f t="shared" si="55"/>
        <v>0</v>
      </c>
      <c r="W140">
        <f t="shared" si="56"/>
        <v>0</v>
      </c>
      <c r="X140">
        <f t="shared" si="57"/>
        <v>20744.11</v>
      </c>
      <c r="Y140">
        <f t="shared" si="57"/>
        <v>12150.12</v>
      </c>
      <c r="AA140">
        <v>51975038</v>
      </c>
      <c r="AB140">
        <f t="shared" si="58"/>
        <v>869.29600000000005</v>
      </c>
      <c r="AC140">
        <f t="shared" si="59"/>
        <v>0</v>
      </c>
      <c r="AD140">
        <f t="shared" si="60"/>
        <v>0</v>
      </c>
      <c r="AE140">
        <f t="shared" si="61"/>
        <v>0</v>
      </c>
      <c r="AF140">
        <f t="shared" si="62"/>
        <v>869.29600000000005</v>
      </c>
      <c r="AG140">
        <f t="shared" si="63"/>
        <v>0</v>
      </c>
      <c r="AH140">
        <f t="shared" si="64"/>
        <v>44.800000000000004</v>
      </c>
      <c r="AI140">
        <f t="shared" si="65"/>
        <v>0</v>
      </c>
      <c r="AJ140">
        <f t="shared" si="66"/>
        <v>0</v>
      </c>
      <c r="AK140">
        <v>1086.6199999999999</v>
      </c>
      <c r="AL140">
        <v>0</v>
      </c>
      <c r="AM140">
        <v>0</v>
      </c>
      <c r="AN140">
        <v>0</v>
      </c>
      <c r="AO140">
        <v>1086.6199999999999</v>
      </c>
      <c r="AP140">
        <v>0</v>
      </c>
      <c r="AQ140">
        <v>56</v>
      </c>
      <c r="AR140">
        <v>0</v>
      </c>
      <c r="AS140">
        <v>0</v>
      </c>
      <c r="AT140">
        <v>70</v>
      </c>
      <c r="AU140">
        <v>41</v>
      </c>
      <c r="AV140">
        <v>1</v>
      </c>
      <c r="AW140">
        <v>1</v>
      </c>
      <c r="AZ140">
        <v>1</v>
      </c>
      <c r="BA140">
        <v>34.090000000000003</v>
      </c>
      <c r="BB140">
        <v>1</v>
      </c>
      <c r="BC140">
        <v>1</v>
      </c>
      <c r="BD140" t="s">
        <v>3</v>
      </c>
      <c r="BE140" t="s">
        <v>3</v>
      </c>
      <c r="BF140" t="s">
        <v>3</v>
      </c>
      <c r="BG140" t="s">
        <v>3</v>
      </c>
      <c r="BH140">
        <v>0</v>
      </c>
      <c r="BI140">
        <v>4</v>
      </c>
      <c r="BJ140" t="s">
        <v>127</v>
      </c>
      <c r="BM140">
        <v>382</v>
      </c>
      <c r="BN140">
        <v>0</v>
      </c>
      <c r="BO140" t="s">
        <v>3</v>
      </c>
      <c r="BP140">
        <v>0</v>
      </c>
      <c r="BQ140">
        <v>50</v>
      </c>
      <c r="BR140">
        <v>0</v>
      </c>
      <c r="BS140">
        <v>34.090000000000003</v>
      </c>
      <c r="BT140">
        <v>1</v>
      </c>
      <c r="BU140">
        <v>1</v>
      </c>
      <c r="BV140">
        <v>1</v>
      </c>
      <c r="BW140">
        <v>1</v>
      </c>
      <c r="BX140">
        <v>1</v>
      </c>
      <c r="BY140" t="s">
        <v>3</v>
      </c>
      <c r="BZ140">
        <v>70</v>
      </c>
      <c r="CA140">
        <v>41</v>
      </c>
      <c r="CB140" t="s">
        <v>3</v>
      </c>
      <c r="CE140">
        <v>30</v>
      </c>
      <c r="CF140">
        <v>0</v>
      </c>
      <c r="CG140">
        <v>0</v>
      </c>
      <c r="CM140">
        <v>0</v>
      </c>
      <c r="CN140" t="s">
        <v>98</v>
      </c>
      <c r="CO140">
        <v>0</v>
      </c>
      <c r="CP140">
        <f t="shared" si="67"/>
        <v>29634.44</v>
      </c>
      <c r="CQ140">
        <f t="shared" si="68"/>
        <v>0</v>
      </c>
      <c r="CR140">
        <f t="shared" si="69"/>
        <v>0</v>
      </c>
      <c r="CS140">
        <f t="shared" si="70"/>
        <v>0</v>
      </c>
      <c r="CT140">
        <f t="shared" si="71"/>
        <v>29634.44</v>
      </c>
      <c r="CU140">
        <f t="shared" si="72"/>
        <v>0</v>
      </c>
      <c r="CV140">
        <f t="shared" si="73"/>
        <v>44.800000000000004</v>
      </c>
      <c r="CW140">
        <f t="shared" si="74"/>
        <v>0</v>
      </c>
      <c r="CX140">
        <f t="shared" si="74"/>
        <v>0</v>
      </c>
      <c r="CY140">
        <f t="shared" si="75"/>
        <v>20744.107999999997</v>
      </c>
      <c r="CZ140">
        <f t="shared" si="76"/>
        <v>12150.120399999998</v>
      </c>
      <c r="DC140" t="s">
        <v>3</v>
      </c>
      <c r="DD140" t="s">
        <v>3</v>
      </c>
      <c r="DE140" t="s">
        <v>3</v>
      </c>
      <c r="DF140" t="s">
        <v>3</v>
      </c>
      <c r="DG140" t="s">
        <v>99</v>
      </c>
      <c r="DH140" t="s">
        <v>3</v>
      </c>
      <c r="DI140" t="s">
        <v>99</v>
      </c>
      <c r="DJ140" t="s">
        <v>3</v>
      </c>
      <c r="DK140" t="s">
        <v>3</v>
      </c>
      <c r="DL140" t="s">
        <v>3</v>
      </c>
      <c r="DM140" t="s">
        <v>3</v>
      </c>
      <c r="DN140">
        <v>75</v>
      </c>
      <c r="DO140">
        <v>70</v>
      </c>
      <c r="DP140">
        <v>1</v>
      </c>
      <c r="DQ140">
        <v>1</v>
      </c>
      <c r="DU140">
        <v>1013</v>
      </c>
      <c r="DV140" t="s">
        <v>96</v>
      </c>
      <c r="DW140" t="s">
        <v>96</v>
      </c>
      <c r="DX140">
        <v>1</v>
      </c>
      <c r="DZ140" t="s">
        <v>3</v>
      </c>
      <c r="EA140" t="s">
        <v>3</v>
      </c>
      <c r="EB140" t="s">
        <v>3</v>
      </c>
      <c r="EC140" t="s">
        <v>3</v>
      </c>
      <c r="EE140">
        <v>51355023</v>
      </c>
      <c r="EF140">
        <v>50</v>
      </c>
      <c r="EG140" t="s">
        <v>93</v>
      </c>
      <c r="EH140">
        <v>0</v>
      </c>
      <c r="EI140" t="s">
        <v>3</v>
      </c>
      <c r="EJ140">
        <v>4</v>
      </c>
      <c r="EK140">
        <v>382</v>
      </c>
      <c r="EL140" t="s">
        <v>100</v>
      </c>
      <c r="EM140" t="s">
        <v>101</v>
      </c>
      <c r="EO140" t="s">
        <v>102</v>
      </c>
      <c r="EQ140">
        <v>131072</v>
      </c>
      <c r="ER140">
        <v>1086.6199999999999</v>
      </c>
      <c r="ES140">
        <v>0</v>
      </c>
      <c r="ET140">
        <v>0</v>
      </c>
      <c r="EU140">
        <v>0</v>
      </c>
      <c r="EV140">
        <v>1086.6199999999999</v>
      </c>
      <c r="EW140">
        <v>56</v>
      </c>
      <c r="EX140">
        <v>0</v>
      </c>
      <c r="EY140">
        <v>0</v>
      </c>
      <c r="FQ140">
        <v>0</v>
      </c>
      <c r="FR140">
        <f t="shared" si="77"/>
        <v>0</v>
      </c>
      <c r="FS140">
        <v>0</v>
      </c>
      <c r="FX140">
        <v>75</v>
      </c>
      <c r="FY140">
        <v>70</v>
      </c>
      <c r="GA140" t="s">
        <v>3</v>
      </c>
      <c r="GD140">
        <v>0</v>
      </c>
      <c r="GF140">
        <v>1949347351</v>
      </c>
      <c r="GG140">
        <v>2</v>
      </c>
      <c r="GH140">
        <v>1</v>
      </c>
      <c r="GI140">
        <v>2</v>
      </c>
      <c r="GJ140">
        <v>0</v>
      </c>
      <c r="GK140">
        <f>ROUND(R140*(R12)/100,2)</f>
        <v>0</v>
      </c>
      <c r="GL140">
        <f t="shared" si="78"/>
        <v>0</v>
      </c>
      <c r="GM140">
        <f t="shared" si="79"/>
        <v>62528.67</v>
      </c>
      <c r="GN140">
        <f t="shared" si="80"/>
        <v>0</v>
      </c>
      <c r="GO140">
        <f t="shared" si="81"/>
        <v>0</v>
      </c>
      <c r="GP140">
        <f t="shared" si="82"/>
        <v>62528.67</v>
      </c>
      <c r="GR140">
        <v>0</v>
      </c>
      <c r="GS140">
        <v>3</v>
      </c>
      <c r="GT140">
        <v>0</v>
      </c>
      <c r="GU140" t="s">
        <v>3</v>
      </c>
      <c r="GV140">
        <f t="shared" si="83"/>
        <v>0</v>
      </c>
      <c r="GW140">
        <v>1</v>
      </c>
      <c r="GX140">
        <f t="shared" si="84"/>
        <v>0</v>
      </c>
      <c r="HA140">
        <v>0</v>
      </c>
      <c r="HB140">
        <v>0</v>
      </c>
      <c r="HC140">
        <f t="shared" si="85"/>
        <v>0</v>
      </c>
      <c r="HE140" t="s">
        <v>3</v>
      </c>
      <c r="HF140" t="s">
        <v>3</v>
      </c>
      <c r="HM140" t="s">
        <v>3</v>
      </c>
      <c r="HN140" t="s">
        <v>3</v>
      </c>
      <c r="HO140" t="s">
        <v>3</v>
      </c>
      <c r="HP140" t="s">
        <v>3</v>
      </c>
      <c r="HQ140" t="s">
        <v>3</v>
      </c>
      <c r="IK140">
        <v>0</v>
      </c>
    </row>
    <row r="142" spans="1:245" x14ac:dyDescent="0.2">
      <c r="A142" s="2">
        <v>51</v>
      </c>
      <c r="B142" s="2">
        <f>B130</f>
        <v>1</v>
      </c>
      <c r="C142" s="2">
        <f>A130</f>
        <v>4</v>
      </c>
      <c r="D142" s="2">
        <f>ROW(A130)</f>
        <v>130</v>
      </c>
      <c r="E142" s="2"/>
      <c r="F142" s="2" t="str">
        <f>IF(F130&lt;&gt;"",F130,"")</f>
        <v>Новый раздел</v>
      </c>
      <c r="G142" s="2" t="str">
        <f>IF(G130&lt;&gt;"",G130,"")</f>
        <v>Пусконаладочные работы</v>
      </c>
      <c r="H142" s="2">
        <v>0</v>
      </c>
      <c r="I142" s="2"/>
      <c r="J142" s="2"/>
      <c r="K142" s="2"/>
      <c r="L142" s="2"/>
      <c r="M142" s="2"/>
      <c r="N142" s="2"/>
      <c r="O142" s="2">
        <f t="shared" ref="O142:T142" si="86">ROUND(AB142,2)</f>
        <v>206250.64</v>
      </c>
      <c r="P142" s="2">
        <f t="shared" si="86"/>
        <v>0</v>
      </c>
      <c r="Q142" s="2">
        <f t="shared" si="86"/>
        <v>0</v>
      </c>
      <c r="R142" s="2">
        <f t="shared" si="86"/>
        <v>0</v>
      </c>
      <c r="S142" s="2">
        <f t="shared" si="86"/>
        <v>206250.64</v>
      </c>
      <c r="T142" s="2">
        <f t="shared" si="86"/>
        <v>0</v>
      </c>
      <c r="U142" s="2">
        <f>AH142</f>
        <v>325.04000000000002</v>
      </c>
      <c r="V142" s="2">
        <f>AI142</f>
        <v>0</v>
      </c>
      <c r="W142" s="2">
        <f>ROUND(AJ142,2)</f>
        <v>0</v>
      </c>
      <c r="X142" s="2">
        <f>ROUND(AK142,2)</f>
        <v>144375.45000000001</v>
      </c>
      <c r="Y142" s="2">
        <f>ROUND(AL142,2)</f>
        <v>84562.76</v>
      </c>
      <c r="Z142" s="2"/>
      <c r="AA142" s="2"/>
      <c r="AB142" s="2">
        <f>ROUND(SUMIF(AA134:AA140,"=51975038",O134:O140),2)</f>
        <v>206250.64</v>
      </c>
      <c r="AC142" s="2">
        <f>ROUND(SUMIF(AA134:AA140,"=51975038",P134:P140),2)</f>
        <v>0</v>
      </c>
      <c r="AD142" s="2">
        <f>ROUND(SUMIF(AA134:AA140,"=51975038",Q134:Q140),2)</f>
        <v>0</v>
      </c>
      <c r="AE142" s="2">
        <f>ROUND(SUMIF(AA134:AA140,"=51975038",R134:R140),2)</f>
        <v>0</v>
      </c>
      <c r="AF142" s="2">
        <f>ROUND(SUMIF(AA134:AA140,"=51975038",S134:S140),2)</f>
        <v>206250.64</v>
      </c>
      <c r="AG142" s="2">
        <f>ROUND(SUMIF(AA134:AA140,"=51975038",T134:T140),2)</f>
        <v>0</v>
      </c>
      <c r="AH142" s="2">
        <f>SUMIF(AA134:AA140,"=51975038",U134:U140)</f>
        <v>325.04000000000002</v>
      </c>
      <c r="AI142" s="2">
        <f>SUMIF(AA134:AA140,"=51975038",V134:V140)</f>
        <v>0</v>
      </c>
      <c r="AJ142" s="2">
        <f>ROUND(SUMIF(AA134:AA140,"=51975038",W134:W140),2)</f>
        <v>0</v>
      </c>
      <c r="AK142" s="2">
        <f>ROUND(SUMIF(AA134:AA140,"=51975038",X134:X140),2)</f>
        <v>144375.45000000001</v>
      </c>
      <c r="AL142" s="2">
        <f>ROUND(SUMIF(AA134:AA140,"=51975038",Y134:Y140),2)</f>
        <v>84562.76</v>
      </c>
      <c r="AM142" s="2"/>
      <c r="AN142" s="2"/>
      <c r="AO142" s="2">
        <f t="shared" ref="AO142:BD142" si="87">ROUND(BX142,2)</f>
        <v>0</v>
      </c>
      <c r="AP142" s="2">
        <f t="shared" si="87"/>
        <v>0</v>
      </c>
      <c r="AQ142" s="2">
        <f t="shared" si="87"/>
        <v>0</v>
      </c>
      <c r="AR142" s="2">
        <f t="shared" si="87"/>
        <v>435188.85</v>
      </c>
      <c r="AS142" s="2">
        <f t="shared" si="87"/>
        <v>0</v>
      </c>
      <c r="AT142" s="2">
        <f t="shared" si="87"/>
        <v>0</v>
      </c>
      <c r="AU142" s="2">
        <f t="shared" si="87"/>
        <v>435188.85</v>
      </c>
      <c r="AV142" s="2">
        <f t="shared" si="87"/>
        <v>0</v>
      </c>
      <c r="AW142" s="2">
        <f t="shared" si="87"/>
        <v>0</v>
      </c>
      <c r="AX142" s="2">
        <f t="shared" si="87"/>
        <v>0</v>
      </c>
      <c r="AY142" s="2">
        <f t="shared" si="87"/>
        <v>0</v>
      </c>
      <c r="AZ142" s="2">
        <f t="shared" si="87"/>
        <v>0</v>
      </c>
      <c r="BA142" s="2">
        <f t="shared" si="87"/>
        <v>0</v>
      </c>
      <c r="BB142" s="2">
        <f t="shared" si="87"/>
        <v>0</v>
      </c>
      <c r="BC142" s="2">
        <f t="shared" si="87"/>
        <v>0</v>
      </c>
      <c r="BD142" s="2">
        <f t="shared" si="87"/>
        <v>0</v>
      </c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>
        <f>ROUND(SUMIF(AA134:AA140,"=51975038",FQ134:FQ140),2)</f>
        <v>0</v>
      </c>
      <c r="BY142" s="2">
        <f>ROUND(SUMIF(AA134:AA140,"=51975038",FR134:FR140),2)</f>
        <v>0</v>
      </c>
      <c r="BZ142" s="2">
        <f>ROUND(SUMIF(AA134:AA140,"=51975038",GL134:GL140),2)</f>
        <v>0</v>
      </c>
      <c r="CA142" s="2">
        <f>ROUND(SUMIF(AA134:AA140,"=51975038",GM134:GM140),2)</f>
        <v>435188.85</v>
      </c>
      <c r="CB142" s="2">
        <f>ROUND(SUMIF(AA134:AA140,"=51975038",GN134:GN140),2)</f>
        <v>0</v>
      </c>
      <c r="CC142" s="2">
        <f>ROUND(SUMIF(AA134:AA140,"=51975038",GO134:GO140),2)</f>
        <v>0</v>
      </c>
      <c r="CD142" s="2">
        <f>ROUND(SUMIF(AA134:AA140,"=51975038",GP134:GP140),2)</f>
        <v>435188.85</v>
      </c>
      <c r="CE142" s="2">
        <f>AC142-BX142</f>
        <v>0</v>
      </c>
      <c r="CF142" s="2">
        <f>AC142-BY142</f>
        <v>0</v>
      </c>
      <c r="CG142" s="2">
        <f>BX142-BZ142</f>
        <v>0</v>
      </c>
      <c r="CH142" s="2">
        <f>AC142-BX142-BY142+BZ142</f>
        <v>0</v>
      </c>
      <c r="CI142" s="2">
        <f>BY142-BZ142</f>
        <v>0</v>
      </c>
      <c r="CJ142" s="2">
        <f>ROUND(SUMIF(AA134:AA140,"=51975038",GX134:GX140),2)</f>
        <v>0</v>
      </c>
      <c r="CK142" s="2">
        <f>ROUND(SUMIF(AA134:AA140,"=51975038",GY134:GY140),2)</f>
        <v>0</v>
      </c>
      <c r="CL142" s="2">
        <f>ROUND(SUMIF(AA134:AA140,"=51975038",GZ134:GZ140),2)</f>
        <v>0</v>
      </c>
      <c r="CM142" s="2">
        <f>ROUND(SUMIF(AA134:AA140,"=51975038",HD134:HD140),2)</f>
        <v>0</v>
      </c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>
        <v>0</v>
      </c>
    </row>
    <row r="144" spans="1:245" x14ac:dyDescent="0.2">
      <c r="A144" s="4">
        <v>50</v>
      </c>
      <c r="B144" s="4">
        <v>0</v>
      </c>
      <c r="C144" s="4">
        <v>0</v>
      </c>
      <c r="D144" s="4">
        <v>1</v>
      </c>
      <c r="E144" s="4">
        <v>201</v>
      </c>
      <c r="F144" s="4">
        <f>ROUND(Source!O142,O144)</f>
        <v>206250.64</v>
      </c>
      <c r="G144" s="4" t="s">
        <v>27</v>
      </c>
      <c r="H144" s="4" t="s">
        <v>28</v>
      </c>
      <c r="I144" s="4"/>
      <c r="J144" s="4"/>
      <c r="K144" s="4">
        <v>201</v>
      </c>
      <c r="L144" s="4">
        <v>1</v>
      </c>
      <c r="M144" s="4">
        <v>3</v>
      </c>
      <c r="N144" s="4" t="s">
        <v>3</v>
      </c>
      <c r="O144" s="4">
        <v>2</v>
      </c>
      <c r="P144" s="4"/>
      <c r="Q144" s="4"/>
      <c r="R144" s="4"/>
      <c r="S144" s="4"/>
      <c r="T144" s="4"/>
      <c r="U144" s="4"/>
      <c r="V144" s="4"/>
      <c r="W144" s="4">
        <v>206250.64</v>
      </c>
      <c r="X144" s="4">
        <v>1</v>
      </c>
      <c r="Y144" s="4">
        <v>206250.64</v>
      </c>
      <c r="Z144" s="4"/>
      <c r="AA144" s="4"/>
      <c r="AB144" s="4"/>
    </row>
    <row r="145" spans="1:28" x14ac:dyDescent="0.2">
      <c r="A145" s="4">
        <v>50</v>
      </c>
      <c r="B145" s="4">
        <v>0</v>
      </c>
      <c r="C145" s="4">
        <v>0</v>
      </c>
      <c r="D145" s="4">
        <v>1</v>
      </c>
      <c r="E145" s="4">
        <v>202</v>
      </c>
      <c r="F145" s="4">
        <f>ROUND(Source!P142,O145)</f>
        <v>0</v>
      </c>
      <c r="G145" s="4" t="s">
        <v>29</v>
      </c>
      <c r="H145" s="4" t="s">
        <v>30</v>
      </c>
      <c r="I145" s="4"/>
      <c r="J145" s="4"/>
      <c r="K145" s="4">
        <v>202</v>
      </c>
      <c r="L145" s="4">
        <v>2</v>
      </c>
      <c r="M145" s="4">
        <v>3</v>
      </c>
      <c r="N145" s="4" t="s">
        <v>3</v>
      </c>
      <c r="O145" s="4">
        <v>2</v>
      </c>
      <c r="P145" s="4"/>
      <c r="Q145" s="4"/>
      <c r="R145" s="4"/>
      <c r="S145" s="4"/>
      <c r="T145" s="4"/>
      <c r="U145" s="4"/>
      <c r="V145" s="4"/>
      <c r="W145" s="4">
        <v>0</v>
      </c>
      <c r="X145" s="4">
        <v>1</v>
      </c>
      <c r="Y145" s="4">
        <v>0</v>
      </c>
      <c r="Z145" s="4"/>
      <c r="AA145" s="4"/>
      <c r="AB145" s="4"/>
    </row>
    <row r="146" spans="1:28" x14ac:dyDescent="0.2">
      <c r="A146" s="4">
        <v>50</v>
      </c>
      <c r="B146" s="4">
        <v>0</v>
      </c>
      <c r="C146" s="4">
        <v>0</v>
      </c>
      <c r="D146" s="4">
        <v>1</v>
      </c>
      <c r="E146" s="4">
        <v>222</v>
      </c>
      <c r="F146" s="4">
        <f>ROUND(Source!AO142,O146)</f>
        <v>0</v>
      </c>
      <c r="G146" s="4" t="s">
        <v>31</v>
      </c>
      <c r="H146" s="4" t="s">
        <v>32</v>
      </c>
      <c r="I146" s="4"/>
      <c r="J146" s="4"/>
      <c r="K146" s="4">
        <v>222</v>
      </c>
      <c r="L146" s="4">
        <v>3</v>
      </c>
      <c r="M146" s="4">
        <v>3</v>
      </c>
      <c r="N146" s="4" t="s">
        <v>3</v>
      </c>
      <c r="O146" s="4">
        <v>2</v>
      </c>
      <c r="P146" s="4"/>
      <c r="Q146" s="4"/>
      <c r="R146" s="4"/>
      <c r="S146" s="4"/>
      <c r="T146" s="4"/>
      <c r="U146" s="4"/>
      <c r="V146" s="4"/>
      <c r="W146" s="4">
        <v>0</v>
      </c>
      <c r="X146" s="4">
        <v>1</v>
      </c>
      <c r="Y146" s="4">
        <v>0</v>
      </c>
      <c r="Z146" s="4"/>
      <c r="AA146" s="4"/>
      <c r="AB146" s="4"/>
    </row>
    <row r="147" spans="1:28" x14ac:dyDescent="0.2">
      <c r="A147" s="4">
        <v>50</v>
      </c>
      <c r="B147" s="4">
        <v>0</v>
      </c>
      <c r="C147" s="4">
        <v>0</v>
      </c>
      <c r="D147" s="4">
        <v>1</v>
      </c>
      <c r="E147" s="4">
        <v>225</v>
      </c>
      <c r="F147" s="4">
        <f>ROUND(Source!AV142,O147)</f>
        <v>0</v>
      </c>
      <c r="G147" s="4" t="s">
        <v>33</v>
      </c>
      <c r="H147" s="4" t="s">
        <v>34</v>
      </c>
      <c r="I147" s="4"/>
      <c r="J147" s="4"/>
      <c r="K147" s="4">
        <v>225</v>
      </c>
      <c r="L147" s="4">
        <v>4</v>
      </c>
      <c r="M147" s="4">
        <v>3</v>
      </c>
      <c r="N147" s="4" t="s">
        <v>3</v>
      </c>
      <c r="O147" s="4">
        <v>2</v>
      </c>
      <c r="P147" s="4"/>
      <c r="Q147" s="4"/>
      <c r="R147" s="4"/>
      <c r="S147" s="4"/>
      <c r="T147" s="4"/>
      <c r="U147" s="4"/>
      <c r="V147" s="4"/>
      <c r="W147" s="4">
        <v>0</v>
      </c>
      <c r="X147" s="4">
        <v>1</v>
      </c>
      <c r="Y147" s="4">
        <v>0</v>
      </c>
      <c r="Z147" s="4"/>
      <c r="AA147" s="4"/>
      <c r="AB147" s="4"/>
    </row>
    <row r="148" spans="1:28" x14ac:dyDescent="0.2">
      <c r="A148" s="4">
        <v>50</v>
      </c>
      <c r="B148" s="4">
        <v>0</v>
      </c>
      <c r="C148" s="4">
        <v>0</v>
      </c>
      <c r="D148" s="4">
        <v>1</v>
      </c>
      <c r="E148" s="4">
        <v>226</v>
      </c>
      <c r="F148" s="4">
        <f>ROUND(Source!AW142,O148)</f>
        <v>0</v>
      </c>
      <c r="G148" s="4" t="s">
        <v>35</v>
      </c>
      <c r="H148" s="4" t="s">
        <v>36</v>
      </c>
      <c r="I148" s="4"/>
      <c r="J148" s="4"/>
      <c r="K148" s="4">
        <v>226</v>
      </c>
      <c r="L148" s="4">
        <v>5</v>
      </c>
      <c r="M148" s="4">
        <v>3</v>
      </c>
      <c r="N148" s="4" t="s">
        <v>3</v>
      </c>
      <c r="O148" s="4">
        <v>2</v>
      </c>
      <c r="P148" s="4"/>
      <c r="Q148" s="4"/>
      <c r="R148" s="4"/>
      <c r="S148" s="4"/>
      <c r="T148" s="4"/>
      <c r="U148" s="4"/>
      <c r="V148" s="4"/>
      <c r="W148" s="4">
        <v>0</v>
      </c>
      <c r="X148" s="4">
        <v>1</v>
      </c>
      <c r="Y148" s="4">
        <v>0</v>
      </c>
      <c r="Z148" s="4"/>
      <c r="AA148" s="4"/>
      <c r="AB148" s="4"/>
    </row>
    <row r="149" spans="1:28" x14ac:dyDescent="0.2">
      <c r="A149" s="4">
        <v>50</v>
      </c>
      <c r="B149" s="4">
        <v>0</v>
      </c>
      <c r="C149" s="4">
        <v>0</v>
      </c>
      <c r="D149" s="4">
        <v>1</v>
      </c>
      <c r="E149" s="4">
        <v>227</v>
      </c>
      <c r="F149" s="4">
        <f>ROUND(Source!AX142,O149)</f>
        <v>0</v>
      </c>
      <c r="G149" s="4" t="s">
        <v>37</v>
      </c>
      <c r="H149" s="4" t="s">
        <v>38</v>
      </c>
      <c r="I149" s="4"/>
      <c r="J149" s="4"/>
      <c r="K149" s="4">
        <v>227</v>
      </c>
      <c r="L149" s="4">
        <v>6</v>
      </c>
      <c r="M149" s="4">
        <v>3</v>
      </c>
      <c r="N149" s="4" t="s">
        <v>3</v>
      </c>
      <c r="O149" s="4">
        <v>2</v>
      </c>
      <c r="P149" s="4"/>
      <c r="Q149" s="4"/>
      <c r="R149" s="4"/>
      <c r="S149" s="4"/>
      <c r="T149" s="4"/>
      <c r="U149" s="4"/>
      <c r="V149" s="4"/>
      <c r="W149" s="4">
        <v>0</v>
      </c>
      <c r="X149" s="4">
        <v>1</v>
      </c>
      <c r="Y149" s="4">
        <v>0</v>
      </c>
      <c r="Z149" s="4"/>
      <c r="AA149" s="4"/>
      <c r="AB149" s="4"/>
    </row>
    <row r="150" spans="1:28" x14ac:dyDescent="0.2">
      <c r="A150" s="4">
        <v>50</v>
      </c>
      <c r="B150" s="4">
        <v>0</v>
      </c>
      <c r="C150" s="4">
        <v>0</v>
      </c>
      <c r="D150" s="4">
        <v>1</v>
      </c>
      <c r="E150" s="4">
        <v>228</v>
      </c>
      <c r="F150" s="4">
        <f>ROUND(Source!AY142,O150)</f>
        <v>0</v>
      </c>
      <c r="G150" s="4" t="s">
        <v>39</v>
      </c>
      <c r="H150" s="4" t="s">
        <v>40</v>
      </c>
      <c r="I150" s="4"/>
      <c r="J150" s="4"/>
      <c r="K150" s="4">
        <v>228</v>
      </c>
      <c r="L150" s="4">
        <v>7</v>
      </c>
      <c r="M150" s="4">
        <v>3</v>
      </c>
      <c r="N150" s="4" t="s">
        <v>3</v>
      </c>
      <c r="O150" s="4">
        <v>2</v>
      </c>
      <c r="P150" s="4"/>
      <c r="Q150" s="4"/>
      <c r="R150" s="4"/>
      <c r="S150" s="4"/>
      <c r="T150" s="4"/>
      <c r="U150" s="4"/>
      <c r="V150" s="4"/>
      <c r="W150" s="4">
        <v>0</v>
      </c>
      <c r="X150" s="4">
        <v>1</v>
      </c>
      <c r="Y150" s="4">
        <v>0</v>
      </c>
      <c r="Z150" s="4"/>
      <c r="AA150" s="4"/>
      <c r="AB150" s="4"/>
    </row>
    <row r="151" spans="1:28" x14ac:dyDescent="0.2">
      <c r="A151" s="4">
        <v>50</v>
      </c>
      <c r="B151" s="4">
        <v>0</v>
      </c>
      <c r="C151" s="4">
        <v>0</v>
      </c>
      <c r="D151" s="4">
        <v>1</v>
      </c>
      <c r="E151" s="4">
        <v>216</v>
      </c>
      <c r="F151" s="4">
        <f>ROUND(Source!AP142,O151)</f>
        <v>0</v>
      </c>
      <c r="G151" s="4" t="s">
        <v>41</v>
      </c>
      <c r="H151" s="4" t="s">
        <v>42</v>
      </c>
      <c r="I151" s="4"/>
      <c r="J151" s="4"/>
      <c r="K151" s="4">
        <v>216</v>
      </c>
      <c r="L151" s="4">
        <v>8</v>
      </c>
      <c r="M151" s="4">
        <v>3</v>
      </c>
      <c r="N151" s="4" t="s">
        <v>3</v>
      </c>
      <c r="O151" s="4">
        <v>2</v>
      </c>
      <c r="P151" s="4"/>
      <c r="Q151" s="4"/>
      <c r="R151" s="4"/>
      <c r="S151" s="4"/>
      <c r="T151" s="4"/>
      <c r="U151" s="4"/>
      <c r="V151" s="4"/>
      <c r="W151" s="4">
        <v>0</v>
      </c>
      <c r="X151" s="4">
        <v>1</v>
      </c>
      <c r="Y151" s="4">
        <v>0</v>
      </c>
      <c r="Z151" s="4"/>
      <c r="AA151" s="4"/>
      <c r="AB151" s="4"/>
    </row>
    <row r="152" spans="1:28" x14ac:dyDescent="0.2">
      <c r="A152" s="4">
        <v>50</v>
      </c>
      <c r="B152" s="4">
        <v>0</v>
      </c>
      <c r="C152" s="4">
        <v>0</v>
      </c>
      <c r="D152" s="4">
        <v>1</v>
      </c>
      <c r="E152" s="4">
        <v>223</v>
      </c>
      <c r="F152" s="4">
        <f>ROUND(Source!AQ142,O152)</f>
        <v>0</v>
      </c>
      <c r="G152" s="4" t="s">
        <v>43</v>
      </c>
      <c r="H152" s="4" t="s">
        <v>44</v>
      </c>
      <c r="I152" s="4"/>
      <c r="J152" s="4"/>
      <c r="K152" s="4">
        <v>223</v>
      </c>
      <c r="L152" s="4">
        <v>9</v>
      </c>
      <c r="M152" s="4">
        <v>3</v>
      </c>
      <c r="N152" s="4" t="s">
        <v>3</v>
      </c>
      <c r="O152" s="4">
        <v>2</v>
      </c>
      <c r="P152" s="4"/>
      <c r="Q152" s="4"/>
      <c r="R152" s="4"/>
      <c r="S152" s="4"/>
      <c r="T152" s="4"/>
      <c r="U152" s="4"/>
      <c r="V152" s="4"/>
      <c r="W152" s="4">
        <v>0</v>
      </c>
      <c r="X152" s="4">
        <v>1</v>
      </c>
      <c r="Y152" s="4">
        <v>0</v>
      </c>
      <c r="Z152" s="4"/>
      <c r="AA152" s="4"/>
      <c r="AB152" s="4"/>
    </row>
    <row r="153" spans="1:28" x14ac:dyDescent="0.2">
      <c r="A153" s="4">
        <v>50</v>
      </c>
      <c r="B153" s="4">
        <v>0</v>
      </c>
      <c r="C153" s="4">
        <v>0</v>
      </c>
      <c r="D153" s="4">
        <v>1</v>
      </c>
      <c r="E153" s="4">
        <v>229</v>
      </c>
      <c r="F153" s="4">
        <f>ROUND(Source!AZ142,O153)</f>
        <v>0</v>
      </c>
      <c r="G153" s="4" t="s">
        <v>45</v>
      </c>
      <c r="H153" s="4" t="s">
        <v>46</v>
      </c>
      <c r="I153" s="4"/>
      <c r="J153" s="4"/>
      <c r="K153" s="4">
        <v>229</v>
      </c>
      <c r="L153" s="4">
        <v>10</v>
      </c>
      <c r="M153" s="4">
        <v>3</v>
      </c>
      <c r="N153" s="4" t="s">
        <v>3</v>
      </c>
      <c r="O153" s="4">
        <v>2</v>
      </c>
      <c r="P153" s="4"/>
      <c r="Q153" s="4"/>
      <c r="R153" s="4"/>
      <c r="S153" s="4"/>
      <c r="T153" s="4"/>
      <c r="U153" s="4"/>
      <c r="V153" s="4"/>
      <c r="W153" s="4">
        <v>0</v>
      </c>
      <c r="X153" s="4">
        <v>1</v>
      </c>
      <c r="Y153" s="4">
        <v>0</v>
      </c>
      <c r="Z153" s="4"/>
      <c r="AA153" s="4"/>
      <c r="AB153" s="4"/>
    </row>
    <row r="154" spans="1:28" x14ac:dyDescent="0.2">
      <c r="A154" s="4">
        <v>50</v>
      </c>
      <c r="B154" s="4">
        <v>0</v>
      </c>
      <c r="C154" s="4">
        <v>0</v>
      </c>
      <c r="D154" s="4">
        <v>1</v>
      </c>
      <c r="E154" s="4">
        <v>203</v>
      </c>
      <c r="F154" s="4">
        <f>ROUND(Source!Q142,O154)</f>
        <v>0</v>
      </c>
      <c r="G154" s="4" t="s">
        <v>47</v>
      </c>
      <c r="H154" s="4" t="s">
        <v>48</v>
      </c>
      <c r="I154" s="4"/>
      <c r="J154" s="4"/>
      <c r="K154" s="4">
        <v>203</v>
      </c>
      <c r="L154" s="4">
        <v>11</v>
      </c>
      <c r="M154" s="4">
        <v>3</v>
      </c>
      <c r="N154" s="4" t="s">
        <v>3</v>
      </c>
      <c r="O154" s="4">
        <v>2</v>
      </c>
      <c r="P154" s="4"/>
      <c r="Q154" s="4"/>
      <c r="R154" s="4"/>
      <c r="S154" s="4"/>
      <c r="T154" s="4"/>
      <c r="U154" s="4"/>
      <c r="V154" s="4"/>
      <c r="W154" s="4">
        <v>0</v>
      </c>
      <c r="X154" s="4">
        <v>1</v>
      </c>
      <c r="Y154" s="4">
        <v>0</v>
      </c>
      <c r="Z154" s="4"/>
      <c r="AA154" s="4"/>
      <c r="AB154" s="4"/>
    </row>
    <row r="155" spans="1:28" x14ac:dyDescent="0.2">
      <c r="A155" s="4">
        <v>50</v>
      </c>
      <c r="B155" s="4">
        <v>0</v>
      </c>
      <c r="C155" s="4">
        <v>0</v>
      </c>
      <c r="D155" s="4">
        <v>1</v>
      </c>
      <c r="E155" s="4">
        <v>231</v>
      </c>
      <c r="F155" s="4">
        <f>ROUND(Source!BB142,O155)</f>
        <v>0</v>
      </c>
      <c r="G155" s="4" t="s">
        <v>49</v>
      </c>
      <c r="H155" s="4" t="s">
        <v>50</v>
      </c>
      <c r="I155" s="4"/>
      <c r="J155" s="4"/>
      <c r="K155" s="4">
        <v>231</v>
      </c>
      <c r="L155" s="4">
        <v>12</v>
      </c>
      <c r="M155" s="4">
        <v>3</v>
      </c>
      <c r="N155" s="4" t="s">
        <v>3</v>
      </c>
      <c r="O155" s="4">
        <v>2</v>
      </c>
      <c r="P155" s="4"/>
      <c r="Q155" s="4"/>
      <c r="R155" s="4"/>
      <c r="S155" s="4"/>
      <c r="T155" s="4"/>
      <c r="U155" s="4"/>
      <c r="V155" s="4"/>
      <c r="W155" s="4">
        <v>0</v>
      </c>
      <c r="X155" s="4">
        <v>1</v>
      </c>
      <c r="Y155" s="4">
        <v>0</v>
      </c>
      <c r="Z155" s="4"/>
      <c r="AA155" s="4"/>
      <c r="AB155" s="4"/>
    </row>
    <row r="156" spans="1:28" x14ac:dyDescent="0.2">
      <c r="A156" s="4">
        <v>50</v>
      </c>
      <c r="B156" s="4">
        <v>0</v>
      </c>
      <c r="C156" s="4">
        <v>0</v>
      </c>
      <c r="D156" s="4">
        <v>1</v>
      </c>
      <c r="E156" s="4">
        <v>204</v>
      </c>
      <c r="F156" s="4">
        <f>ROUND(Source!R142,O156)</f>
        <v>0</v>
      </c>
      <c r="G156" s="4" t="s">
        <v>51</v>
      </c>
      <c r="H156" s="4" t="s">
        <v>52</v>
      </c>
      <c r="I156" s="4"/>
      <c r="J156" s="4"/>
      <c r="K156" s="4">
        <v>204</v>
      </c>
      <c r="L156" s="4">
        <v>13</v>
      </c>
      <c r="M156" s="4">
        <v>3</v>
      </c>
      <c r="N156" s="4" t="s">
        <v>3</v>
      </c>
      <c r="O156" s="4">
        <v>2</v>
      </c>
      <c r="P156" s="4"/>
      <c r="Q156" s="4"/>
      <c r="R156" s="4"/>
      <c r="S156" s="4"/>
      <c r="T156" s="4"/>
      <c r="U156" s="4"/>
      <c r="V156" s="4"/>
      <c r="W156" s="4">
        <v>0</v>
      </c>
      <c r="X156" s="4">
        <v>1</v>
      </c>
      <c r="Y156" s="4">
        <v>0</v>
      </c>
      <c r="Z156" s="4"/>
      <c r="AA156" s="4"/>
      <c r="AB156" s="4"/>
    </row>
    <row r="157" spans="1:28" x14ac:dyDescent="0.2">
      <c r="A157" s="4">
        <v>50</v>
      </c>
      <c r="B157" s="4">
        <v>0</v>
      </c>
      <c r="C157" s="4">
        <v>0</v>
      </c>
      <c r="D157" s="4">
        <v>1</v>
      </c>
      <c r="E157" s="4">
        <v>205</v>
      </c>
      <c r="F157" s="4">
        <f>ROUND(Source!S142,O157)</f>
        <v>206250.64</v>
      </c>
      <c r="G157" s="4" t="s">
        <v>53</v>
      </c>
      <c r="H157" s="4" t="s">
        <v>54</v>
      </c>
      <c r="I157" s="4"/>
      <c r="J157" s="4"/>
      <c r="K157" s="4">
        <v>205</v>
      </c>
      <c r="L157" s="4">
        <v>14</v>
      </c>
      <c r="M157" s="4">
        <v>3</v>
      </c>
      <c r="N157" s="4" t="s">
        <v>3</v>
      </c>
      <c r="O157" s="4">
        <v>2</v>
      </c>
      <c r="P157" s="4"/>
      <c r="Q157" s="4"/>
      <c r="R157" s="4"/>
      <c r="S157" s="4"/>
      <c r="T157" s="4"/>
      <c r="U157" s="4"/>
      <c r="V157" s="4"/>
      <c r="W157" s="4">
        <v>206250.64</v>
      </c>
      <c r="X157" s="4">
        <v>1</v>
      </c>
      <c r="Y157" s="4">
        <v>206250.64</v>
      </c>
      <c r="Z157" s="4"/>
      <c r="AA157" s="4"/>
      <c r="AB157" s="4"/>
    </row>
    <row r="158" spans="1:28" x14ac:dyDescent="0.2">
      <c r="A158" s="4">
        <v>50</v>
      </c>
      <c r="B158" s="4">
        <v>0</v>
      </c>
      <c r="C158" s="4">
        <v>0</v>
      </c>
      <c r="D158" s="4">
        <v>1</v>
      </c>
      <c r="E158" s="4">
        <v>232</v>
      </c>
      <c r="F158" s="4">
        <f>ROUND(Source!BC142,O158)</f>
        <v>0</v>
      </c>
      <c r="G158" s="4" t="s">
        <v>55</v>
      </c>
      <c r="H158" s="4" t="s">
        <v>56</v>
      </c>
      <c r="I158" s="4"/>
      <c r="J158" s="4"/>
      <c r="K158" s="4">
        <v>232</v>
      </c>
      <c r="L158" s="4">
        <v>15</v>
      </c>
      <c r="M158" s="4">
        <v>3</v>
      </c>
      <c r="N158" s="4" t="s">
        <v>3</v>
      </c>
      <c r="O158" s="4">
        <v>2</v>
      </c>
      <c r="P158" s="4"/>
      <c r="Q158" s="4"/>
      <c r="R158" s="4"/>
      <c r="S158" s="4"/>
      <c r="T158" s="4"/>
      <c r="U158" s="4"/>
      <c r="V158" s="4"/>
      <c r="W158" s="4">
        <v>0</v>
      </c>
      <c r="X158" s="4">
        <v>1</v>
      </c>
      <c r="Y158" s="4">
        <v>0</v>
      </c>
      <c r="Z158" s="4"/>
      <c r="AA158" s="4"/>
      <c r="AB158" s="4"/>
    </row>
    <row r="159" spans="1:28" x14ac:dyDescent="0.2">
      <c r="A159" s="4">
        <v>50</v>
      </c>
      <c r="B159" s="4">
        <v>0</v>
      </c>
      <c r="C159" s="4">
        <v>0</v>
      </c>
      <c r="D159" s="4">
        <v>1</v>
      </c>
      <c r="E159" s="4">
        <v>214</v>
      </c>
      <c r="F159" s="4">
        <f>ROUND(Source!AS142,O159)</f>
        <v>0</v>
      </c>
      <c r="G159" s="4" t="s">
        <v>57</v>
      </c>
      <c r="H159" s="4" t="s">
        <v>58</v>
      </c>
      <c r="I159" s="4"/>
      <c r="J159" s="4"/>
      <c r="K159" s="4">
        <v>214</v>
      </c>
      <c r="L159" s="4">
        <v>16</v>
      </c>
      <c r="M159" s="4">
        <v>3</v>
      </c>
      <c r="N159" s="4" t="s">
        <v>3</v>
      </c>
      <c r="O159" s="4">
        <v>2</v>
      </c>
      <c r="P159" s="4"/>
      <c r="Q159" s="4"/>
      <c r="R159" s="4"/>
      <c r="S159" s="4"/>
      <c r="T159" s="4"/>
      <c r="U159" s="4"/>
      <c r="V159" s="4"/>
      <c r="W159" s="4">
        <v>0</v>
      </c>
      <c r="X159" s="4">
        <v>1</v>
      </c>
      <c r="Y159" s="4">
        <v>0</v>
      </c>
      <c r="Z159" s="4"/>
      <c r="AA159" s="4"/>
      <c r="AB159" s="4"/>
    </row>
    <row r="160" spans="1:28" x14ac:dyDescent="0.2">
      <c r="A160" s="4">
        <v>50</v>
      </c>
      <c r="B160" s="4">
        <v>0</v>
      </c>
      <c r="C160" s="4">
        <v>0</v>
      </c>
      <c r="D160" s="4">
        <v>1</v>
      </c>
      <c r="E160" s="4">
        <v>215</v>
      </c>
      <c r="F160" s="4">
        <f>ROUND(Source!AT142,O160)</f>
        <v>0</v>
      </c>
      <c r="G160" s="4" t="s">
        <v>59</v>
      </c>
      <c r="H160" s="4" t="s">
        <v>60</v>
      </c>
      <c r="I160" s="4"/>
      <c r="J160" s="4"/>
      <c r="K160" s="4">
        <v>215</v>
      </c>
      <c r="L160" s="4">
        <v>17</v>
      </c>
      <c r="M160" s="4">
        <v>3</v>
      </c>
      <c r="N160" s="4" t="s">
        <v>3</v>
      </c>
      <c r="O160" s="4">
        <v>2</v>
      </c>
      <c r="P160" s="4"/>
      <c r="Q160" s="4"/>
      <c r="R160" s="4"/>
      <c r="S160" s="4"/>
      <c r="T160" s="4"/>
      <c r="U160" s="4"/>
      <c r="V160" s="4"/>
      <c r="W160" s="4">
        <v>0</v>
      </c>
      <c r="X160" s="4">
        <v>1</v>
      </c>
      <c r="Y160" s="4">
        <v>0</v>
      </c>
      <c r="Z160" s="4"/>
      <c r="AA160" s="4"/>
      <c r="AB160" s="4"/>
    </row>
    <row r="161" spans="1:206" x14ac:dyDescent="0.2">
      <c r="A161" s="4">
        <v>50</v>
      </c>
      <c r="B161" s="4">
        <v>0</v>
      </c>
      <c r="C161" s="4">
        <v>0</v>
      </c>
      <c r="D161" s="4">
        <v>1</v>
      </c>
      <c r="E161" s="4">
        <v>217</v>
      </c>
      <c r="F161" s="4">
        <f>ROUND(Source!AU142,O161)</f>
        <v>435188.85</v>
      </c>
      <c r="G161" s="4" t="s">
        <v>61</v>
      </c>
      <c r="H161" s="4" t="s">
        <v>62</v>
      </c>
      <c r="I161" s="4"/>
      <c r="J161" s="4"/>
      <c r="K161" s="4">
        <v>217</v>
      </c>
      <c r="L161" s="4">
        <v>18</v>
      </c>
      <c r="M161" s="4">
        <v>3</v>
      </c>
      <c r="N161" s="4" t="s">
        <v>3</v>
      </c>
      <c r="O161" s="4">
        <v>2</v>
      </c>
      <c r="P161" s="4"/>
      <c r="Q161" s="4"/>
      <c r="R161" s="4"/>
      <c r="S161" s="4"/>
      <c r="T161" s="4"/>
      <c r="U161" s="4"/>
      <c r="V161" s="4"/>
      <c r="W161" s="4">
        <v>435188.85</v>
      </c>
      <c r="X161" s="4">
        <v>1</v>
      </c>
      <c r="Y161" s="4">
        <v>435188.85</v>
      </c>
      <c r="Z161" s="4"/>
      <c r="AA161" s="4"/>
      <c r="AB161" s="4"/>
    </row>
    <row r="162" spans="1:206" x14ac:dyDescent="0.2">
      <c r="A162" s="4">
        <v>50</v>
      </c>
      <c r="B162" s="4">
        <v>0</v>
      </c>
      <c r="C162" s="4">
        <v>0</v>
      </c>
      <c r="D162" s="4">
        <v>1</v>
      </c>
      <c r="E162" s="4">
        <v>230</v>
      </c>
      <c r="F162" s="4">
        <f>ROUND(Source!BA142,O162)</f>
        <v>0</v>
      </c>
      <c r="G162" s="4" t="s">
        <v>63</v>
      </c>
      <c r="H162" s="4" t="s">
        <v>64</v>
      </c>
      <c r="I162" s="4"/>
      <c r="J162" s="4"/>
      <c r="K162" s="4">
        <v>230</v>
      </c>
      <c r="L162" s="4">
        <v>19</v>
      </c>
      <c r="M162" s="4">
        <v>3</v>
      </c>
      <c r="N162" s="4" t="s">
        <v>3</v>
      </c>
      <c r="O162" s="4">
        <v>2</v>
      </c>
      <c r="P162" s="4"/>
      <c r="Q162" s="4"/>
      <c r="R162" s="4"/>
      <c r="S162" s="4"/>
      <c r="T162" s="4"/>
      <c r="U162" s="4"/>
      <c r="V162" s="4"/>
      <c r="W162" s="4">
        <v>0</v>
      </c>
      <c r="X162" s="4">
        <v>1</v>
      </c>
      <c r="Y162" s="4">
        <v>0</v>
      </c>
      <c r="Z162" s="4"/>
      <c r="AA162" s="4"/>
      <c r="AB162" s="4"/>
    </row>
    <row r="163" spans="1:206" x14ac:dyDescent="0.2">
      <c r="A163" s="4">
        <v>50</v>
      </c>
      <c r="B163" s="4">
        <v>0</v>
      </c>
      <c r="C163" s="4">
        <v>0</v>
      </c>
      <c r="D163" s="4">
        <v>1</v>
      </c>
      <c r="E163" s="4">
        <v>206</v>
      </c>
      <c r="F163" s="4">
        <f>ROUND(Source!T142,O163)</f>
        <v>0</v>
      </c>
      <c r="G163" s="4" t="s">
        <v>65</v>
      </c>
      <c r="H163" s="4" t="s">
        <v>66</v>
      </c>
      <c r="I163" s="4"/>
      <c r="J163" s="4"/>
      <c r="K163" s="4">
        <v>206</v>
      </c>
      <c r="L163" s="4">
        <v>20</v>
      </c>
      <c r="M163" s="4">
        <v>3</v>
      </c>
      <c r="N163" s="4" t="s">
        <v>3</v>
      </c>
      <c r="O163" s="4">
        <v>2</v>
      </c>
      <c r="P163" s="4"/>
      <c r="Q163" s="4"/>
      <c r="R163" s="4"/>
      <c r="S163" s="4"/>
      <c r="T163" s="4"/>
      <c r="U163" s="4"/>
      <c r="V163" s="4"/>
      <c r="W163" s="4">
        <v>0</v>
      </c>
      <c r="X163" s="4">
        <v>1</v>
      </c>
      <c r="Y163" s="4">
        <v>0</v>
      </c>
      <c r="Z163" s="4"/>
      <c r="AA163" s="4"/>
      <c r="AB163" s="4"/>
    </row>
    <row r="164" spans="1:206" x14ac:dyDescent="0.2">
      <c r="A164" s="4">
        <v>50</v>
      </c>
      <c r="B164" s="4">
        <v>0</v>
      </c>
      <c r="C164" s="4">
        <v>0</v>
      </c>
      <c r="D164" s="4">
        <v>1</v>
      </c>
      <c r="E164" s="4">
        <v>207</v>
      </c>
      <c r="F164" s="4">
        <f>Source!U142</f>
        <v>325.04000000000002</v>
      </c>
      <c r="G164" s="4" t="s">
        <v>67</v>
      </c>
      <c r="H164" s="4" t="s">
        <v>68</v>
      </c>
      <c r="I164" s="4"/>
      <c r="J164" s="4"/>
      <c r="K164" s="4">
        <v>207</v>
      </c>
      <c r="L164" s="4">
        <v>21</v>
      </c>
      <c r="M164" s="4">
        <v>3</v>
      </c>
      <c r="N164" s="4" t="s">
        <v>3</v>
      </c>
      <c r="O164" s="4">
        <v>-1</v>
      </c>
      <c r="P164" s="4"/>
      <c r="Q164" s="4"/>
      <c r="R164" s="4"/>
      <c r="S164" s="4"/>
      <c r="T164" s="4"/>
      <c r="U164" s="4"/>
      <c r="V164" s="4"/>
      <c r="W164" s="4">
        <v>325.04000000000002</v>
      </c>
      <c r="X164" s="4">
        <v>1</v>
      </c>
      <c r="Y164" s="4">
        <v>325.04000000000002</v>
      </c>
      <c r="Z164" s="4"/>
      <c r="AA164" s="4"/>
      <c r="AB164" s="4"/>
    </row>
    <row r="165" spans="1:206" x14ac:dyDescent="0.2">
      <c r="A165" s="4">
        <v>50</v>
      </c>
      <c r="B165" s="4">
        <v>0</v>
      </c>
      <c r="C165" s="4">
        <v>0</v>
      </c>
      <c r="D165" s="4">
        <v>1</v>
      </c>
      <c r="E165" s="4">
        <v>208</v>
      </c>
      <c r="F165" s="4">
        <f>Source!V142</f>
        <v>0</v>
      </c>
      <c r="G165" s="4" t="s">
        <v>69</v>
      </c>
      <c r="H165" s="4" t="s">
        <v>70</v>
      </c>
      <c r="I165" s="4"/>
      <c r="J165" s="4"/>
      <c r="K165" s="4">
        <v>208</v>
      </c>
      <c r="L165" s="4">
        <v>22</v>
      </c>
      <c r="M165" s="4">
        <v>3</v>
      </c>
      <c r="N165" s="4" t="s">
        <v>3</v>
      </c>
      <c r="O165" s="4">
        <v>-1</v>
      </c>
      <c r="P165" s="4"/>
      <c r="Q165" s="4"/>
      <c r="R165" s="4"/>
      <c r="S165" s="4"/>
      <c r="T165" s="4"/>
      <c r="U165" s="4"/>
      <c r="V165" s="4"/>
      <c r="W165" s="4">
        <v>0</v>
      </c>
      <c r="X165" s="4">
        <v>1</v>
      </c>
      <c r="Y165" s="4">
        <v>0</v>
      </c>
      <c r="Z165" s="4"/>
      <c r="AA165" s="4"/>
      <c r="AB165" s="4"/>
    </row>
    <row r="166" spans="1:206" x14ac:dyDescent="0.2">
      <c r="A166" s="4">
        <v>50</v>
      </c>
      <c r="B166" s="4">
        <v>0</v>
      </c>
      <c r="C166" s="4">
        <v>0</v>
      </c>
      <c r="D166" s="4">
        <v>1</v>
      </c>
      <c r="E166" s="4">
        <v>209</v>
      </c>
      <c r="F166" s="4">
        <f>ROUND(Source!W142,O166)</f>
        <v>0</v>
      </c>
      <c r="G166" s="4" t="s">
        <v>71</v>
      </c>
      <c r="H166" s="4" t="s">
        <v>72</v>
      </c>
      <c r="I166" s="4"/>
      <c r="J166" s="4"/>
      <c r="K166" s="4">
        <v>209</v>
      </c>
      <c r="L166" s="4">
        <v>23</v>
      </c>
      <c r="M166" s="4">
        <v>3</v>
      </c>
      <c r="N166" s="4" t="s">
        <v>3</v>
      </c>
      <c r="O166" s="4">
        <v>2</v>
      </c>
      <c r="P166" s="4"/>
      <c r="Q166" s="4"/>
      <c r="R166" s="4"/>
      <c r="S166" s="4"/>
      <c r="T166" s="4"/>
      <c r="U166" s="4"/>
      <c r="V166" s="4"/>
      <c r="W166" s="4">
        <v>0</v>
      </c>
      <c r="X166" s="4">
        <v>1</v>
      </c>
      <c r="Y166" s="4">
        <v>0</v>
      </c>
      <c r="Z166" s="4"/>
      <c r="AA166" s="4"/>
      <c r="AB166" s="4"/>
    </row>
    <row r="167" spans="1:206" x14ac:dyDescent="0.2">
      <c r="A167" s="4">
        <v>50</v>
      </c>
      <c r="B167" s="4">
        <v>0</v>
      </c>
      <c r="C167" s="4">
        <v>0</v>
      </c>
      <c r="D167" s="4">
        <v>1</v>
      </c>
      <c r="E167" s="4">
        <v>233</v>
      </c>
      <c r="F167" s="4">
        <f>ROUND(Source!BD142,O167)</f>
        <v>0</v>
      </c>
      <c r="G167" s="4" t="s">
        <v>73</v>
      </c>
      <c r="H167" s="4" t="s">
        <v>74</v>
      </c>
      <c r="I167" s="4"/>
      <c r="J167" s="4"/>
      <c r="K167" s="4">
        <v>233</v>
      </c>
      <c r="L167" s="4">
        <v>24</v>
      </c>
      <c r="M167" s="4">
        <v>3</v>
      </c>
      <c r="N167" s="4" t="s">
        <v>3</v>
      </c>
      <c r="O167" s="4">
        <v>2</v>
      </c>
      <c r="P167" s="4"/>
      <c r="Q167" s="4"/>
      <c r="R167" s="4"/>
      <c r="S167" s="4"/>
      <c r="T167" s="4"/>
      <c r="U167" s="4"/>
      <c r="V167" s="4"/>
      <c r="W167" s="4">
        <v>0</v>
      </c>
      <c r="X167" s="4">
        <v>1</v>
      </c>
      <c r="Y167" s="4">
        <v>0</v>
      </c>
      <c r="Z167" s="4"/>
      <c r="AA167" s="4"/>
      <c r="AB167" s="4"/>
    </row>
    <row r="168" spans="1:206" x14ac:dyDescent="0.2">
      <c r="A168" s="4">
        <v>50</v>
      </c>
      <c r="B168" s="4">
        <v>0</v>
      </c>
      <c r="C168" s="4">
        <v>0</v>
      </c>
      <c r="D168" s="4">
        <v>1</v>
      </c>
      <c r="E168" s="4">
        <v>210</v>
      </c>
      <c r="F168" s="4">
        <f>ROUND(Source!X142,O168)</f>
        <v>144375.45000000001</v>
      </c>
      <c r="G168" s="4" t="s">
        <v>75</v>
      </c>
      <c r="H168" s="4" t="s">
        <v>76</v>
      </c>
      <c r="I168" s="4"/>
      <c r="J168" s="4"/>
      <c r="K168" s="4">
        <v>210</v>
      </c>
      <c r="L168" s="4">
        <v>25</v>
      </c>
      <c r="M168" s="4">
        <v>3</v>
      </c>
      <c r="N168" s="4" t="s">
        <v>3</v>
      </c>
      <c r="O168" s="4">
        <v>2</v>
      </c>
      <c r="P168" s="4"/>
      <c r="Q168" s="4"/>
      <c r="R168" s="4"/>
      <c r="S168" s="4"/>
      <c r="T168" s="4"/>
      <c r="U168" s="4"/>
      <c r="V168" s="4"/>
      <c r="W168" s="4">
        <v>144375.45000000001</v>
      </c>
      <c r="X168" s="4">
        <v>1</v>
      </c>
      <c r="Y168" s="4">
        <v>144375.45000000001</v>
      </c>
      <c r="Z168" s="4"/>
      <c r="AA168" s="4"/>
      <c r="AB168" s="4"/>
    </row>
    <row r="169" spans="1:206" x14ac:dyDescent="0.2">
      <c r="A169" s="4">
        <v>50</v>
      </c>
      <c r="B169" s="4">
        <v>0</v>
      </c>
      <c r="C169" s="4">
        <v>0</v>
      </c>
      <c r="D169" s="4">
        <v>1</v>
      </c>
      <c r="E169" s="4">
        <v>211</v>
      </c>
      <c r="F169" s="4">
        <f>ROUND(Source!Y142,O169)</f>
        <v>84562.76</v>
      </c>
      <c r="G169" s="4" t="s">
        <v>77</v>
      </c>
      <c r="H169" s="4" t="s">
        <v>78</v>
      </c>
      <c r="I169" s="4"/>
      <c r="J169" s="4"/>
      <c r="K169" s="4">
        <v>211</v>
      </c>
      <c r="L169" s="4">
        <v>26</v>
      </c>
      <c r="M169" s="4">
        <v>3</v>
      </c>
      <c r="N169" s="4" t="s">
        <v>3</v>
      </c>
      <c r="O169" s="4">
        <v>2</v>
      </c>
      <c r="P169" s="4"/>
      <c r="Q169" s="4"/>
      <c r="R169" s="4"/>
      <c r="S169" s="4"/>
      <c r="T169" s="4"/>
      <c r="U169" s="4"/>
      <c r="V169" s="4"/>
      <c r="W169" s="4">
        <v>84562.76</v>
      </c>
      <c r="X169" s="4">
        <v>1</v>
      </c>
      <c r="Y169" s="4">
        <v>84562.76</v>
      </c>
      <c r="Z169" s="4"/>
      <c r="AA169" s="4"/>
      <c r="AB169" s="4"/>
    </row>
    <row r="170" spans="1:206" x14ac:dyDescent="0.2">
      <c r="A170" s="4">
        <v>50</v>
      </c>
      <c r="B170" s="4">
        <v>0</v>
      </c>
      <c r="C170" s="4">
        <v>0</v>
      </c>
      <c r="D170" s="4">
        <v>1</v>
      </c>
      <c r="E170" s="4">
        <v>224</v>
      </c>
      <c r="F170" s="4">
        <f>ROUND(Source!AR142,O170)</f>
        <v>435188.85</v>
      </c>
      <c r="G170" s="4" t="s">
        <v>79</v>
      </c>
      <c r="H170" s="4" t="s">
        <v>80</v>
      </c>
      <c r="I170" s="4"/>
      <c r="J170" s="4"/>
      <c r="K170" s="4">
        <v>224</v>
      </c>
      <c r="L170" s="4">
        <v>27</v>
      </c>
      <c r="M170" s="4">
        <v>3</v>
      </c>
      <c r="N170" s="4" t="s">
        <v>3</v>
      </c>
      <c r="O170" s="4">
        <v>2</v>
      </c>
      <c r="P170" s="4"/>
      <c r="Q170" s="4"/>
      <c r="R170" s="4"/>
      <c r="S170" s="4"/>
      <c r="T170" s="4"/>
      <c r="U170" s="4"/>
      <c r="V170" s="4"/>
      <c r="W170" s="4">
        <v>435188.85</v>
      </c>
      <c r="X170" s="4">
        <v>1</v>
      </c>
      <c r="Y170" s="4">
        <v>435188.85</v>
      </c>
      <c r="Z170" s="4"/>
      <c r="AA170" s="4"/>
      <c r="AB170" s="4"/>
    </row>
    <row r="172" spans="1:206" x14ac:dyDescent="0.2">
      <c r="A172" s="2">
        <v>51</v>
      </c>
      <c r="B172" s="2">
        <f>B126</f>
        <v>1</v>
      </c>
      <c r="C172" s="2">
        <f>A126</f>
        <v>3</v>
      </c>
      <c r="D172" s="2">
        <f>ROW(A126)</f>
        <v>126</v>
      </c>
      <c r="E172" s="2"/>
      <c r="F172" s="2" t="str">
        <f>IF(F126&lt;&gt;"",F126,"")</f>
        <v>09-01-01</v>
      </c>
      <c r="G172" s="2" t="str">
        <f>IF(G126&lt;&gt;"",G126,"")</f>
        <v>Система телемеханики с включением в АИИС КУЭ в ТП. ПНР</v>
      </c>
      <c r="H172" s="2">
        <v>0</v>
      </c>
      <c r="I172" s="2"/>
      <c r="J172" s="2"/>
      <c r="K172" s="2"/>
      <c r="L172" s="2"/>
      <c r="M172" s="2"/>
      <c r="N172" s="2"/>
      <c r="O172" s="2">
        <f t="shared" ref="O172:T172" si="88">ROUND(O142+AB172,2)</f>
        <v>206250.64</v>
      </c>
      <c r="P172" s="2">
        <f t="shared" si="88"/>
        <v>0</v>
      </c>
      <c r="Q172" s="2">
        <f t="shared" si="88"/>
        <v>0</v>
      </c>
      <c r="R172" s="2">
        <f t="shared" si="88"/>
        <v>0</v>
      </c>
      <c r="S172" s="2">
        <f t="shared" si="88"/>
        <v>206250.64</v>
      </c>
      <c r="T172" s="2">
        <f t="shared" si="88"/>
        <v>0</v>
      </c>
      <c r="U172" s="2">
        <f>U142+AH172</f>
        <v>325.04000000000002</v>
      </c>
      <c r="V172" s="2">
        <f>V142+AI172</f>
        <v>0</v>
      </c>
      <c r="W172" s="2">
        <f>ROUND(W142+AJ172,2)</f>
        <v>0</v>
      </c>
      <c r="X172" s="2">
        <f>ROUND(X142+AK172,2)</f>
        <v>144375.45000000001</v>
      </c>
      <c r="Y172" s="2">
        <f>ROUND(Y142+AL172,2)</f>
        <v>84562.76</v>
      </c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>
        <f t="shared" ref="AO172:BD172" si="89">ROUND(AO142+BX172,2)</f>
        <v>0</v>
      </c>
      <c r="AP172" s="2">
        <f t="shared" si="89"/>
        <v>0</v>
      </c>
      <c r="AQ172" s="2">
        <f t="shared" si="89"/>
        <v>0</v>
      </c>
      <c r="AR172" s="2">
        <f t="shared" si="89"/>
        <v>435188.85</v>
      </c>
      <c r="AS172" s="2">
        <f t="shared" si="89"/>
        <v>0</v>
      </c>
      <c r="AT172" s="2">
        <f t="shared" si="89"/>
        <v>0</v>
      </c>
      <c r="AU172" s="2">
        <f t="shared" si="89"/>
        <v>435188.85</v>
      </c>
      <c r="AV172" s="2">
        <f t="shared" si="89"/>
        <v>0</v>
      </c>
      <c r="AW172" s="2">
        <f t="shared" si="89"/>
        <v>0</v>
      </c>
      <c r="AX172" s="2">
        <f t="shared" si="89"/>
        <v>0</v>
      </c>
      <c r="AY172" s="2">
        <f t="shared" si="89"/>
        <v>0</v>
      </c>
      <c r="AZ172" s="2">
        <f t="shared" si="89"/>
        <v>0</v>
      </c>
      <c r="BA172" s="2">
        <f t="shared" si="89"/>
        <v>0</v>
      </c>
      <c r="BB172" s="2">
        <f t="shared" si="89"/>
        <v>0</v>
      </c>
      <c r="BC172" s="2">
        <f t="shared" si="89"/>
        <v>0</v>
      </c>
      <c r="BD172" s="2">
        <f t="shared" si="89"/>
        <v>0</v>
      </c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>
        <v>0</v>
      </c>
    </row>
    <row r="174" spans="1:206" x14ac:dyDescent="0.2">
      <c r="A174" s="4">
        <v>50</v>
      </c>
      <c r="B174" s="4">
        <v>0</v>
      </c>
      <c r="C174" s="4">
        <v>0</v>
      </c>
      <c r="D174" s="4">
        <v>1</v>
      </c>
      <c r="E174" s="4">
        <v>201</v>
      </c>
      <c r="F174" s="4">
        <f>ROUND(Source!O172,O174)</f>
        <v>206250.64</v>
      </c>
      <c r="G174" s="4" t="s">
        <v>27</v>
      </c>
      <c r="H174" s="4" t="s">
        <v>28</v>
      </c>
      <c r="I174" s="4"/>
      <c r="J174" s="4"/>
      <c r="K174" s="4">
        <v>201</v>
      </c>
      <c r="L174" s="4">
        <v>1</v>
      </c>
      <c r="M174" s="4">
        <v>3</v>
      </c>
      <c r="N174" s="4" t="s">
        <v>3</v>
      </c>
      <c r="O174" s="4">
        <v>2</v>
      </c>
      <c r="P174" s="4"/>
      <c r="Q174" s="4"/>
      <c r="R174" s="4"/>
      <c r="S174" s="4"/>
      <c r="T174" s="4"/>
      <c r="U174" s="4"/>
      <c r="V174" s="4"/>
      <c r="W174" s="4">
        <v>206250.64</v>
      </c>
      <c r="X174" s="4">
        <v>1</v>
      </c>
      <c r="Y174" s="4">
        <v>206250.64</v>
      </c>
      <c r="Z174" s="4"/>
      <c r="AA174" s="4"/>
      <c r="AB174" s="4"/>
    </row>
    <row r="175" spans="1:206" x14ac:dyDescent="0.2">
      <c r="A175" s="4">
        <v>50</v>
      </c>
      <c r="B175" s="4">
        <v>0</v>
      </c>
      <c r="C175" s="4">
        <v>0</v>
      </c>
      <c r="D175" s="4">
        <v>1</v>
      </c>
      <c r="E175" s="4">
        <v>202</v>
      </c>
      <c r="F175" s="4">
        <f>ROUND(Source!P172,O175)</f>
        <v>0</v>
      </c>
      <c r="G175" s="4" t="s">
        <v>29</v>
      </c>
      <c r="H175" s="4" t="s">
        <v>30</v>
      </c>
      <c r="I175" s="4"/>
      <c r="J175" s="4"/>
      <c r="K175" s="4">
        <v>202</v>
      </c>
      <c r="L175" s="4">
        <v>2</v>
      </c>
      <c r="M175" s="4">
        <v>3</v>
      </c>
      <c r="N175" s="4" t="s">
        <v>3</v>
      </c>
      <c r="O175" s="4">
        <v>2</v>
      </c>
      <c r="P175" s="4"/>
      <c r="Q175" s="4"/>
      <c r="R175" s="4"/>
      <c r="S175" s="4"/>
      <c r="T175" s="4"/>
      <c r="U175" s="4"/>
      <c r="V175" s="4"/>
      <c r="W175" s="4">
        <v>0</v>
      </c>
      <c r="X175" s="4">
        <v>1</v>
      </c>
      <c r="Y175" s="4">
        <v>0</v>
      </c>
      <c r="Z175" s="4"/>
      <c r="AA175" s="4"/>
      <c r="AB175" s="4"/>
    </row>
    <row r="176" spans="1:206" x14ac:dyDescent="0.2">
      <c r="A176" s="4">
        <v>50</v>
      </c>
      <c r="B176" s="4">
        <v>0</v>
      </c>
      <c r="C176" s="4">
        <v>0</v>
      </c>
      <c r="D176" s="4">
        <v>1</v>
      </c>
      <c r="E176" s="4">
        <v>222</v>
      </c>
      <c r="F176" s="4">
        <f>ROUND(Source!AO172,O176)</f>
        <v>0</v>
      </c>
      <c r="G176" s="4" t="s">
        <v>31</v>
      </c>
      <c r="H176" s="4" t="s">
        <v>32</v>
      </c>
      <c r="I176" s="4"/>
      <c r="J176" s="4"/>
      <c r="K176" s="4">
        <v>222</v>
      </c>
      <c r="L176" s="4">
        <v>3</v>
      </c>
      <c r="M176" s="4">
        <v>3</v>
      </c>
      <c r="N176" s="4" t="s">
        <v>3</v>
      </c>
      <c r="O176" s="4">
        <v>2</v>
      </c>
      <c r="P176" s="4"/>
      <c r="Q176" s="4"/>
      <c r="R176" s="4"/>
      <c r="S176" s="4"/>
      <c r="T176" s="4"/>
      <c r="U176" s="4"/>
      <c r="V176" s="4"/>
      <c r="W176" s="4">
        <v>0</v>
      </c>
      <c r="X176" s="4">
        <v>1</v>
      </c>
      <c r="Y176" s="4">
        <v>0</v>
      </c>
      <c r="Z176" s="4"/>
      <c r="AA176" s="4"/>
      <c r="AB176" s="4"/>
    </row>
    <row r="177" spans="1:28" x14ac:dyDescent="0.2">
      <c r="A177" s="4">
        <v>50</v>
      </c>
      <c r="B177" s="4">
        <v>0</v>
      </c>
      <c r="C177" s="4">
        <v>0</v>
      </c>
      <c r="D177" s="4">
        <v>1</v>
      </c>
      <c r="E177" s="4">
        <v>225</v>
      </c>
      <c r="F177" s="4">
        <f>ROUND(Source!AV172,O177)</f>
        <v>0</v>
      </c>
      <c r="G177" s="4" t="s">
        <v>33</v>
      </c>
      <c r="H177" s="4" t="s">
        <v>34</v>
      </c>
      <c r="I177" s="4"/>
      <c r="J177" s="4"/>
      <c r="K177" s="4">
        <v>225</v>
      </c>
      <c r="L177" s="4">
        <v>4</v>
      </c>
      <c r="M177" s="4">
        <v>3</v>
      </c>
      <c r="N177" s="4" t="s">
        <v>3</v>
      </c>
      <c r="O177" s="4">
        <v>2</v>
      </c>
      <c r="P177" s="4"/>
      <c r="Q177" s="4"/>
      <c r="R177" s="4"/>
      <c r="S177" s="4"/>
      <c r="T177" s="4"/>
      <c r="U177" s="4"/>
      <c r="V177" s="4"/>
      <c r="W177" s="4">
        <v>0</v>
      </c>
      <c r="X177" s="4">
        <v>1</v>
      </c>
      <c r="Y177" s="4">
        <v>0</v>
      </c>
      <c r="Z177" s="4"/>
      <c r="AA177" s="4"/>
      <c r="AB177" s="4"/>
    </row>
    <row r="178" spans="1:28" x14ac:dyDescent="0.2">
      <c r="A178" s="4">
        <v>50</v>
      </c>
      <c r="B178" s="4">
        <v>0</v>
      </c>
      <c r="C178" s="4">
        <v>0</v>
      </c>
      <c r="D178" s="4">
        <v>1</v>
      </c>
      <c r="E178" s="4">
        <v>226</v>
      </c>
      <c r="F178" s="4">
        <f>ROUND(Source!AW172,O178)</f>
        <v>0</v>
      </c>
      <c r="G178" s="4" t="s">
        <v>35</v>
      </c>
      <c r="H178" s="4" t="s">
        <v>36</v>
      </c>
      <c r="I178" s="4"/>
      <c r="J178" s="4"/>
      <c r="K178" s="4">
        <v>226</v>
      </c>
      <c r="L178" s="4">
        <v>5</v>
      </c>
      <c r="M178" s="4">
        <v>3</v>
      </c>
      <c r="N178" s="4" t="s">
        <v>3</v>
      </c>
      <c r="O178" s="4">
        <v>2</v>
      </c>
      <c r="P178" s="4"/>
      <c r="Q178" s="4"/>
      <c r="R178" s="4"/>
      <c r="S178" s="4"/>
      <c r="T178" s="4"/>
      <c r="U178" s="4"/>
      <c r="V178" s="4"/>
      <c r="W178" s="4">
        <v>0</v>
      </c>
      <c r="X178" s="4">
        <v>1</v>
      </c>
      <c r="Y178" s="4">
        <v>0</v>
      </c>
      <c r="Z178" s="4"/>
      <c r="AA178" s="4"/>
      <c r="AB178" s="4"/>
    </row>
    <row r="179" spans="1:28" x14ac:dyDescent="0.2">
      <c r="A179" s="4">
        <v>50</v>
      </c>
      <c r="B179" s="4">
        <v>0</v>
      </c>
      <c r="C179" s="4">
        <v>0</v>
      </c>
      <c r="D179" s="4">
        <v>1</v>
      </c>
      <c r="E179" s="4">
        <v>227</v>
      </c>
      <c r="F179" s="4">
        <f>ROUND(Source!AX172,O179)</f>
        <v>0</v>
      </c>
      <c r="G179" s="4" t="s">
        <v>37</v>
      </c>
      <c r="H179" s="4" t="s">
        <v>38</v>
      </c>
      <c r="I179" s="4"/>
      <c r="J179" s="4"/>
      <c r="K179" s="4">
        <v>227</v>
      </c>
      <c r="L179" s="4">
        <v>6</v>
      </c>
      <c r="M179" s="4">
        <v>3</v>
      </c>
      <c r="N179" s="4" t="s">
        <v>3</v>
      </c>
      <c r="O179" s="4">
        <v>2</v>
      </c>
      <c r="P179" s="4"/>
      <c r="Q179" s="4"/>
      <c r="R179" s="4"/>
      <c r="S179" s="4"/>
      <c r="T179" s="4"/>
      <c r="U179" s="4"/>
      <c r="V179" s="4"/>
      <c r="W179" s="4">
        <v>0</v>
      </c>
      <c r="X179" s="4">
        <v>1</v>
      </c>
      <c r="Y179" s="4">
        <v>0</v>
      </c>
      <c r="Z179" s="4"/>
      <c r="AA179" s="4"/>
      <c r="AB179" s="4"/>
    </row>
    <row r="180" spans="1:28" x14ac:dyDescent="0.2">
      <c r="A180" s="4">
        <v>50</v>
      </c>
      <c r="B180" s="4">
        <v>0</v>
      </c>
      <c r="C180" s="4">
        <v>0</v>
      </c>
      <c r="D180" s="4">
        <v>1</v>
      </c>
      <c r="E180" s="4">
        <v>228</v>
      </c>
      <c r="F180" s="4">
        <f>ROUND(Source!AY172,O180)</f>
        <v>0</v>
      </c>
      <c r="G180" s="4" t="s">
        <v>39</v>
      </c>
      <c r="H180" s="4" t="s">
        <v>40</v>
      </c>
      <c r="I180" s="4"/>
      <c r="J180" s="4"/>
      <c r="K180" s="4">
        <v>228</v>
      </c>
      <c r="L180" s="4">
        <v>7</v>
      </c>
      <c r="M180" s="4">
        <v>3</v>
      </c>
      <c r="N180" s="4" t="s">
        <v>3</v>
      </c>
      <c r="O180" s="4">
        <v>2</v>
      </c>
      <c r="P180" s="4"/>
      <c r="Q180" s="4"/>
      <c r="R180" s="4"/>
      <c r="S180" s="4"/>
      <c r="T180" s="4"/>
      <c r="U180" s="4"/>
      <c r="V180" s="4"/>
      <c r="W180" s="4">
        <v>0</v>
      </c>
      <c r="X180" s="4">
        <v>1</v>
      </c>
      <c r="Y180" s="4">
        <v>0</v>
      </c>
      <c r="Z180" s="4"/>
      <c r="AA180" s="4"/>
      <c r="AB180" s="4"/>
    </row>
    <row r="181" spans="1:28" x14ac:dyDescent="0.2">
      <c r="A181" s="4">
        <v>50</v>
      </c>
      <c r="B181" s="4">
        <v>0</v>
      </c>
      <c r="C181" s="4">
        <v>0</v>
      </c>
      <c r="D181" s="4">
        <v>1</v>
      </c>
      <c r="E181" s="4">
        <v>216</v>
      </c>
      <c r="F181" s="4">
        <f>ROUND(Source!AP172,O181)</f>
        <v>0</v>
      </c>
      <c r="G181" s="4" t="s">
        <v>41</v>
      </c>
      <c r="H181" s="4" t="s">
        <v>42</v>
      </c>
      <c r="I181" s="4"/>
      <c r="J181" s="4"/>
      <c r="K181" s="4">
        <v>216</v>
      </c>
      <c r="L181" s="4">
        <v>8</v>
      </c>
      <c r="M181" s="4">
        <v>3</v>
      </c>
      <c r="N181" s="4" t="s">
        <v>3</v>
      </c>
      <c r="O181" s="4">
        <v>2</v>
      </c>
      <c r="P181" s="4"/>
      <c r="Q181" s="4"/>
      <c r="R181" s="4"/>
      <c r="S181" s="4"/>
      <c r="T181" s="4"/>
      <c r="U181" s="4"/>
      <c r="V181" s="4"/>
      <c r="W181" s="4">
        <v>0</v>
      </c>
      <c r="X181" s="4">
        <v>1</v>
      </c>
      <c r="Y181" s="4">
        <v>0</v>
      </c>
      <c r="Z181" s="4"/>
      <c r="AA181" s="4"/>
      <c r="AB181" s="4"/>
    </row>
    <row r="182" spans="1:28" x14ac:dyDescent="0.2">
      <c r="A182" s="4">
        <v>50</v>
      </c>
      <c r="B182" s="4">
        <v>0</v>
      </c>
      <c r="C182" s="4">
        <v>0</v>
      </c>
      <c r="D182" s="4">
        <v>1</v>
      </c>
      <c r="E182" s="4">
        <v>223</v>
      </c>
      <c r="F182" s="4">
        <f>ROUND(Source!AQ172,O182)</f>
        <v>0</v>
      </c>
      <c r="G182" s="4" t="s">
        <v>43</v>
      </c>
      <c r="H182" s="4" t="s">
        <v>44</v>
      </c>
      <c r="I182" s="4"/>
      <c r="J182" s="4"/>
      <c r="K182" s="4">
        <v>223</v>
      </c>
      <c r="L182" s="4">
        <v>9</v>
      </c>
      <c r="M182" s="4">
        <v>3</v>
      </c>
      <c r="N182" s="4" t="s">
        <v>3</v>
      </c>
      <c r="O182" s="4">
        <v>2</v>
      </c>
      <c r="P182" s="4"/>
      <c r="Q182" s="4"/>
      <c r="R182" s="4"/>
      <c r="S182" s="4"/>
      <c r="T182" s="4"/>
      <c r="U182" s="4"/>
      <c r="V182" s="4"/>
      <c r="W182" s="4">
        <v>0</v>
      </c>
      <c r="X182" s="4">
        <v>1</v>
      </c>
      <c r="Y182" s="4">
        <v>0</v>
      </c>
      <c r="Z182" s="4"/>
      <c r="AA182" s="4"/>
      <c r="AB182" s="4"/>
    </row>
    <row r="183" spans="1:28" x14ac:dyDescent="0.2">
      <c r="A183" s="4">
        <v>50</v>
      </c>
      <c r="B183" s="4">
        <v>0</v>
      </c>
      <c r="C183" s="4">
        <v>0</v>
      </c>
      <c r="D183" s="4">
        <v>1</v>
      </c>
      <c r="E183" s="4">
        <v>229</v>
      </c>
      <c r="F183" s="4">
        <f>ROUND(Source!AZ172,O183)</f>
        <v>0</v>
      </c>
      <c r="G183" s="4" t="s">
        <v>45</v>
      </c>
      <c r="H183" s="4" t="s">
        <v>46</v>
      </c>
      <c r="I183" s="4"/>
      <c r="J183" s="4"/>
      <c r="K183" s="4">
        <v>229</v>
      </c>
      <c r="L183" s="4">
        <v>10</v>
      </c>
      <c r="M183" s="4">
        <v>3</v>
      </c>
      <c r="N183" s="4" t="s">
        <v>3</v>
      </c>
      <c r="O183" s="4">
        <v>2</v>
      </c>
      <c r="P183" s="4"/>
      <c r="Q183" s="4"/>
      <c r="R183" s="4"/>
      <c r="S183" s="4"/>
      <c r="T183" s="4"/>
      <c r="U183" s="4"/>
      <c r="V183" s="4"/>
      <c r="W183" s="4">
        <v>0</v>
      </c>
      <c r="X183" s="4">
        <v>1</v>
      </c>
      <c r="Y183" s="4">
        <v>0</v>
      </c>
      <c r="Z183" s="4"/>
      <c r="AA183" s="4"/>
      <c r="AB183" s="4"/>
    </row>
    <row r="184" spans="1:28" x14ac:dyDescent="0.2">
      <c r="A184" s="4">
        <v>50</v>
      </c>
      <c r="B184" s="4">
        <v>0</v>
      </c>
      <c r="C184" s="4">
        <v>0</v>
      </c>
      <c r="D184" s="4">
        <v>1</v>
      </c>
      <c r="E184" s="4">
        <v>203</v>
      </c>
      <c r="F184" s="4">
        <f>ROUND(Source!Q172,O184)</f>
        <v>0</v>
      </c>
      <c r="G184" s="4" t="s">
        <v>47</v>
      </c>
      <c r="H184" s="4" t="s">
        <v>48</v>
      </c>
      <c r="I184" s="4"/>
      <c r="J184" s="4"/>
      <c r="K184" s="4">
        <v>203</v>
      </c>
      <c r="L184" s="4">
        <v>11</v>
      </c>
      <c r="M184" s="4">
        <v>3</v>
      </c>
      <c r="N184" s="4" t="s">
        <v>3</v>
      </c>
      <c r="O184" s="4">
        <v>2</v>
      </c>
      <c r="P184" s="4"/>
      <c r="Q184" s="4"/>
      <c r="R184" s="4"/>
      <c r="S184" s="4"/>
      <c r="T184" s="4"/>
      <c r="U184" s="4"/>
      <c r="V184" s="4"/>
      <c r="W184" s="4">
        <v>0</v>
      </c>
      <c r="X184" s="4">
        <v>1</v>
      </c>
      <c r="Y184" s="4">
        <v>0</v>
      </c>
      <c r="Z184" s="4"/>
      <c r="AA184" s="4"/>
      <c r="AB184" s="4"/>
    </row>
    <row r="185" spans="1:28" x14ac:dyDescent="0.2">
      <c r="A185" s="4">
        <v>50</v>
      </c>
      <c r="B185" s="4">
        <v>0</v>
      </c>
      <c r="C185" s="4">
        <v>0</v>
      </c>
      <c r="D185" s="4">
        <v>1</v>
      </c>
      <c r="E185" s="4">
        <v>231</v>
      </c>
      <c r="F185" s="4">
        <f>ROUND(Source!BB172,O185)</f>
        <v>0</v>
      </c>
      <c r="G185" s="4" t="s">
        <v>49</v>
      </c>
      <c r="H185" s="4" t="s">
        <v>50</v>
      </c>
      <c r="I185" s="4"/>
      <c r="J185" s="4"/>
      <c r="K185" s="4">
        <v>231</v>
      </c>
      <c r="L185" s="4">
        <v>12</v>
      </c>
      <c r="M185" s="4">
        <v>3</v>
      </c>
      <c r="N185" s="4" t="s">
        <v>3</v>
      </c>
      <c r="O185" s="4">
        <v>2</v>
      </c>
      <c r="P185" s="4"/>
      <c r="Q185" s="4"/>
      <c r="R185" s="4"/>
      <c r="S185" s="4"/>
      <c r="T185" s="4"/>
      <c r="U185" s="4"/>
      <c r="V185" s="4"/>
      <c r="W185" s="4">
        <v>0</v>
      </c>
      <c r="X185" s="4">
        <v>1</v>
      </c>
      <c r="Y185" s="4">
        <v>0</v>
      </c>
      <c r="Z185" s="4"/>
      <c r="AA185" s="4"/>
      <c r="AB185" s="4"/>
    </row>
    <row r="186" spans="1:28" x14ac:dyDescent="0.2">
      <c r="A186" s="4">
        <v>50</v>
      </c>
      <c r="B186" s="4">
        <v>0</v>
      </c>
      <c r="C186" s="4">
        <v>0</v>
      </c>
      <c r="D186" s="4">
        <v>1</v>
      </c>
      <c r="E186" s="4">
        <v>204</v>
      </c>
      <c r="F186" s="4">
        <f>ROUND(Source!R172,O186)</f>
        <v>0</v>
      </c>
      <c r="G186" s="4" t="s">
        <v>51</v>
      </c>
      <c r="H186" s="4" t="s">
        <v>52</v>
      </c>
      <c r="I186" s="4"/>
      <c r="J186" s="4"/>
      <c r="K186" s="4">
        <v>204</v>
      </c>
      <c r="L186" s="4">
        <v>13</v>
      </c>
      <c r="M186" s="4">
        <v>3</v>
      </c>
      <c r="N186" s="4" t="s">
        <v>3</v>
      </c>
      <c r="O186" s="4">
        <v>2</v>
      </c>
      <c r="P186" s="4"/>
      <c r="Q186" s="4"/>
      <c r="R186" s="4"/>
      <c r="S186" s="4"/>
      <c r="T186" s="4"/>
      <c r="U186" s="4"/>
      <c r="V186" s="4"/>
      <c r="W186" s="4">
        <v>0</v>
      </c>
      <c r="X186" s="4">
        <v>1</v>
      </c>
      <c r="Y186" s="4">
        <v>0</v>
      </c>
      <c r="Z186" s="4"/>
      <c r="AA186" s="4"/>
      <c r="AB186" s="4"/>
    </row>
    <row r="187" spans="1:28" x14ac:dyDescent="0.2">
      <c r="A187" s="4">
        <v>50</v>
      </c>
      <c r="B187" s="4">
        <v>0</v>
      </c>
      <c r="C187" s="4">
        <v>0</v>
      </c>
      <c r="D187" s="4">
        <v>1</v>
      </c>
      <c r="E187" s="4">
        <v>205</v>
      </c>
      <c r="F187" s="4">
        <f>ROUND(Source!S172,O187)</f>
        <v>206250.64</v>
      </c>
      <c r="G187" s="4" t="s">
        <v>53</v>
      </c>
      <c r="H187" s="4" t="s">
        <v>54</v>
      </c>
      <c r="I187" s="4"/>
      <c r="J187" s="4"/>
      <c r="K187" s="4">
        <v>205</v>
      </c>
      <c r="L187" s="4">
        <v>14</v>
      </c>
      <c r="M187" s="4">
        <v>3</v>
      </c>
      <c r="N187" s="4" t="s">
        <v>3</v>
      </c>
      <c r="O187" s="4">
        <v>2</v>
      </c>
      <c r="P187" s="4"/>
      <c r="Q187" s="4"/>
      <c r="R187" s="4"/>
      <c r="S187" s="4"/>
      <c r="T187" s="4"/>
      <c r="U187" s="4"/>
      <c r="V187" s="4"/>
      <c r="W187" s="4">
        <v>206250.64</v>
      </c>
      <c r="X187" s="4">
        <v>1</v>
      </c>
      <c r="Y187" s="4">
        <v>206250.64</v>
      </c>
      <c r="Z187" s="4"/>
      <c r="AA187" s="4"/>
      <c r="AB187" s="4"/>
    </row>
    <row r="188" spans="1:28" x14ac:dyDescent="0.2">
      <c r="A188" s="4">
        <v>50</v>
      </c>
      <c r="B188" s="4">
        <v>0</v>
      </c>
      <c r="C188" s="4">
        <v>0</v>
      </c>
      <c r="D188" s="4">
        <v>1</v>
      </c>
      <c r="E188" s="4">
        <v>232</v>
      </c>
      <c r="F188" s="4">
        <f>ROUND(Source!BC172,O188)</f>
        <v>0</v>
      </c>
      <c r="G188" s="4" t="s">
        <v>55</v>
      </c>
      <c r="H188" s="4" t="s">
        <v>56</v>
      </c>
      <c r="I188" s="4"/>
      <c r="J188" s="4"/>
      <c r="K188" s="4">
        <v>232</v>
      </c>
      <c r="L188" s="4">
        <v>15</v>
      </c>
      <c r="M188" s="4">
        <v>3</v>
      </c>
      <c r="N188" s="4" t="s">
        <v>3</v>
      </c>
      <c r="O188" s="4">
        <v>2</v>
      </c>
      <c r="P188" s="4"/>
      <c r="Q188" s="4"/>
      <c r="R188" s="4"/>
      <c r="S188" s="4"/>
      <c r="T188" s="4"/>
      <c r="U188" s="4"/>
      <c r="V188" s="4"/>
      <c r="W188" s="4">
        <v>0</v>
      </c>
      <c r="X188" s="4">
        <v>1</v>
      </c>
      <c r="Y188" s="4">
        <v>0</v>
      </c>
      <c r="Z188" s="4"/>
      <c r="AA188" s="4"/>
      <c r="AB188" s="4"/>
    </row>
    <row r="189" spans="1:28" x14ac:dyDescent="0.2">
      <c r="A189" s="4">
        <v>50</v>
      </c>
      <c r="B189" s="4">
        <v>0</v>
      </c>
      <c r="C189" s="4">
        <v>0</v>
      </c>
      <c r="D189" s="4">
        <v>1</v>
      </c>
      <c r="E189" s="4">
        <v>214</v>
      </c>
      <c r="F189" s="4">
        <f>ROUND(Source!AS172,O189)</f>
        <v>0</v>
      </c>
      <c r="G189" s="4" t="s">
        <v>57</v>
      </c>
      <c r="H189" s="4" t="s">
        <v>58</v>
      </c>
      <c r="I189" s="4"/>
      <c r="J189" s="4"/>
      <c r="K189" s="4">
        <v>214</v>
      </c>
      <c r="L189" s="4">
        <v>16</v>
      </c>
      <c r="M189" s="4">
        <v>3</v>
      </c>
      <c r="N189" s="4" t="s">
        <v>3</v>
      </c>
      <c r="O189" s="4">
        <v>2</v>
      </c>
      <c r="P189" s="4"/>
      <c r="Q189" s="4"/>
      <c r="R189" s="4"/>
      <c r="S189" s="4"/>
      <c r="T189" s="4"/>
      <c r="U189" s="4"/>
      <c r="V189" s="4"/>
      <c r="W189" s="4">
        <v>0</v>
      </c>
      <c r="X189" s="4">
        <v>1</v>
      </c>
      <c r="Y189" s="4">
        <v>0</v>
      </c>
      <c r="Z189" s="4"/>
      <c r="AA189" s="4"/>
      <c r="AB189" s="4"/>
    </row>
    <row r="190" spans="1:28" x14ac:dyDescent="0.2">
      <c r="A190" s="4">
        <v>50</v>
      </c>
      <c r="B190" s="4">
        <v>0</v>
      </c>
      <c r="C190" s="4">
        <v>0</v>
      </c>
      <c r="D190" s="4">
        <v>1</v>
      </c>
      <c r="E190" s="4">
        <v>215</v>
      </c>
      <c r="F190" s="4">
        <f>ROUND(Source!AT172,O190)</f>
        <v>0</v>
      </c>
      <c r="G190" s="4" t="s">
        <v>59</v>
      </c>
      <c r="H190" s="4" t="s">
        <v>60</v>
      </c>
      <c r="I190" s="4"/>
      <c r="J190" s="4"/>
      <c r="K190" s="4">
        <v>215</v>
      </c>
      <c r="L190" s="4">
        <v>17</v>
      </c>
      <c r="M190" s="4">
        <v>3</v>
      </c>
      <c r="N190" s="4" t="s">
        <v>3</v>
      </c>
      <c r="O190" s="4">
        <v>2</v>
      </c>
      <c r="P190" s="4"/>
      <c r="Q190" s="4"/>
      <c r="R190" s="4"/>
      <c r="S190" s="4"/>
      <c r="T190" s="4"/>
      <c r="U190" s="4"/>
      <c r="V190" s="4"/>
      <c r="W190" s="4">
        <v>0</v>
      </c>
      <c r="X190" s="4">
        <v>1</v>
      </c>
      <c r="Y190" s="4">
        <v>0</v>
      </c>
      <c r="Z190" s="4"/>
      <c r="AA190" s="4"/>
      <c r="AB190" s="4"/>
    </row>
    <row r="191" spans="1:28" x14ac:dyDescent="0.2">
      <c r="A191" s="4">
        <v>50</v>
      </c>
      <c r="B191" s="4">
        <v>0</v>
      </c>
      <c r="C191" s="4">
        <v>0</v>
      </c>
      <c r="D191" s="4">
        <v>1</v>
      </c>
      <c r="E191" s="4">
        <v>217</v>
      </c>
      <c r="F191" s="4">
        <f>ROUND(Source!AU172,O191)</f>
        <v>435188.85</v>
      </c>
      <c r="G191" s="4" t="s">
        <v>61</v>
      </c>
      <c r="H191" s="4" t="s">
        <v>62</v>
      </c>
      <c r="I191" s="4"/>
      <c r="J191" s="4"/>
      <c r="K191" s="4">
        <v>217</v>
      </c>
      <c r="L191" s="4">
        <v>18</v>
      </c>
      <c r="M191" s="4">
        <v>3</v>
      </c>
      <c r="N191" s="4" t="s">
        <v>3</v>
      </c>
      <c r="O191" s="4">
        <v>2</v>
      </c>
      <c r="P191" s="4"/>
      <c r="Q191" s="4"/>
      <c r="R191" s="4"/>
      <c r="S191" s="4"/>
      <c r="T191" s="4"/>
      <c r="U191" s="4"/>
      <c r="V191" s="4"/>
      <c r="W191" s="4">
        <v>435188.85</v>
      </c>
      <c r="X191" s="4">
        <v>1</v>
      </c>
      <c r="Y191" s="4">
        <v>435188.85</v>
      </c>
      <c r="Z191" s="4"/>
      <c r="AA191" s="4"/>
      <c r="AB191" s="4"/>
    </row>
    <row r="192" spans="1:28" x14ac:dyDescent="0.2">
      <c r="A192" s="4">
        <v>50</v>
      </c>
      <c r="B192" s="4">
        <v>0</v>
      </c>
      <c r="C192" s="4">
        <v>0</v>
      </c>
      <c r="D192" s="4">
        <v>1</v>
      </c>
      <c r="E192" s="4">
        <v>230</v>
      </c>
      <c r="F192" s="4">
        <f>ROUND(Source!BA172,O192)</f>
        <v>0</v>
      </c>
      <c r="G192" s="4" t="s">
        <v>63</v>
      </c>
      <c r="H192" s="4" t="s">
        <v>64</v>
      </c>
      <c r="I192" s="4"/>
      <c r="J192" s="4"/>
      <c r="K192" s="4">
        <v>230</v>
      </c>
      <c r="L192" s="4">
        <v>19</v>
      </c>
      <c r="M192" s="4">
        <v>3</v>
      </c>
      <c r="N192" s="4" t="s">
        <v>3</v>
      </c>
      <c r="O192" s="4">
        <v>2</v>
      </c>
      <c r="P192" s="4"/>
      <c r="Q192" s="4"/>
      <c r="R192" s="4"/>
      <c r="S192" s="4"/>
      <c r="T192" s="4"/>
      <c r="U192" s="4"/>
      <c r="V192" s="4"/>
      <c r="W192" s="4">
        <v>0</v>
      </c>
      <c r="X192" s="4">
        <v>1</v>
      </c>
      <c r="Y192" s="4">
        <v>0</v>
      </c>
      <c r="Z192" s="4"/>
      <c r="AA192" s="4"/>
      <c r="AB192" s="4"/>
    </row>
    <row r="193" spans="1:206" x14ac:dyDescent="0.2">
      <c r="A193" s="4">
        <v>50</v>
      </c>
      <c r="B193" s="4">
        <v>0</v>
      </c>
      <c r="C193" s="4">
        <v>0</v>
      </c>
      <c r="D193" s="4">
        <v>1</v>
      </c>
      <c r="E193" s="4">
        <v>206</v>
      </c>
      <c r="F193" s="4">
        <f>ROUND(Source!T172,O193)</f>
        <v>0</v>
      </c>
      <c r="G193" s="4" t="s">
        <v>65</v>
      </c>
      <c r="H193" s="4" t="s">
        <v>66</v>
      </c>
      <c r="I193" s="4"/>
      <c r="J193" s="4"/>
      <c r="K193" s="4">
        <v>206</v>
      </c>
      <c r="L193" s="4">
        <v>20</v>
      </c>
      <c r="M193" s="4">
        <v>3</v>
      </c>
      <c r="N193" s="4" t="s">
        <v>3</v>
      </c>
      <c r="O193" s="4">
        <v>2</v>
      </c>
      <c r="P193" s="4"/>
      <c r="Q193" s="4"/>
      <c r="R193" s="4"/>
      <c r="S193" s="4"/>
      <c r="T193" s="4"/>
      <c r="U193" s="4"/>
      <c r="V193" s="4"/>
      <c r="W193" s="4">
        <v>0</v>
      </c>
      <c r="X193" s="4">
        <v>1</v>
      </c>
      <c r="Y193" s="4">
        <v>0</v>
      </c>
      <c r="Z193" s="4"/>
      <c r="AA193" s="4"/>
      <c r="AB193" s="4"/>
    </row>
    <row r="194" spans="1:206" x14ac:dyDescent="0.2">
      <c r="A194" s="4">
        <v>50</v>
      </c>
      <c r="B194" s="4">
        <v>0</v>
      </c>
      <c r="C194" s="4">
        <v>0</v>
      </c>
      <c r="D194" s="4">
        <v>1</v>
      </c>
      <c r="E194" s="4">
        <v>207</v>
      </c>
      <c r="F194" s="4">
        <f>Source!U172</f>
        <v>325.04000000000002</v>
      </c>
      <c r="G194" s="4" t="s">
        <v>67</v>
      </c>
      <c r="H194" s="4" t="s">
        <v>68</v>
      </c>
      <c r="I194" s="4"/>
      <c r="J194" s="4"/>
      <c r="K194" s="4">
        <v>207</v>
      </c>
      <c r="L194" s="4">
        <v>21</v>
      </c>
      <c r="M194" s="4">
        <v>3</v>
      </c>
      <c r="N194" s="4" t="s">
        <v>3</v>
      </c>
      <c r="O194" s="4">
        <v>-1</v>
      </c>
      <c r="P194" s="4"/>
      <c r="Q194" s="4"/>
      <c r="R194" s="4"/>
      <c r="S194" s="4"/>
      <c r="T194" s="4"/>
      <c r="U194" s="4"/>
      <c r="V194" s="4"/>
      <c r="W194" s="4">
        <v>325.04000000000002</v>
      </c>
      <c r="X194" s="4">
        <v>1</v>
      </c>
      <c r="Y194" s="4">
        <v>325.04000000000002</v>
      </c>
      <c r="Z194" s="4"/>
      <c r="AA194" s="4"/>
      <c r="AB194" s="4"/>
    </row>
    <row r="195" spans="1:206" x14ac:dyDescent="0.2">
      <c r="A195" s="4">
        <v>50</v>
      </c>
      <c r="B195" s="4">
        <v>0</v>
      </c>
      <c r="C195" s="4">
        <v>0</v>
      </c>
      <c r="D195" s="4">
        <v>1</v>
      </c>
      <c r="E195" s="4">
        <v>208</v>
      </c>
      <c r="F195" s="4">
        <f>Source!V172</f>
        <v>0</v>
      </c>
      <c r="G195" s="4" t="s">
        <v>69</v>
      </c>
      <c r="H195" s="4" t="s">
        <v>70</v>
      </c>
      <c r="I195" s="4"/>
      <c r="J195" s="4"/>
      <c r="K195" s="4">
        <v>208</v>
      </c>
      <c r="L195" s="4">
        <v>22</v>
      </c>
      <c r="M195" s="4">
        <v>3</v>
      </c>
      <c r="N195" s="4" t="s">
        <v>3</v>
      </c>
      <c r="O195" s="4">
        <v>-1</v>
      </c>
      <c r="P195" s="4"/>
      <c r="Q195" s="4"/>
      <c r="R195" s="4"/>
      <c r="S195" s="4"/>
      <c r="T195" s="4"/>
      <c r="U195" s="4"/>
      <c r="V195" s="4"/>
      <c r="W195" s="4">
        <v>0</v>
      </c>
      <c r="X195" s="4">
        <v>1</v>
      </c>
      <c r="Y195" s="4">
        <v>0</v>
      </c>
      <c r="Z195" s="4"/>
      <c r="AA195" s="4"/>
      <c r="AB195" s="4"/>
    </row>
    <row r="196" spans="1:206" x14ac:dyDescent="0.2">
      <c r="A196" s="4">
        <v>50</v>
      </c>
      <c r="B196" s="4">
        <v>0</v>
      </c>
      <c r="C196" s="4">
        <v>0</v>
      </c>
      <c r="D196" s="4">
        <v>1</v>
      </c>
      <c r="E196" s="4">
        <v>209</v>
      </c>
      <c r="F196" s="4">
        <f>ROUND(Source!W172,O196)</f>
        <v>0</v>
      </c>
      <c r="G196" s="4" t="s">
        <v>71</v>
      </c>
      <c r="H196" s="4" t="s">
        <v>72</v>
      </c>
      <c r="I196" s="4"/>
      <c r="J196" s="4"/>
      <c r="K196" s="4">
        <v>209</v>
      </c>
      <c r="L196" s="4">
        <v>23</v>
      </c>
      <c r="M196" s="4">
        <v>3</v>
      </c>
      <c r="N196" s="4" t="s">
        <v>3</v>
      </c>
      <c r="O196" s="4">
        <v>2</v>
      </c>
      <c r="P196" s="4"/>
      <c r="Q196" s="4"/>
      <c r="R196" s="4"/>
      <c r="S196" s="4"/>
      <c r="T196" s="4"/>
      <c r="U196" s="4"/>
      <c r="V196" s="4"/>
      <c r="W196" s="4">
        <v>0</v>
      </c>
      <c r="X196" s="4">
        <v>1</v>
      </c>
      <c r="Y196" s="4">
        <v>0</v>
      </c>
      <c r="Z196" s="4"/>
      <c r="AA196" s="4"/>
      <c r="AB196" s="4"/>
    </row>
    <row r="197" spans="1:206" x14ac:dyDescent="0.2">
      <c r="A197" s="4">
        <v>50</v>
      </c>
      <c r="B197" s="4">
        <v>0</v>
      </c>
      <c r="C197" s="4">
        <v>0</v>
      </c>
      <c r="D197" s="4">
        <v>1</v>
      </c>
      <c r="E197" s="4">
        <v>233</v>
      </c>
      <c r="F197" s="4">
        <f>ROUND(Source!BD172,O197)</f>
        <v>0</v>
      </c>
      <c r="G197" s="4" t="s">
        <v>73</v>
      </c>
      <c r="H197" s="4" t="s">
        <v>74</v>
      </c>
      <c r="I197" s="4"/>
      <c r="J197" s="4"/>
      <c r="K197" s="4">
        <v>233</v>
      </c>
      <c r="L197" s="4">
        <v>24</v>
      </c>
      <c r="M197" s="4">
        <v>3</v>
      </c>
      <c r="N197" s="4" t="s">
        <v>3</v>
      </c>
      <c r="O197" s="4">
        <v>2</v>
      </c>
      <c r="P197" s="4"/>
      <c r="Q197" s="4"/>
      <c r="R197" s="4"/>
      <c r="S197" s="4"/>
      <c r="T197" s="4"/>
      <c r="U197" s="4"/>
      <c r="V197" s="4"/>
      <c r="W197" s="4">
        <v>0</v>
      </c>
      <c r="X197" s="4">
        <v>1</v>
      </c>
      <c r="Y197" s="4">
        <v>0</v>
      </c>
      <c r="Z197" s="4"/>
      <c r="AA197" s="4"/>
      <c r="AB197" s="4"/>
    </row>
    <row r="198" spans="1:206" x14ac:dyDescent="0.2">
      <c r="A198" s="4">
        <v>50</v>
      </c>
      <c r="B198" s="4">
        <v>0</v>
      </c>
      <c r="C198" s="4">
        <v>0</v>
      </c>
      <c r="D198" s="4">
        <v>1</v>
      </c>
      <c r="E198" s="4">
        <v>210</v>
      </c>
      <c r="F198" s="4">
        <f>ROUND(Source!X172,O198)</f>
        <v>144375.45000000001</v>
      </c>
      <c r="G198" s="4" t="s">
        <v>75</v>
      </c>
      <c r="H198" s="4" t="s">
        <v>76</v>
      </c>
      <c r="I198" s="4"/>
      <c r="J198" s="4"/>
      <c r="K198" s="4">
        <v>210</v>
      </c>
      <c r="L198" s="4">
        <v>25</v>
      </c>
      <c r="M198" s="4">
        <v>3</v>
      </c>
      <c r="N198" s="4" t="s">
        <v>3</v>
      </c>
      <c r="O198" s="4">
        <v>2</v>
      </c>
      <c r="P198" s="4"/>
      <c r="Q198" s="4"/>
      <c r="R198" s="4"/>
      <c r="S198" s="4"/>
      <c r="T198" s="4"/>
      <c r="U198" s="4"/>
      <c r="V198" s="4"/>
      <c r="W198" s="4">
        <v>144375.45000000001</v>
      </c>
      <c r="X198" s="4">
        <v>1</v>
      </c>
      <c r="Y198" s="4">
        <v>144375.45000000001</v>
      </c>
      <c r="Z198" s="4"/>
      <c r="AA198" s="4"/>
      <c r="AB198" s="4"/>
    </row>
    <row r="199" spans="1:206" x14ac:dyDescent="0.2">
      <c r="A199" s="4">
        <v>50</v>
      </c>
      <c r="B199" s="4">
        <v>0</v>
      </c>
      <c r="C199" s="4">
        <v>0</v>
      </c>
      <c r="D199" s="4">
        <v>1</v>
      </c>
      <c r="E199" s="4">
        <v>211</v>
      </c>
      <c r="F199" s="4">
        <f>ROUND(Source!Y172,O199)</f>
        <v>84562.76</v>
      </c>
      <c r="G199" s="4" t="s">
        <v>77</v>
      </c>
      <c r="H199" s="4" t="s">
        <v>78</v>
      </c>
      <c r="I199" s="4"/>
      <c r="J199" s="4"/>
      <c r="K199" s="4">
        <v>211</v>
      </c>
      <c r="L199" s="4">
        <v>26</v>
      </c>
      <c r="M199" s="4">
        <v>3</v>
      </c>
      <c r="N199" s="4" t="s">
        <v>3</v>
      </c>
      <c r="O199" s="4">
        <v>2</v>
      </c>
      <c r="P199" s="4"/>
      <c r="Q199" s="4"/>
      <c r="R199" s="4"/>
      <c r="S199" s="4"/>
      <c r="T199" s="4"/>
      <c r="U199" s="4"/>
      <c r="V199" s="4"/>
      <c r="W199" s="4">
        <v>84562.76</v>
      </c>
      <c r="X199" s="4">
        <v>1</v>
      </c>
      <c r="Y199" s="4">
        <v>84562.76</v>
      </c>
      <c r="Z199" s="4"/>
      <c r="AA199" s="4"/>
      <c r="AB199" s="4"/>
    </row>
    <row r="200" spans="1:206" x14ac:dyDescent="0.2">
      <c r="A200" s="4">
        <v>50</v>
      </c>
      <c r="B200" s="4">
        <v>0</v>
      </c>
      <c r="C200" s="4">
        <v>0</v>
      </c>
      <c r="D200" s="4">
        <v>1</v>
      </c>
      <c r="E200" s="4">
        <v>224</v>
      </c>
      <c r="F200" s="4">
        <f>ROUND(Source!AR172,O200)</f>
        <v>435188.85</v>
      </c>
      <c r="G200" s="4" t="s">
        <v>79</v>
      </c>
      <c r="H200" s="4" t="s">
        <v>80</v>
      </c>
      <c r="I200" s="4"/>
      <c r="J200" s="4"/>
      <c r="K200" s="4">
        <v>224</v>
      </c>
      <c r="L200" s="4">
        <v>27</v>
      </c>
      <c r="M200" s="4">
        <v>3</v>
      </c>
      <c r="N200" s="4" t="s">
        <v>3</v>
      </c>
      <c r="O200" s="4">
        <v>2</v>
      </c>
      <c r="P200" s="4"/>
      <c r="Q200" s="4"/>
      <c r="R200" s="4"/>
      <c r="S200" s="4"/>
      <c r="T200" s="4"/>
      <c r="U200" s="4"/>
      <c r="V200" s="4"/>
      <c r="W200" s="4">
        <v>435188.85</v>
      </c>
      <c r="X200" s="4">
        <v>1</v>
      </c>
      <c r="Y200" s="4">
        <v>435188.85</v>
      </c>
      <c r="Z200" s="4"/>
      <c r="AA200" s="4"/>
      <c r="AB200" s="4"/>
    </row>
    <row r="202" spans="1:206" x14ac:dyDescent="0.2">
      <c r="A202" s="2">
        <v>51</v>
      </c>
      <c r="B202" s="2">
        <f>B12</f>
        <v>240</v>
      </c>
      <c r="C202" s="2">
        <f>A12</f>
        <v>1</v>
      </c>
      <c r="D202" s="2">
        <f>ROW(A12)</f>
        <v>12</v>
      </c>
      <c r="E202" s="2"/>
      <c r="F202" s="2" t="str">
        <f>IF(F12&lt;&gt;"",F12,"")</f>
        <v>319703/ПС-24-ТП-ТМ</v>
      </c>
      <c r="G202" s="2" t="str">
        <f>IF(G12&lt;&gt;"",G12,"")</f>
        <v>ПНР ТП с ИБ г.Москва, Феодосийская ул., зу 7_3кв24</v>
      </c>
      <c r="H202" s="2">
        <v>0</v>
      </c>
      <c r="I202" s="2"/>
      <c r="J202" s="2"/>
      <c r="K202" s="2"/>
      <c r="L202" s="2"/>
      <c r="M202" s="2"/>
      <c r="N202" s="2"/>
      <c r="O202" s="2">
        <f t="shared" ref="O202:T202" si="90">ROUND(O96+O172,2)</f>
        <v>349935.35999999999</v>
      </c>
      <c r="P202" s="2">
        <f t="shared" si="90"/>
        <v>143262.23000000001</v>
      </c>
      <c r="Q202" s="2">
        <f t="shared" si="90"/>
        <v>6.59</v>
      </c>
      <c r="R202" s="2">
        <f t="shared" si="90"/>
        <v>2.73</v>
      </c>
      <c r="S202" s="2">
        <f t="shared" si="90"/>
        <v>206666.54</v>
      </c>
      <c r="T202" s="2">
        <f t="shared" si="90"/>
        <v>0</v>
      </c>
      <c r="U202" s="2">
        <f>U96+U172</f>
        <v>326.11841000000004</v>
      </c>
      <c r="V202" s="2">
        <f>V96+V172</f>
        <v>0</v>
      </c>
      <c r="W202" s="2">
        <f>ROUND(W96+W172,2)</f>
        <v>0</v>
      </c>
      <c r="X202" s="2">
        <f>ROUND(X96+X172,2)</f>
        <v>144758.07999999999</v>
      </c>
      <c r="Y202" s="2">
        <f>ROUND(Y96+Y172,2)</f>
        <v>84733.28</v>
      </c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>
        <f t="shared" ref="AO202:BD202" si="91">ROUND(AO96+AO172,2)</f>
        <v>0</v>
      </c>
      <c r="AP202" s="2">
        <f t="shared" si="91"/>
        <v>143262.23000000001</v>
      </c>
      <c r="AQ202" s="2">
        <f t="shared" si="91"/>
        <v>0</v>
      </c>
      <c r="AR202" s="2">
        <f t="shared" si="91"/>
        <v>579431.09</v>
      </c>
      <c r="AS202" s="2">
        <f t="shared" si="91"/>
        <v>0</v>
      </c>
      <c r="AT202" s="2">
        <f t="shared" si="91"/>
        <v>980.01</v>
      </c>
      <c r="AU202" s="2">
        <f t="shared" si="91"/>
        <v>435188.85</v>
      </c>
      <c r="AV202" s="2">
        <f t="shared" si="91"/>
        <v>143262.23000000001</v>
      </c>
      <c r="AW202" s="2">
        <f t="shared" si="91"/>
        <v>0</v>
      </c>
      <c r="AX202" s="2">
        <f t="shared" si="91"/>
        <v>0</v>
      </c>
      <c r="AY202" s="2">
        <f t="shared" si="91"/>
        <v>0</v>
      </c>
      <c r="AZ202" s="2">
        <f t="shared" si="91"/>
        <v>143262.23000000001</v>
      </c>
      <c r="BA202" s="2">
        <f t="shared" si="91"/>
        <v>0</v>
      </c>
      <c r="BB202" s="2">
        <f t="shared" si="91"/>
        <v>0</v>
      </c>
      <c r="BC202" s="2">
        <f t="shared" si="91"/>
        <v>0</v>
      </c>
      <c r="BD202" s="2">
        <f t="shared" si="91"/>
        <v>0</v>
      </c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>
        <v>0</v>
      </c>
    </row>
    <row r="204" spans="1:206" x14ac:dyDescent="0.2">
      <c r="A204" s="4">
        <v>50</v>
      </c>
      <c r="B204" s="4">
        <v>0</v>
      </c>
      <c r="C204" s="4">
        <v>0</v>
      </c>
      <c r="D204" s="4">
        <v>1</v>
      </c>
      <c r="E204" s="4">
        <v>201</v>
      </c>
      <c r="F204" s="4">
        <f>ROUND(Source!O202,O204)</f>
        <v>349935.35999999999</v>
      </c>
      <c r="G204" s="4" t="s">
        <v>27</v>
      </c>
      <c r="H204" s="4" t="s">
        <v>28</v>
      </c>
      <c r="I204" s="4"/>
      <c r="J204" s="4"/>
      <c r="K204" s="4">
        <v>201</v>
      </c>
      <c r="L204" s="4">
        <v>1</v>
      </c>
      <c r="M204" s="4">
        <v>3</v>
      </c>
      <c r="N204" s="4" t="s">
        <v>3</v>
      </c>
      <c r="O204" s="4">
        <v>2</v>
      </c>
      <c r="P204" s="4"/>
      <c r="Q204" s="4"/>
      <c r="R204" s="4"/>
      <c r="S204" s="4"/>
      <c r="T204" s="4"/>
      <c r="U204" s="4"/>
      <c r="V204" s="4"/>
      <c r="W204" s="4">
        <v>349935.35999999999</v>
      </c>
      <c r="X204" s="4">
        <v>1</v>
      </c>
      <c r="Y204" s="4">
        <v>349935.35999999999</v>
      </c>
      <c r="Z204" s="4"/>
      <c r="AA204" s="4"/>
      <c r="AB204" s="4"/>
    </row>
    <row r="205" spans="1:206" x14ac:dyDescent="0.2">
      <c r="A205" s="4">
        <v>50</v>
      </c>
      <c r="B205" s="4">
        <v>0</v>
      </c>
      <c r="C205" s="4">
        <v>0</v>
      </c>
      <c r="D205" s="4">
        <v>1</v>
      </c>
      <c r="E205" s="4">
        <v>202</v>
      </c>
      <c r="F205" s="4">
        <f>ROUND(Source!P202,O205)</f>
        <v>143262.23000000001</v>
      </c>
      <c r="G205" s="4" t="s">
        <v>29</v>
      </c>
      <c r="H205" s="4" t="s">
        <v>30</v>
      </c>
      <c r="I205" s="4"/>
      <c r="J205" s="4"/>
      <c r="K205" s="4">
        <v>202</v>
      </c>
      <c r="L205" s="4">
        <v>2</v>
      </c>
      <c r="M205" s="4">
        <v>3</v>
      </c>
      <c r="N205" s="4" t="s">
        <v>3</v>
      </c>
      <c r="O205" s="4">
        <v>2</v>
      </c>
      <c r="P205" s="4"/>
      <c r="Q205" s="4"/>
      <c r="R205" s="4"/>
      <c r="S205" s="4"/>
      <c r="T205" s="4"/>
      <c r="U205" s="4"/>
      <c r="V205" s="4"/>
      <c r="W205" s="4">
        <v>143262.23000000001</v>
      </c>
      <c r="X205" s="4">
        <v>1</v>
      </c>
      <c r="Y205" s="4">
        <v>143262.23000000001</v>
      </c>
      <c r="Z205" s="4"/>
      <c r="AA205" s="4"/>
      <c r="AB205" s="4"/>
    </row>
    <row r="206" spans="1:206" x14ac:dyDescent="0.2">
      <c r="A206" s="4">
        <v>50</v>
      </c>
      <c r="B206" s="4">
        <v>0</v>
      </c>
      <c r="C206" s="4">
        <v>0</v>
      </c>
      <c r="D206" s="4">
        <v>1</v>
      </c>
      <c r="E206" s="4">
        <v>222</v>
      </c>
      <c r="F206" s="4">
        <f>ROUND(Source!AO202,O206)</f>
        <v>0</v>
      </c>
      <c r="G206" s="4" t="s">
        <v>31</v>
      </c>
      <c r="H206" s="4" t="s">
        <v>32</v>
      </c>
      <c r="I206" s="4"/>
      <c r="J206" s="4"/>
      <c r="K206" s="4">
        <v>222</v>
      </c>
      <c r="L206" s="4">
        <v>3</v>
      </c>
      <c r="M206" s="4">
        <v>3</v>
      </c>
      <c r="N206" s="4" t="s">
        <v>3</v>
      </c>
      <c r="O206" s="4">
        <v>2</v>
      </c>
      <c r="P206" s="4"/>
      <c r="Q206" s="4"/>
      <c r="R206" s="4"/>
      <c r="S206" s="4"/>
      <c r="T206" s="4"/>
      <c r="U206" s="4"/>
      <c r="V206" s="4"/>
      <c r="W206" s="4">
        <v>0</v>
      </c>
      <c r="X206" s="4">
        <v>1</v>
      </c>
      <c r="Y206" s="4">
        <v>0</v>
      </c>
      <c r="Z206" s="4"/>
      <c r="AA206" s="4"/>
      <c r="AB206" s="4"/>
    </row>
    <row r="207" spans="1:206" x14ac:dyDescent="0.2">
      <c r="A207" s="4">
        <v>50</v>
      </c>
      <c r="B207" s="4">
        <v>0</v>
      </c>
      <c r="C207" s="4">
        <v>0</v>
      </c>
      <c r="D207" s="4">
        <v>1</v>
      </c>
      <c r="E207" s="4">
        <v>225</v>
      </c>
      <c r="F207" s="4">
        <f>ROUND(Source!AV202,O207)</f>
        <v>143262.23000000001</v>
      </c>
      <c r="G207" s="4" t="s">
        <v>33</v>
      </c>
      <c r="H207" s="4" t="s">
        <v>34</v>
      </c>
      <c r="I207" s="4"/>
      <c r="J207" s="4"/>
      <c r="K207" s="4">
        <v>225</v>
      </c>
      <c r="L207" s="4">
        <v>4</v>
      </c>
      <c r="M207" s="4">
        <v>3</v>
      </c>
      <c r="N207" s="4" t="s">
        <v>3</v>
      </c>
      <c r="O207" s="4">
        <v>2</v>
      </c>
      <c r="P207" s="4"/>
      <c r="Q207" s="4"/>
      <c r="R207" s="4"/>
      <c r="S207" s="4"/>
      <c r="T207" s="4"/>
      <c r="U207" s="4"/>
      <c r="V207" s="4"/>
      <c r="W207" s="4">
        <v>143262.23000000001</v>
      </c>
      <c r="X207" s="4">
        <v>1</v>
      </c>
      <c r="Y207" s="4">
        <v>143262.23000000001</v>
      </c>
      <c r="Z207" s="4"/>
      <c r="AA207" s="4"/>
      <c r="AB207" s="4"/>
    </row>
    <row r="208" spans="1:206" x14ac:dyDescent="0.2">
      <c r="A208" s="4">
        <v>50</v>
      </c>
      <c r="B208" s="4">
        <v>0</v>
      </c>
      <c r="C208" s="4">
        <v>0</v>
      </c>
      <c r="D208" s="4">
        <v>1</v>
      </c>
      <c r="E208" s="4">
        <v>226</v>
      </c>
      <c r="F208" s="4">
        <f>ROUND(Source!AW202,O208)</f>
        <v>0</v>
      </c>
      <c r="G208" s="4" t="s">
        <v>35</v>
      </c>
      <c r="H208" s="4" t="s">
        <v>36</v>
      </c>
      <c r="I208" s="4"/>
      <c r="J208" s="4"/>
      <c r="K208" s="4">
        <v>226</v>
      </c>
      <c r="L208" s="4">
        <v>5</v>
      </c>
      <c r="M208" s="4">
        <v>3</v>
      </c>
      <c r="N208" s="4" t="s">
        <v>3</v>
      </c>
      <c r="O208" s="4">
        <v>2</v>
      </c>
      <c r="P208" s="4"/>
      <c r="Q208" s="4"/>
      <c r="R208" s="4"/>
      <c r="S208" s="4"/>
      <c r="T208" s="4"/>
      <c r="U208" s="4"/>
      <c r="V208" s="4"/>
      <c r="W208" s="4">
        <v>0</v>
      </c>
      <c r="X208" s="4">
        <v>1</v>
      </c>
      <c r="Y208" s="4">
        <v>0</v>
      </c>
      <c r="Z208" s="4"/>
      <c r="AA208" s="4"/>
      <c r="AB208" s="4"/>
    </row>
    <row r="209" spans="1:28" x14ac:dyDescent="0.2">
      <c r="A209" s="4">
        <v>50</v>
      </c>
      <c r="B209" s="4">
        <v>0</v>
      </c>
      <c r="C209" s="4">
        <v>0</v>
      </c>
      <c r="D209" s="4">
        <v>1</v>
      </c>
      <c r="E209" s="4">
        <v>227</v>
      </c>
      <c r="F209" s="4">
        <f>ROUND(Source!AX202,O209)</f>
        <v>0</v>
      </c>
      <c r="G209" s="4" t="s">
        <v>37</v>
      </c>
      <c r="H209" s="4" t="s">
        <v>38</v>
      </c>
      <c r="I209" s="4"/>
      <c r="J209" s="4"/>
      <c r="K209" s="4">
        <v>227</v>
      </c>
      <c r="L209" s="4">
        <v>6</v>
      </c>
      <c r="M209" s="4">
        <v>3</v>
      </c>
      <c r="N209" s="4" t="s">
        <v>3</v>
      </c>
      <c r="O209" s="4">
        <v>2</v>
      </c>
      <c r="P209" s="4"/>
      <c r="Q209" s="4"/>
      <c r="R209" s="4"/>
      <c r="S209" s="4"/>
      <c r="T209" s="4"/>
      <c r="U209" s="4"/>
      <c r="V209" s="4"/>
      <c r="W209" s="4">
        <v>0</v>
      </c>
      <c r="X209" s="4">
        <v>1</v>
      </c>
      <c r="Y209" s="4">
        <v>0</v>
      </c>
      <c r="Z209" s="4"/>
      <c r="AA209" s="4"/>
      <c r="AB209" s="4"/>
    </row>
    <row r="210" spans="1:28" x14ac:dyDescent="0.2">
      <c r="A210" s="4">
        <v>50</v>
      </c>
      <c r="B210" s="4">
        <v>0</v>
      </c>
      <c r="C210" s="4">
        <v>0</v>
      </c>
      <c r="D210" s="4">
        <v>1</v>
      </c>
      <c r="E210" s="4">
        <v>228</v>
      </c>
      <c r="F210" s="4">
        <f>ROUND(Source!AY202,O210)</f>
        <v>0</v>
      </c>
      <c r="G210" s="4" t="s">
        <v>39</v>
      </c>
      <c r="H210" s="4" t="s">
        <v>40</v>
      </c>
      <c r="I210" s="4"/>
      <c r="J210" s="4"/>
      <c r="K210" s="4">
        <v>228</v>
      </c>
      <c r="L210" s="4">
        <v>7</v>
      </c>
      <c r="M210" s="4">
        <v>3</v>
      </c>
      <c r="N210" s="4" t="s">
        <v>3</v>
      </c>
      <c r="O210" s="4">
        <v>2</v>
      </c>
      <c r="P210" s="4"/>
      <c r="Q210" s="4"/>
      <c r="R210" s="4"/>
      <c r="S210" s="4"/>
      <c r="T210" s="4"/>
      <c r="U210" s="4"/>
      <c r="V210" s="4"/>
      <c r="W210" s="4">
        <v>0</v>
      </c>
      <c r="X210" s="4">
        <v>1</v>
      </c>
      <c r="Y210" s="4">
        <v>0</v>
      </c>
      <c r="Z210" s="4"/>
      <c r="AA210" s="4"/>
      <c r="AB210" s="4"/>
    </row>
    <row r="211" spans="1:28" x14ac:dyDescent="0.2">
      <c r="A211" s="4">
        <v>50</v>
      </c>
      <c r="B211" s="4">
        <v>0</v>
      </c>
      <c r="C211" s="4">
        <v>0</v>
      </c>
      <c r="D211" s="4">
        <v>1</v>
      </c>
      <c r="E211" s="4">
        <v>216</v>
      </c>
      <c r="F211" s="4">
        <f>ROUND(Source!AP202,O211)</f>
        <v>143262.23000000001</v>
      </c>
      <c r="G211" s="4" t="s">
        <v>41</v>
      </c>
      <c r="H211" s="4" t="s">
        <v>42</v>
      </c>
      <c r="I211" s="4"/>
      <c r="J211" s="4"/>
      <c r="K211" s="4">
        <v>216</v>
      </c>
      <c r="L211" s="4">
        <v>8</v>
      </c>
      <c r="M211" s="4">
        <v>3</v>
      </c>
      <c r="N211" s="4" t="s">
        <v>3</v>
      </c>
      <c r="O211" s="4">
        <v>2</v>
      </c>
      <c r="P211" s="4"/>
      <c r="Q211" s="4"/>
      <c r="R211" s="4"/>
      <c r="S211" s="4"/>
      <c r="T211" s="4"/>
      <c r="U211" s="4"/>
      <c r="V211" s="4"/>
      <c r="W211" s="4">
        <v>143262.23000000001</v>
      </c>
      <c r="X211" s="4">
        <v>1</v>
      </c>
      <c r="Y211" s="4">
        <v>143262.23000000001</v>
      </c>
      <c r="Z211" s="4"/>
      <c r="AA211" s="4"/>
      <c r="AB211" s="4"/>
    </row>
    <row r="212" spans="1:28" x14ac:dyDescent="0.2">
      <c r="A212" s="4">
        <v>50</v>
      </c>
      <c r="B212" s="4">
        <v>0</v>
      </c>
      <c r="C212" s="4">
        <v>0</v>
      </c>
      <c r="D212" s="4">
        <v>1</v>
      </c>
      <c r="E212" s="4">
        <v>223</v>
      </c>
      <c r="F212" s="4">
        <f>ROUND(Source!AQ202,O212)</f>
        <v>0</v>
      </c>
      <c r="G212" s="4" t="s">
        <v>43</v>
      </c>
      <c r="H212" s="4" t="s">
        <v>44</v>
      </c>
      <c r="I212" s="4"/>
      <c r="J212" s="4"/>
      <c r="K212" s="4">
        <v>223</v>
      </c>
      <c r="L212" s="4">
        <v>9</v>
      </c>
      <c r="M212" s="4">
        <v>3</v>
      </c>
      <c r="N212" s="4" t="s">
        <v>3</v>
      </c>
      <c r="O212" s="4">
        <v>2</v>
      </c>
      <c r="P212" s="4"/>
      <c r="Q212" s="4"/>
      <c r="R212" s="4"/>
      <c r="S212" s="4"/>
      <c r="T212" s="4"/>
      <c r="U212" s="4"/>
      <c r="V212" s="4"/>
      <c r="W212" s="4">
        <v>0</v>
      </c>
      <c r="X212" s="4">
        <v>1</v>
      </c>
      <c r="Y212" s="4">
        <v>0</v>
      </c>
      <c r="Z212" s="4"/>
      <c r="AA212" s="4"/>
      <c r="AB212" s="4"/>
    </row>
    <row r="213" spans="1:28" x14ac:dyDescent="0.2">
      <c r="A213" s="4">
        <v>50</v>
      </c>
      <c r="B213" s="4">
        <v>0</v>
      </c>
      <c r="C213" s="4">
        <v>0</v>
      </c>
      <c r="D213" s="4">
        <v>1</v>
      </c>
      <c r="E213" s="4">
        <v>229</v>
      </c>
      <c r="F213" s="4">
        <f>ROUND(Source!AZ202,O213)</f>
        <v>143262.23000000001</v>
      </c>
      <c r="G213" s="4" t="s">
        <v>45</v>
      </c>
      <c r="H213" s="4" t="s">
        <v>46</v>
      </c>
      <c r="I213" s="4"/>
      <c r="J213" s="4"/>
      <c r="K213" s="4">
        <v>229</v>
      </c>
      <c r="L213" s="4">
        <v>10</v>
      </c>
      <c r="M213" s="4">
        <v>3</v>
      </c>
      <c r="N213" s="4" t="s">
        <v>3</v>
      </c>
      <c r="O213" s="4">
        <v>2</v>
      </c>
      <c r="P213" s="4"/>
      <c r="Q213" s="4"/>
      <c r="R213" s="4"/>
      <c r="S213" s="4"/>
      <c r="T213" s="4"/>
      <c r="U213" s="4"/>
      <c r="V213" s="4"/>
      <c r="W213" s="4">
        <v>143262.23000000001</v>
      </c>
      <c r="X213" s="4">
        <v>1</v>
      </c>
      <c r="Y213" s="4">
        <v>143262.23000000001</v>
      </c>
      <c r="Z213" s="4"/>
      <c r="AA213" s="4"/>
      <c r="AB213" s="4"/>
    </row>
    <row r="214" spans="1:28" x14ac:dyDescent="0.2">
      <c r="A214" s="4">
        <v>50</v>
      </c>
      <c r="B214" s="4">
        <v>0</v>
      </c>
      <c r="C214" s="4">
        <v>0</v>
      </c>
      <c r="D214" s="4">
        <v>1</v>
      </c>
      <c r="E214" s="4">
        <v>203</v>
      </c>
      <c r="F214" s="4">
        <f>ROUND(Source!Q202,O214)</f>
        <v>6.59</v>
      </c>
      <c r="G214" s="4" t="s">
        <v>47</v>
      </c>
      <c r="H214" s="4" t="s">
        <v>48</v>
      </c>
      <c r="I214" s="4"/>
      <c r="J214" s="4"/>
      <c r="K214" s="4">
        <v>203</v>
      </c>
      <c r="L214" s="4">
        <v>11</v>
      </c>
      <c r="M214" s="4">
        <v>3</v>
      </c>
      <c r="N214" s="4" t="s">
        <v>3</v>
      </c>
      <c r="O214" s="4">
        <v>2</v>
      </c>
      <c r="P214" s="4"/>
      <c r="Q214" s="4"/>
      <c r="R214" s="4"/>
      <c r="S214" s="4"/>
      <c r="T214" s="4"/>
      <c r="U214" s="4"/>
      <c r="V214" s="4"/>
      <c r="W214" s="4">
        <v>6.59</v>
      </c>
      <c r="X214" s="4">
        <v>1</v>
      </c>
      <c r="Y214" s="4">
        <v>6.59</v>
      </c>
      <c r="Z214" s="4"/>
      <c r="AA214" s="4"/>
      <c r="AB214" s="4"/>
    </row>
    <row r="215" spans="1:28" x14ac:dyDescent="0.2">
      <c r="A215" s="4">
        <v>50</v>
      </c>
      <c r="B215" s="4">
        <v>0</v>
      </c>
      <c r="C215" s="4">
        <v>0</v>
      </c>
      <c r="D215" s="4">
        <v>1</v>
      </c>
      <c r="E215" s="4">
        <v>231</v>
      </c>
      <c r="F215" s="4">
        <f>ROUND(Source!BB202,O215)</f>
        <v>0</v>
      </c>
      <c r="G215" s="4" t="s">
        <v>49</v>
      </c>
      <c r="H215" s="4" t="s">
        <v>50</v>
      </c>
      <c r="I215" s="4"/>
      <c r="J215" s="4"/>
      <c r="K215" s="4">
        <v>231</v>
      </c>
      <c r="L215" s="4">
        <v>12</v>
      </c>
      <c r="M215" s="4">
        <v>3</v>
      </c>
      <c r="N215" s="4" t="s">
        <v>3</v>
      </c>
      <c r="O215" s="4">
        <v>2</v>
      </c>
      <c r="P215" s="4"/>
      <c r="Q215" s="4"/>
      <c r="R215" s="4"/>
      <c r="S215" s="4"/>
      <c r="T215" s="4"/>
      <c r="U215" s="4"/>
      <c r="V215" s="4"/>
      <c r="W215" s="4">
        <v>0</v>
      </c>
      <c r="X215" s="4">
        <v>1</v>
      </c>
      <c r="Y215" s="4">
        <v>0</v>
      </c>
      <c r="Z215" s="4"/>
      <c r="AA215" s="4"/>
      <c r="AB215" s="4"/>
    </row>
    <row r="216" spans="1:28" x14ac:dyDescent="0.2">
      <c r="A216" s="4">
        <v>50</v>
      </c>
      <c r="B216" s="4">
        <v>0</v>
      </c>
      <c r="C216" s="4">
        <v>0</v>
      </c>
      <c r="D216" s="4">
        <v>1</v>
      </c>
      <c r="E216" s="4">
        <v>204</v>
      </c>
      <c r="F216" s="4">
        <f>ROUND(Source!R202,O216)</f>
        <v>2.73</v>
      </c>
      <c r="G216" s="4" t="s">
        <v>51</v>
      </c>
      <c r="H216" s="4" t="s">
        <v>52</v>
      </c>
      <c r="I216" s="4"/>
      <c r="J216" s="4"/>
      <c r="K216" s="4">
        <v>204</v>
      </c>
      <c r="L216" s="4">
        <v>13</v>
      </c>
      <c r="M216" s="4">
        <v>3</v>
      </c>
      <c r="N216" s="4" t="s">
        <v>3</v>
      </c>
      <c r="O216" s="4">
        <v>2</v>
      </c>
      <c r="P216" s="4"/>
      <c r="Q216" s="4"/>
      <c r="R216" s="4"/>
      <c r="S216" s="4"/>
      <c r="T216" s="4"/>
      <c r="U216" s="4"/>
      <c r="V216" s="4"/>
      <c r="W216" s="4">
        <v>2.73</v>
      </c>
      <c r="X216" s="4">
        <v>1</v>
      </c>
      <c r="Y216" s="4">
        <v>2.73</v>
      </c>
      <c r="Z216" s="4"/>
      <c r="AA216" s="4"/>
      <c r="AB216" s="4"/>
    </row>
    <row r="217" spans="1:28" x14ac:dyDescent="0.2">
      <c r="A217" s="4">
        <v>50</v>
      </c>
      <c r="B217" s="4">
        <v>0</v>
      </c>
      <c r="C217" s="4">
        <v>0</v>
      </c>
      <c r="D217" s="4">
        <v>1</v>
      </c>
      <c r="E217" s="4">
        <v>205</v>
      </c>
      <c r="F217" s="4">
        <f>ROUND(Source!S202,O217)</f>
        <v>206666.54</v>
      </c>
      <c r="G217" s="4" t="s">
        <v>53</v>
      </c>
      <c r="H217" s="4" t="s">
        <v>54</v>
      </c>
      <c r="I217" s="4"/>
      <c r="J217" s="4"/>
      <c r="K217" s="4">
        <v>205</v>
      </c>
      <c r="L217" s="4">
        <v>14</v>
      </c>
      <c r="M217" s="4">
        <v>3</v>
      </c>
      <c r="N217" s="4" t="s">
        <v>3</v>
      </c>
      <c r="O217" s="4">
        <v>2</v>
      </c>
      <c r="P217" s="4"/>
      <c r="Q217" s="4"/>
      <c r="R217" s="4"/>
      <c r="S217" s="4"/>
      <c r="T217" s="4"/>
      <c r="U217" s="4"/>
      <c r="V217" s="4"/>
      <c r="W217" s="4">
        <v>206666.54</v>
      </c>
      <c r="X217" s="4">
        <v>1</v>
      </c>
      <c r="Y217" s="4">
        <v>206666.54</v>
      </c>
      <c r="Z217" s="4"/>
      <c r="AA217" s="4"/>
      <c r="AB217" s="4"/>
    </row>
    <row r="218" spans="1:28" x14ac:dyDescent="0.2">
      <c r="A218" s="4">
        <v>50</v>
      </c>
      <c r="B218" s="4">
        <v>0</v>
      </c>
      <c r="C218" s="4">
        <v>0</v>
      </c>
      <c r="D218" s="4">
        <v>1</v>
      </c>
      <c r="E218" s="4">
        <v>232</v>
      </c>
      <c r="F218" s="4">
        <f>ROUND(Source!BC202,O218)</f>
        <v>0</v>
      </c>
      <c r="G218" s="4" t="s">
        <v>55</v>
      </c>
      <c r="H218" s="4" t="s">
        <v>56</v>
      </c>
      <c r="I218" s="4"/>
      <c r="J218" s="4"/>
      <c r="K218" s="4">
        <v>232</v>
      </c>
      <c r="L218" s="4">
        <v>15</v>
      </c>
      <c r="M218" s="4">
        <v>3</v>
      </c>
      <c r="N218" s="4" t="s">
        <v>3</v>
      </c>
      <c r="O218" s="4">
        <v>2</v>
      </c>
      <c r="P218" s="4"/>
      <c r="Q218" s="4"/>
      <c r="R218" s="4"/>
      <c r="S218" s="4"/>
      <c r="T218" s="4"/>
      <c r="U218" s="4"/>
      <c r="V218" s="4"/>
      <c r="W218" s="4">
        <v>0</v>
      </c>
      <c r="X218" s="4">
        <v>1</v>
      </c>
      <c r="Y218" s="4">
        <v>0</v>
      </c>
      <c r="Z218" s="4"/>
      <c r="AA218" s="4"/>
      <c r="AB218" s="4"/>
    </row>
    <row r="219" spans="1:28" x14ac:dyDescent="0.2">
      <c r="A219" s="4">
        <v>50</v>
      </c>
      <c r="B219" s="4">
        <v>0</v>
      </c>
      <c r="C219" s="4">
        <v>0</v>
      </c>
      <c r="D219" s="4">
        <v>1</v>
      </c>
      <c r="E219" s="4">
        <v>214</v>
      </c>
      <c r="F219" s="4">
        <f>ROUND(Source!AS202,O219)</f>
        <v>0</v>
      </c>
      <c r="G219" s="4" t="s">
        <v>57</v>
      </c>
      <c r="H219" s="4" t="s">
        <v>58</v>
      </c>
      <c r="I219" s="4"/>
      <c r="J219" s="4"/>
      <c r="K219" s="4">
        <v>214</v>
      </c>
      <c r="L219" s="4">
        <v>16</v>
      </c>
      <c r="M219" s="4">
        <v>3</v>
      </c>
      <c r="N219" s="4" t="s">
        <v>3</v>
      </c>
      <c r="O219" s="4">
        <v>2</v>
      </c>
      <c r="P219" s="4"/>
      <c r="Q219" s="4"/>
      <c r="R219" s="4"/>
      <c r="S219" s="4"/>
      <c r="T219" s="4"/>
      <c r="U219" s="4"/>
      <c r="V219" s="4"/>
      <c r="W219" s="4">
        <v>0</v>
      </c>
      <c r="X219" s="4">
        <v>1</v>
      </c>
      <c r="Y219" s="4">
        <v>0</v>
      </c>
      <c r="Z219" s="4"/>
      <c r="AA219" s="4"/>
      <c r="AB219" s="4"/>
    </row>
    <row r="220" spans="1:28" x14ac:dyDescent="0.2">
      <c r="A220" s="4">
        <v>50</v>
      </c>
      <c r="B220" s="4">
        <v>0</v>
      </c>
      <c r="C220" s="4">
        <v>0</v>
      </c>
      <c r="D220" s="4">
        <v>1</v>
      </c>
      <c r="E220" s="4">
        <v>215</v>
      </c>
      <c r="F220" s="4">
        <f>ROUND(Source!AT202,O220)</f>
        <v>980.01</v>
      </c>
      <c r="G220" s="4" t="s">
        <v>59</v>
      </c>
      <c r="H220" s="4" t="s">
        <v>60</v>
      </c>
      <c r="I220" s="4"/>
      <c r="J220" s="4"/>
      <c r="K220" s="4">
        <v>215</v>
      </c>
      <c r="L220" s="4">
        <v>17</v>
      </c>
      <c r="M220" s="4">
        <v>3</v>
      </c>
      <c r="N220" s="4" t="s">
        <v>3</v>
      </c>
      <c r="O220" s="4">
        <v>2</v>
      </c>
      <c r="P220" s="4"/>
      <c r="Q220" s="4"/>
      <c r="R220" s="4"/>
      <c r="S220" s="4"/>
      <c r="T220" s="4"/>
      <c r="U220" s="4"/>
      <c r="V220" s="4"/>
      <c r="W220" s="4">
        <v>980.01</v>
      </c>
      <c r="X220" s="4">
        <v>1</v>
      </c>
      <c r="Y220" s="4">
        <v>980.01</v>
      </c>
      <c r="Z220" s="4"/>
      <c r="AA220" s="4"/>
      <c r="AB220" s="4"/>
    </row>
    <row r="221" spans="1:28" x14ac:dyDescent="0.2">
      <c r="A221" s="4">
        <v>50</v>
      </c>
      <c r="B221" s="4">
        <v>0</v>
      </c>
      <c r="C221" s="4">
        <v>0</v>
      </c>
      <c r="D221" s="4">
        <v>1</v>
      </c>
      <c r="E221" s="4">
        <v>217</v>
      </c>
      <c r="F221" s="4">
        <f>ROUND(Source!AU202,O221)</f>
        <v>435188.85</v>
      </c>
      <c r="G221" s="4" t="s">
        <v>61</v>
      </c>
      <c r="H221" s="4" t="s">
        <v>62</v>
      </c>
      <c r="I221" s="4"/>
      <c r="J221" s="4"/>
      <c r="K221" s="4">
        <v>217</v>
      </c>
      <c r="L221" s="4">
        <v>18</v>
      </c>
      <c r="M221" s="4">
        <v>3</v>
      </c>
      <c r="N221" s="4" t="s">
        <v>3</v>
      </c>
      <c r="O221" s="4">
        <v>2</v>
      </c>
      <c r="P221" s="4"/>
      <c r="Q221" s="4"/>
      <c r="R221" s="4"/>
      <c r="S221" s="4"/>
      <c r="T221" s="4"/>
      <c r="U221" s="4"/>
      <c r="V221" s="4"/>
      <c r="W221" s="4">
        <v>435188.85</v>
      </c>
      <c r="X221" s="4">
        <v>1</v>
      </c>
      <c r="Y221" s="4">
        <v>435188.85</v>
      </c>
      <c r="Z221" s="4"/>
      <c r="AA221" s="4"/>
      <c r="AB221" s="4"/>
    </row>
    <row r="222" spans="1:28" x14ac:dyDescent="0.2">
      <c r="A222" s="4">
        <v>50</v>
      </c>
      <c r="B222" s="4">
        <v>0</v>
      </c>
      <c r="C222" s="4">
        <v>0</v>
      </c>
      <c r="D222" s="4">
        <v>1</v>
      </c>
      <c r="E222" s="4">
        <v>230</v>
      </c>
      <c r="F222" s="4">
        <f>ROUND(Source!BA202,O222)</f>
        <v>0</v>
      </c>
      <c r="G222" s="4" t="s">
        <v>63</v>
      </c>
      <c r="H222" s="4" t="s">
        <v>64</v>
      </c>
      <c r="I222" s="4"/>
      <c r="J222" s="4"/>
      <c r="K222" s="4">
        <v>230</v>
      </c>
      <c r="L222" s="4">
        <v>19</v>
      </c>
      <c r="M222" s="4">
        <v>3</v>
      </c>
      <c r="N222" s="4" t="s">
        <v>3</v>
      </c>
      <c r="O222" s="4">
        <v>2</v>
      </c>
      <c r="P222" s="4"/>
      <c r="Q222" s="4"/>
      <c r="R222" s="4"/>
      <c r="S222" s="4"/>
      <c r="T222" s="4"/>
      <c r="U222" s="4"/>
      <c r="V222" s="4"/>
      <c r="W222" s="4">
        <v>0</v>
      </c>
      <c r="X222" s="4">
        <v>1</v>
      </c>
      <c r="Y222" s="4">
        <v>0</v>
      </c>
      <c r="Z222" s="4"/>
      <c r="AA222" s="4"/>
      <c r="AB222" s="4"/>
    </row>
    <row r="223" spans="1:28" x14ac:dyDescent="0.2">
      <c r="A223" s="4">
        <v>50</v>
      </c>
      <c r="B223" s="4">
        <v>0</v>
      </c>
      <c r="C223" s="4">
        <v>0</v>
      </c>
      <c r="D223" s="4">
        <v>1</v>
      </c>
      <c r="E223" s="4">
        <v>206</v>
      </c>
      <c r="F223" s="4">
        <f>ROUND(Source!T202,O223)</f>
        <v>0</v>
      </c>
      <c r="G223" s="4" t="s">
        <v>65</v>
      </c>
      <c r="H223" s="4" t="s">
        <v>66</v>
      </c>
      <c r="I223" s="4"/>
      <c r="J223" s="4"/>
      <c r="K223" s="4">
        <v>206</v>
      </c>
      <c r="L223" s="4">
        <v>20</v>
      </c>
      <c r="M223" s="4">
        <v>3</v>
      </c>
      <c r="N223" s="4" t="s">
        <v>3</v>
      </c>
      <c r="O223" s="4">
        <v>2</v>
      </c>
      <c r="P223" s="4"/>
      <c r="Q223" s="4"/>
      <c r="R223" s="4"/>
      <c r="S223" s="4"/>
      <c r="T223" s="4"/>
      <c r="U223" s="4"/>
      <c r="V223" s="4"/>
      <c r="W223" s="4">
        <v>0</v>
      </c>
      <c r="X223" s="4">
        <v>1</v>
      </c>
      <c r="Y223" s="4">
        <v>0</v>
      </c>
      <c r="Z223" s="4"/>
      <c r="AA223" s="4"/>
      <c r="AB223" s="4"/>
    </row>
    <row r="224" spans="1:28" x14ac:dyDescent="0.2">
      <c r="A224" s="4">
        <v>50</v>
      </c>
      <c r="B224" s="4">
        <v>0</v>
      </c>
      <c r="C224" s="4">
        <v>0</v>
      </c>
      <c r="D224" s="4">
        <v>1</v>
      </c>
      <c r="E224" s="4">
        <v>207</v>
      </c>
      <c r="F224" s="4">
        <f>Source!U202</f>
        <v>326.11841000000004</v>
      </c>
      <c r="G224" s="4" t="s">
        <v>67</v>
      </c>
      <c r="H224" s="4" t="s">
        <v>68</v>
      </c>
      <c r="I224" s="4"/>
      <c r="J224" s="4"/>
      <c r="K224" s="4">
        <v>207</v>
      </c>
      <c r="L224" s="4">
        <v>21</v>
      </c>
      <c r="M224" s="4">
        <v>3</v>
      </c>
      <c r="N224" s="4" t="s">
        <v>3</v>
      </c>
      <c r="O224" s="4">
        <v>-1</v>
      </c>
      <c r="P224" s="4"/>
      <c r="Q224" s="4"/>
      <c r="R224" s="4"/>
      <c r="S224" s="4"/>
      <c r="T224" s="4"/>
      <c r="U224" s="4"/>
      <c r="V224" s="4"/>
      <c r="W224" s="4">
        <v>326.11840999999998</v>
      </c>
      <c r="X224" s="4">
        <v>1</v>
      </c>
      <c r="Y224" s="4">
        <v>326.11840999999998</v>
      </c>
      <c r="Z224" s="4"/>
      <c r="AA224" s="4"/>
      <c r="AB224" s="4"/>
    </row>
    <row r="225" spans="1:28" x14ac:dyDescent="0.2">
      <c r="A225" s="4">
        <v>50</v>
      </c>
      <c r="B225" s="4">
        <v>0</v>
      </c>
      <c r="C225" s="4">
        <v>0</v>
      </c>
      <c r="D225" s="4">
        <v>1</v>
      </c>
      <c r="E225" s="4">
        <v>208</v>
      </c>
      <c r="F225" s="4">
        <f>Source!V202</f>
        <v>0</v>
      </c>
      <c r="G225" s="4" t="s">
        <v>69</v>
      </c>
      <c r="H225" s="4" t="s">
        <v>70</v>
      </c>
      <c r="I225" s="4"/>
      <c r="J225" s="4"/>
      <c r="K225" s="4">
        <v>208</v>
      </c>
      <c r="L225" s="4">
        <v>22</v>
      </c>
      <c r="M225" s="4">
        <v>3</v>
      </c>
      <c r="N225" s="4" t="s">
        <v>3</v>
      </c>
      <c r="O225" s="4">
        <v>-1</v>
      </c>
      <c r="P225" s="4"/>
      <c r="Q225" s="4"/>
      <c r="R225" s="4"/>
      <c r="S225" s="4"/>
      <c r="T225" s="4"/>
      <c r="U225" s="4"/>
      <c r="V225" s="4"/>
      <c r="W225" s="4">
        <v>0</v>
      </c>
      <c r="X225" s="4">
        <v>1</v>
      </c>
      <c r="Y225" s="4">
        <v>0</v>
      </c>
      <c r="Z225" s="4"/>
      <c r="AA225" s="4"/>
      <c r="AB225" s="4"/>
    </row>
    <row r="226" spans="1:28" x14ac:dyDescent="0.2">
      <c r="A226" s="4">
        <v>50</v>
      </c>
      <c r="B226" s="4">
        <v>0</v>
      </c>
      <c r="C226" s="4">
        <v>0</v>
      </c>
      <c r="D226" s="4">
        <v>1</v>
      </c>
      <c r="E226" s="4">
        <v>209</v>
      </c>
      <c r="F226" s="4">
        <f>ROUND(Source!W202,O226)</f>
        <v>0</v>
      </c>
      <c r="G226" s="4" t="s">
        <v>71</v>
      </c>
      <c r="H226" s="4" t="s">
        <v>72</v>
      </c>
      <c r="I226" s="4"/>
      <c r="J226" s="4"/>
      <c r="K226" s="4">
        <v>209</v>
      </c>
      <c r="L226" s="4">
        <v>23</v>
      </c>
      <c r="M226" s="4">
        <v>3</v>
      </c>
      <c r="N226" s="4" t="s">
        <v>3</v>
      </c>
      <c r="O226" s="4">
        <v>2</v>
      </c>
      <c r="P226" s="4"/>
      <c r="Q226" s="4"/>
      <c r="R226" s="4"/>
      <c r="S226" s="4"/>
      <c r="T226" s="4"/>
      <c r="U226" s="4"/>
      <c r="V226" s="4"/>
      <c r="W226" s="4">
        <v>0</v>
      </c>
      <c r="X226" s="4">
        <v>1</v>
      </c>
      <c r="Y226" s="4">
        <v>0</v>
      </c>
      <c r="Z226" s="4"/>
      <c r="AA226" s="4"/>
      <c r="AB226" s="4"/>
    </row>
    <row r="227" spans="1:28" x14ac:dyDescent="0.2">
      <c r="A227" s="4">
        <v>50</v>
      </c>
      <c r="B227" s="4">
        <v>0</v>
      </c>
      <c r="C227" s="4">
        <v>0</v>
      </c>
      <c r="D227" s="4">
        <v>1</v>
      </c>
      <c r="E227" s="4">
        <v>233</v>
      </c>
      <c r="F227" s="4">
        <f>ROUND(Source!BD202,O227)</f>
        <v>0</v>
      </c>
      <c r="G227" s="4" t="s">
        <v>73</v>
      </c>
      <c r="H227" s="4" t="s">
        <v>74</v>
      </c>
      <c r="I227" s="4"/>
      <c r="J227" s="4"/>
      <c r="K227" s="4">
        <v>233</v>
      </c>
      <c r="L227" s="4">
        <v>24</v>
      </c>
      <c r="M227" s="4">
        <v>3</v>
      </c>
      <c r="N227" s="4" t="s">
        <v>3</v>
      </c>
      <c r="O227" s="4">
        <v>2</v>
      </c>
      <c r="P227" s="4"/>
      <c r="Q227" s="4"/>
      <c r="R227" s="4"/>
      <c r="S227" s="4"/>
      <c r="T227" s="4"/>
      <c r="U227" s="4"/>
      <c r="V227" s="4"/>
      <c r="W227" s="4">
        <v>0</v>
      </c>
      <c r="X227" s="4">
        <v>1</v>
      </c>
      <c r="Y227" s="4">
        <v>0</v>
      </c>
      <c r="Z227" s="4"/>
      <c r="AA227" s="4"/>
      <c r="AB227" s="4"/>
    </row>
    <row r="228" spans="1:28" x14ac:dyDescent="0.2">
      <c r="A228" s="4">
        <v>50</v>
      </c>
      <c r="B228" s="4">
        <v>0</v>
      </c>
      <c r="C228" s="4">
        <v>0</v>
      </c>
      <c r="D228" s="4">
        <v>1</v>
      </c>
      <c r="E228" s="4">
        <v>210</v>
      </c>
      <c r="F228" s="4">
        <f>ROUND(Source!X202,O228)</f>
        <v>144758.07999999999</v>
      </c>
      <c r="G228" s="4" t="s">
        <v>75</v>
      </c>
      <c r="H228" s="4" t="s">
        <v>76</v>
      </c>
      <c r="I228" s="4"/>
      <c r="J228" s="4"/>
      <c r="K228" s="4">
        <v>210</v>
      </c>
      <c r="L228" s="4">
        <v>25</v>
      </c>
      <c r="M228" s="4">
        <v>3</v>
      </c>
      <c r="N228" s="4" t="s">
        <v>3</v>
      </c>
      <c r="O228" s="4">
        <v>2</v>
      </c>
      <c r="P228" s="4"/>
      <c r="Q228" s="4"/>
      <c r="R228" s="4"/>
      <c r="S228" s="4"/>
      <c r="T228" s="4"/>
      <c r="U228" s="4"/>
      <c r="V228" s="4"/>
      <c r="W228" s="4">
        <v>144758.07999999999</v>
      </c>
      <c r="X228" s="4">
        <v>1</v>
      </c>
      <c r="Y228" s="4">
        <v>144758.07999999999</v>
      </c>
      <c r="Z228" s="4"/>
      <c r="AA228" s="4"/>
      <c r="AB228" s="4"/>
    </row>
    <row r="229" spans="1:28" x14ac:dyDescent="0.2">
      <c r="A229" s="4">
        <v>50</v>
      </c>
      <c r="B229" s="4">
        <v>0</v>
      </c>
      <c r="C229" s="4">
        <v>0</v>
      </c>
      <c r="D229" s="4">
        <v>1</v>
      </c>
      <c r="E229" s="4">
        <v>211</v>
      </c>
      <c r="F229" s="4">
        <f>ROUND(Source!Y202,O229)</f>
        <v>84733.28</v>
      </c>
      <c r="G229" s="4" t="s">
        <v>77</v>
      </c>
      <c r="H229" s="4" t="s">
        <v>78</v>
      </c>
      <c r="I229" s="4"/>
      <c r="J229" s="4"/>
      <c r="K229" s="4">
        <v>211</v>
      </c>
      <c r="L229" s="4">
        <v>26</v>
      </c>
      <c r="M229" s="4">
        <v>3</v>
      </c>
      <c r="N229" s="4" t="s">
        <v>3</v>
      </c>
      <c r="O229" s="4">
        <v>2</v>
      </c>
      <c r="P229" s="4"/>
      <c r="Q229" s="4"/>
      <c r="R229" s="4"/>
      <c r="S229" s="4"/>
      <c r="T229" s="4"/>
      <c r="U229" s="4"/>
      <c r="V229" s="4"/>
      <c r="W229" s="4">
        <v>84733.28</v>
      </c>
      <c r="X229" s="4">
        <v>1</v>
      </c>
      <c r="Y229" s="4">
        <v>84733.28</v>
      </c>
      <c r="Z229" s="4"/>
      <c r="AA229" s="4"/>
      <c r="AB229" s="4"/>
    </row>
    <row r="230" spans="1:28" x14ac:dyDescent="0.2">
      <c r="A230" s="4">
        <v>50</v>
      </c>
      <c r="B230" s="4">
        <v>0</v>
      </c>
      <c r="C230" s="4">
        <v>0</v>
      </c>
      <c r="D230" s="4">
        <v>1</v>
      </c>
      <c r="E230" s="4">
        <v>224</v>
      </c>
      <c r="F230" s="4">
        <f>ROUND(Source!AR202,O230)</f>
        <v>579431.09</v>
      </c>
      <c r="G230" s="4" t="s">
        <v>79</v>
      </c>
      <c r="H230" s="4" t="s">
        <v>80</v>
      </c>
      <c r="I230" s="4"/>
      <c r="J230" s="4"/>
      <c r="K230" s="4">
        <v>224</v>
      </c>
      <c r="L230" s="4">
        <v>27</v>
      </c>
      <c r="M230" s="4">
        <v>3</v>
      </c>
      <c r="N230" s="4" t="s">
        <v>3</v>
      </c>
      <c r="O230" s="4">
        <v>2</v>
      </c>
      <c r="P230" s="4"/>
      <c r="Q230" s="4"/>
      <c r="R230" s="4"/>
      <c r="S230" s="4"/>
      <c r="T230" s="4"/>
      <c r="U230" s="4"/>
      <c r="V230" s="4"/>
      <c r="W230" s="4">
        <v>579431.09</v>
      </c>
      <c r="X230" s="4">
        <v>1</v>
      </c>
      <c r="Y230" s="4">
        <v>579431.09</v>
      </c>
      <c r="Z230" s="4"/>
      <c r="AA230" s="4"/>
      <c r="AB230" s="4"/>
    </row>
    <row r="232" spans="1:28" x14ac:dyDescent="0.2">
      <c r="A232">
        <v>71</v>
      </c>
      <c r="B232">
        <v>1</v>
      </c>
      <c r="D232">
        <v>382</v>
      </c>
      <c r="E232">
        <v>42845352</v>
      </c>
      <c r="F232" t="s">
        <v>3</v>
      </c>
      <c r="G232" t="s">
        <v>3</v>
      </c>
      <c r="H232">
        <v>-1</v>
      </c>
      <c r="I232">
        <v>-1</v>
      </c>
    </row>
    <row r="235" spans="1:28" x14ac:dyDescent="0.2">
      <c r="A235">
        <v>70</v>
      </c>
      <c r="B235">
        <v>1</v>
      </c>
      <c r="D235">
        <v>1</v>
      </c>
      <c r="E235" t="s">
        <v>128</v>
      </c>
      <c r="F235" t="s">
        <v>129</v>
      </c>
      <c r="G235">
        <v>0</v>
      </c>
      <c r="H235">
        <v>0</v>
      </c>
      <c r="I235" t="s">
        <v>3</v>
      </c>
      <c r="J235">
        <v>1</v>
      </c>
      <c r="K235">
        <v>0</v>
      </c>
      <c r="L235" t="s">
        <v>3</v>
      </c>
      <c r="M235" t="s">
        <v>3</v>
      </c>
      <c r="N235">
        <v>0</v>
      </c>
      <c r="P235" t="s">
        <v>3</v>
      </c>
    </row>
    <row r="236" spans="1:28" x14ac:dyDescent="0.2">
      <c r="A236">
        <v>70</v>
      </c>
      <c r="B236">
        <v>1</v>
      </c>
      <c r="D236">
        <v>2</v>
      </c>
      <c r="E236" t="s">
        <v>130</v>
      </c>
      <c r="F236" t="s">
        <v>131</v>
      </c>
      <c r="G236">
        <v>1</v>
      </c>
      <c r="H236">
        <v>0</v>
      </c>
      <c r="I236" t="s">
        <v>3</v>
      </c>
      <c r="J236">
        <v>1</v>
      </c>
      <c r="K236">
        <v>0</v>
      </c>
      <c r="L236" t="s">
        <v>3</v>
      </c>
      <c r="M236" t="s">
        <v>3</v>
      </c>
      <c r="N236">
        <v>0</v>
      </c>
      <c r="P236" t="s">
        <v>3</v>
      </c>
    </row>
    <row r="238" spans="1:28" x14ac:dyDescent="0.2">
      <c r="A238">
        <v>-1</v>
      </c>
    </row>
    <row r="240" spans="1:28" x14ac:dyDescent="0.2">
      <c r="A240" s="3">
        <v>75</v>
      </c>
      <c r="B240" s="3" t="s">
        <v>132</v>
      </c>
      <c r="C240" s="3">
        <v>2024</v>
      </c>
      <c r="D240" s="3">
        <v>0</v>
      </c>
      <c r="E240" s="3">
        <v>4</v>
      </c>
      <c r="F240" s="3"/>
      <c r="G240" s="3">
        <v>0</v>
      </c>
      <c r="H240" s="3">
        <v>2</v>
      </c>
      <c r="I240" s="3">
        <v>1</v>
      </c>
      <c r="J240" s="3">
        <v>1</v>
      </c>
      <c r="K240" s="3">
        <v>95</v>
      </c>
      <c r="L240" s="3">
        <v>65</v>
      </c>
      <c r="M240" s="3">
        <v>0</v>
      </c>
      <c r="N240" s="3">
        <v>51975038</v>
      </c>
      <c r="O240" s="3">
        <v>1</v>
      </c>
    </row>
    <row r="241" spans="1:50" x14ac:dyDescent="0.2">
      <c r="A241" s="5">
        <v>1</v>
      </c>
      <c r="B241" s="5" t="s">
        <v>133</v>
      </c>
      <c r="C241" s="5" t="s">
        <v>3</v>
      </c>
      <c r="D241" s="5">
        <v>0</v>
      </c>
      <c r="E241" s="5">
        <v>0</v>
      </c>
      <c r="F241" s="5">
        <v>1</v>
      </c>
      <c r="G241" s="5">
        <v>1</v>
      </c>
      <c r="H241" s="5">
        <v>0</v>
      </c>
      <c r="I241" s="5">
        <v>2</v>
      </c>
      <c r="J241" s="5">
        <v>1</v>
      </c>
      <c r="K241" s="5">
        <v>9.74</v>
      </c>
      <c r="L241" s="5">
        <v>7.11</v>
      </c>
      <c r="M241" s="5">
        <v>1</v>
      </c>
      <c r="N241" s="5">
        <v>1</v>
      </c>
      <c r="O241" s="5">
        <v>9.74</v>
      </c>
      <c r="P241" s="5">
        <v>7.11</v>
      </c>
      <c r="Q241" s="5">
        <v>1</v>
      </c>
      <c r="R241" s="5" t="s">
        <v>3</v>
      </c>
      <c r="S241" s="5" t="s">
        <v>3</v>
      </c>
      <c r="T241" s="5" t="s">
        <v>3</v>
      </c>
      <c r="U241" s="5" t="s">
        <v>3</v>
      </c>
      <c r="V241" s="5" t="s">
        <v>3</v>
      </c>
      <c r="W241" s="5" t="s">
        <v>3</v>
      </c>
      <c r="X241" s="5" t="s">
        <v>3</v>
      </c>
      <c r="Y241" s="5" t="s">
        <v>3</v>
      </c>
      <c r="Z241" s="5" t="s">
        <v>3</v>
      </c>
      <c r="AA241" s="5" t="s">
        <v>3</v>
      </c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>
        <v>51975039</v>
      </c>
      <c r="AO241" s="5"/>
      <c r="AP241" s="5"/>
      <c r="AQ241" s="5"/>
      <c r="AR241" s="5"/>
      <c r="AS241" s="5"/>
      <c r="AT241" s="5"/>
      <c r="AU241" s="5"/>
      <c r="AV241" s="5"/>
      <c r="AW241" s="5"/>
      <c r="AX241" s="5"/>
    </row>
    <row r="245" spans="1:50" x14ac:dyDescent="0.2">
      <c r="A245">
        <v>65</v>
      </c>
      <c r="C245">
        <v>1</v>
      </c>
      <c r="D245">
        <v>0</v>
      </c>
      <c r="E245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C53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134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73582</v>
      </c>
      <c r="M1">
        <v>10</v>
      </c>
      <c r="N1">
        <v>11</v>
      </c>
      <c r="O1">
        <v>13</v>
      </c>
      <c r="P1">
        <v>0</v>
      </c>
      <c r="Q1">
        <v>1</v>
      </c>
    </row>
    <row r="12" spans="1:133" x14ac:dyDescent="0.2">
      <c r="A12" s="1">
        <v>1</v>
      </c>
      <c r="B12" s="1">
        <v>52</v>
      </c>
      <c r="C12" s="1">
        <v>0</v>
      </c>
      <c r="D12" s="1"/>
      <c r="E12" s="1">
        <v>0</v>
      </c>
      <c r="F12" s="1" t="s">
        <v>4</v>
      </c>
      <c r="G12" s="1" t="s">
        <v>5</v>
      </c>
      <c r="H12" s="1" t="s">
        <v>3</v>
      </c>
      <c r="I12" s="1">
        <v>0</v>
      </c>
      <c r="J12" s="1" t="s">
        <v>3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160</v>
      </c>
      <c r="S12" s="1"/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6</v>
      </c>
      <c r="BI12" s="1" t="s">
        <v>7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8</v>
      </c>
      <c r="BZ12" s="1" t="s">
        <v>9</v>
      </c>
      <c r="CA12" s="1" t="s">
        <v>10</v>
      </c>
      <c r="CB12" s="1" t="s">
        <v>10</v>
      </c>
      <c r="CC12" s="1" t="s">
        <v>10</v>
      </c>
      <c r="CD12" s="1" t="s">
        <v>10</v>
      </c>
      <c r="CE12" s="1" t="s">
        <v>11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77</v>
      </c>
      <c r="CL12" s="1"/>
      <c r="CM12" s="1"/>
      <c r="CN12" s="1"/>
      <c r="CO12" s="1"/>
      <c r="CP12" s="1"/>
      <c r="CQ12" s="1" t="s">
        <v>12</v>
      </c>
      <c r="CR12" s="1" t="s">
        <v>13</v>
      </c>
      <c r="CS12" s="1">
        <v>41660</v>
      </c>
      <c r="CT12" s="1">
        <v>1</v>
      </c>
      <c r="CU12" s="1">
        <v>77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">
      <c r="A14" s="1">
        <v>22</v>
      </c>
      <c r="B14" s="1">
        <v>1</v>
      </c>
      <c r="C14" s="1">
        <v>0</v>
      </c>
      <c r="D14" s="1">
        <v>51975038</v>
      </c>
      <c r="E14" s="1">
        <v>0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">
      <c r="A16" s="6">
        <v>3</v>
      </c>
      <c r="B16" s="6">
        <v>1</v>
      </c>
      <c r="C16" s="6" t="s">
        <v>14</v>
      </c>
      <c r="D16" s="6" t="s">
        <v>15</v>
      </c>
      <c r="E16" s="7">
        <f>ROUND((Source!F113)/1000,2)</f>
        <v>0</v>
      </c>
      <c r="F16" s="7">
        <f>ROUND((Source!F114)/1000,2)</f>
        <v>0.98</v>
      </c>
      <c r="G16" s="7">
        <f>ROUND((Source!F105)/1000,2)</f>
        <v>143.26</v>
      </c>
      <c r="H16" s="7">
        <f>ROUND((Source!F115)/1000+(Source!F116)/1000,2)</f>
        <v>0</v>
      </c>
      <c r="I16" s="7">
        <f>E16+F16+G16+H16</f>
        <v>144.23999999999998</v>
      </c>
      <c r="J16" s="7">
        <f>ROUND((Source!F111+Source!F110)/1000,2)</f>
        <v>0.42</v>
      </c>
      <c r="AI16" s="6">
        <v>0</v>
      </c>
      <c r="AJ16" s="6">
        <v>-1</v>
      </c>
      <c r="AK16" s="6" t="s">
        <v>3</v>
      </c>
      <c r="AL16" s="6" t="s">
        <v>3</v>
      </c>
      <c r="AM16" s="6" t="s">
        <v>3</v>
      </c>
      <c r="AN16" s="6">
        <v>0</v>
      </c>
      <c r="AO16" s="6" t="s">
        <v>3</v>
      </c>
      <c r="AP16" s="6" t="s">
        <v>3</v>
      </c>
      <c r="AT16" s="7">
        <v>143684.72</v>
      </c>
      <c r="AU16" s="7">
        <v>143262.23000000001</v>
      </c>
      <c r="AV16" s="7">
        <v>0</v>
      </c>
      <c r="AW16" s="7">
        <v>143262.23000000001</v>
      </c>
      <c r="AX16" s="7">
        <v>0</v>
      </c>
      <c r="AY16" s="7">
        <v>6.59</v>
      </c>
      <c r="AZ16" s="7">
        <v>2.73</v>
      </c>
      <c r="BA16" s="7">
        <v>415.9</v>
      </c>
      <c r="BB16" s="7">
        <v>0</v>
      </c>
      <c r="BC16" s="7">
        <v>980.01</v>
      </c>
      <c r="BD16" s="7">
        <v>0</v>
      </c>
      <c r="BE16" s="7">
        <v>0</v>
      </c>
      <c r="BF16" s="7">
        <v>1.0784100000000001</v>
      </c>
      <c r="BG16" s="7">
        <v>0</v>
      </c>
      <c r="BH16" s="7">
        <v>0</v>
      </c>
      <c r="BI16" s="7">
        <v>382.63</v>
      </c>
      <c r="BJ16" s="7">
        <v>170.52</v>
      </c>
      <c r="BK16" s="7">
        <v>144242.23999999999</v>
      </c>
    </row>
    <row r="17" spans="1:63" x14ac:dyDescent="0.2">
      <c r="A17" s="6">
        <v>3</v>
      </c>
      <c r="B17" s="6">
        <v>2</v>
      </c>
      <c r="C17" s="6" t="s">
        <v>91</v>
      </c>
      <c r="D17" s="6" t="s">
        <v>92</v>
      </c>
      <c r="E17" s="7">
        <f>ROUND((Source!F189)/1000,2)</f>
        <v>0</v>
      </c>
      <c r="F17" s="7">
        <f>ROUND((Source!F190)/1000,2)</f>
        <v>0</v>
      </c>
      <c r="G17" s="7">
        <f>ROUND((Source!F181)/1000,2)</f>
        <v>0</v>
      </c>
      <c r="H17" s="7">
        <f>ROUND((Source!F191)/1000+(Source!F192)/1000,2)</f>
        <v>435.19</v>
      </c>
      <c r="I17" s="7">
        <f>E17+F17+G17+H17</f>
        <v>435.19</v>
      </c>
      <c r="J17" s="7">
        <f>ROUND((Source!F187+Source!F186)/1000,2)</f>
        <v>206.25</v>
      </c>
      <c r="AI17" s="6">
        <v>0</v>
      </c>
      <c r="AJ17" s="6">
        <v>-1</v>
      </c>
      <c r="AK17" s="6" t="s">
        <v>3</v>
      </c>
      <c r="AL17" s="6" t="s">
        <v>3</v>
      </c>
      <c r="AM17" s="6" t="s">
        <v>3</v>
      </c>
      <c r="AN17" s="6">
        <v>0</v>
      </c>
      <c r="AO17" s="6" t="s">
        <v>3</v>
      </c>
      <c r="AP17" s="6" t="s">
        <v>3</v>
      </c>
      <c r="AT17" s="7">
        <v>206250.64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206250.64</v>
      </c>
      <c r="BB17" s="7">
        <v>0</v>
      </c>
      <c r="BC17" s="7">
        <v>0</v>
      </c>
      <c r="BD17" s="7">
        <v>435188.85</v>
      </c>
      <c r="BE17" s="7">
        <v>0</v>
      </c>
      <c r="BF17" s="7">
        <v>325.04000000000002</v>
      </c>
      <c r="BG17" s="7">
        <v>0</v>
      </c>
      <c r="BH17" s="7">
        <v>0</v>
      </c>
      <c r="BI17" s="7">
        <v>144375.45000000001</v>
      </c>
      <c r="BJ17" s="7">
        <v>84562.76</v>
      </c>
      <c r="BK17" s="7">
        <v>435188.85</v>
      </c>
    </row>
    <row r="19" spans="1:63" x14ac:dyDescent="0.2">
      <c r="A19">
        <v>51</v>
      </c>
      <c r="E19">
        <v>0</v>
      </c>
      <c r="F19">
        <v>0.98</v>
      </c>
      <c r="G19">
        <v>143.26</v>
      </c>
      <c r="H19">
        <v>435.19</v>
      </c>
      <c r="I19">
        <v>579.42999999999995</v>
      </c>
      <c r="J19">
        <v>206.67</v>
      </c>
    </row>
    <row r="21" spans="1:63" x14ac:dyDescent="0.2">
      <c r="A21" s="4">
        <v>50</v>
      </c>
      <c r="B21" s="4">
        <v>0</v>
      </c>
      <c r="C21" s="4">
        <v>0</v>
      </c>
      <c r="D21" s="4">
        <v>1</v>
      </c>
      <c r="E21" s="4">
        <v>201</v>
      </c>
      <c r="F21" s="4">
        <v>349935.35999999999</v>
      </c>
      <c r="G21" s="4" t="s">
        <v>27</v>
      </c>
      <c r="H21" s="4" t="s">
        <v>28</v>
      </c>
      <c r="I21" s="4"/>
      <c r="J21" s="4"/>
      <c r="K21" s="4">
        <v>201</v>
      </c>
      <c r="L21" s="4">
        <v>1</v>
      </c>
      <c r="M21" s="4">
        <v>3</v>
      </c>
      <c r="N21" s="4" t="s">
        <v>3</v>
      </c>
      <c r="O21" s="4">
        <v>2</v>
      </c>
      <c r="P21" s="4"/>
    </row>
    <row r="22" spans="1:63" x14ac:dyDescent="0.2">
      <c r="A22" s="4">
        <v>50</v>
      </c>
      <c r="B22" s="4">
        <v>0</v>
      </c>
      <c r="C22" s="4">
        <v>0</v>
      </c>
      <c r="D22" s="4">
        <v>1</v>
      </c>
      <c r="E22" s="4">
        <v>202</v>
      </c>
      <c r="F22" s="4">
        <v>143262.23000000001</v>
      </c>
      <c r="G22" s="4" t="s">
        <v>29</v>
      </c>
      <c r="H22" s="4" t="s">
        <v>30</v>
      </c>
      <c r="I22" s="4"/>
      <c r="J22" s="4"/>
      <c r="K22" s="4">
        <v>202</v>
      </c>
      <c r="L22" s="4">
        <v>2</v>
      </c>
      <c r="M22" s="4">
        <v>3</v>
      </c>
      <c r="N22" s="4" t="s">
        <v>3</v>
      </c>
      <c r="O22" s="4">
        <v>2</v>
      </c>
      <c r="P22" s="4"/>
    </row>
    <row r="23" spans="1:63" x14ac:dyDescent="0.2">
      <c r="A23" s="4">
        <v>50</v>
      </c>
      <c r="B23" s="4">
        <v>0</v>
      </c>
      <c r="C23" s="4">
        <v>0</v>
      </c>
      <c r="D23" s="4">
        <v>1</v>
      </c>
      <c r="E23" s="4">
        <v>222</v>
      </c>
      <c r="F23" s="4">
        <v>0</v>
      </c>
      <c r="G23" s="4" t="s">
        <v>31</v>
      </c>
      <c r="H23" s="4" t="s">
        <v>32</v>
      </c>
      <c r="I23" s="4"/>
      <c r="J23" s="4"/>
      <c r="K23" s="4">
        <v>222</v>
      </c>
      <c r="L23" s="4">
        <v>3</v>
      </c>
      <c r="M23" s="4">
        <v>3</v>
      </c>
      <c r="N23" s="4" t="s">
        <v>3</v>
      </c>
      <c r="O23" s="4">
        <v>2</v>
      </c>
      <c r="P23" s="4"/>
    </row>
    <row r="24" spans="1:63" x14ac:dyDescent="0.2">
      <c r="A24" s="4">
        <v>50</v>
      </c>
      <c r="B24" s="4">
        <v>0</v>
      </c>
      <c r="C24" s="4">
        <v>0</v>
      </c>
      <c r="D24" s="4">
        <v>1</v>
      </c>
      <c r="E24" s="4">
        <v>225</v>
      </c>
      <c r="F24" s="4">
        <v>143262.23000000001</v>
      </c>
      <c r="G24" s="4" t="s">
        <v>33</v>
      </c>
      <c r="H24" s="4" t="s">
        <v>34</v>
      </c>
      <c r="I24" s="4"/>
      <c r="J24" s="4"/>
      <c r="K24" s="4">
        <v>225</v>
      </c>
      <c r="L24" s="4">
        <v>4</v>
      </c>
      <c r="M24" s="4">
        <v>3</v>
      </c>
      <c r="N24" s="4" t="s">
        <v>3</v>
      </c>
      <c r="O24" s="4">
        <v>2</v>
      </c>
      <c r="P24" s="4"/>
    </row>
    <row r="25" spans="1:63" x14ac:dyDescent="0.2">
      <c r="A25" s="4">
        <v>50</v>
      </c>
      <c r="B25" s="4">
        <v>0</v>
      </c>
      <c r="C25" s="4">
        <v>0</v>
      </c>
      <c r="D25" s="4">
        <v>1</v>
      </c>
      <c r="E25" s="4">
        <v>226</v>
      </c>
      <c r="F25" s="4">
        <v>0</v>
      </c>
      <c r="G25" s="4" t="s">
        <v>35</v>
      </c>
      <c r="H25" s="4" t="s">
        <v>36</v>
      </c>
      <c r="I25" s="4"/>
      <c r="J25" s="4"/>
      <c r="K25" s="4">
        <v>226</v>
      </c>
      <c r="L25" s="4">
        <v>5</v>
      </c>
      <c r="M25" s="4">
        <v>3</v>
      </c>
      <c r="N25" s="4" t="s">
        <v>3</v>
      </c>
      <c r="O25" s="4">
        <v>2</v>
      </c>
      <c r="P25" s="4"/>
    </row>
    <row r="26" spans="1:63" x14ac:dyDescent="0.2">
      <c r="A26" s="4">
        <v>50</v>
      </c>
      <c r="B26" s="4">
        <v>0</v>
      </c>
      <c r="C26" s="4">
        <v>0</v>
      </c>
      <c r="D26" s="4">
        <v>1</v>
      </c>
      <c r="E26" s="4">
        <v>227</v>
      </c>
      <c r="F26" s="4">
        <v>0</v>
      </c>
      <c r="G26" s="4" t="s">
        <v>37</v>
      </c>
      <c r="H26" s="4" t="s">
        <v>38</v>
      </c>
      <c r="I26" s="4"/>
      <c r="J26" s="4"/>
      <c r="K26" s="4">
        <v>227</v>
      </c>
      <c r="L26" s="4">
        <v>6</v>
      </c>
      <c r="M26" s="4">
        <v>3</v>
      </c>
      <c r="N26" s="4" t="s">
        <v>3</v>
      </c>
      <c r="O26" s="4">
        <v>2</v>
      </c>
      <c r="P26" s="4"/>
    </row>
    <row r="27" spans="1:63" x14ac:dyDescent="0.2">
      <c r="A27" s="4">
        <v>50</v>
      </c>
      <c r="B27" s="4">
        <v>0</v>
      </c>
      <c r="C27" s="4">
        <v>0</v>
      </c>
      <c r="D27" s="4">
        <v>1</v>
      </c>
      <c r="E27" s="4">
        <v>228</v>
      </c>
      <c r="F27" s="4">
        <v>0</v>
      </c>
      <c r="G27" s="4" t="s">
        <v>39</v>
      </c>
      <c r="H27" s="4" t="s">
        <v>40</v>
      </c>
      <c r="I27" s="4"/>
      <c r="J27" s="4"/>
      <c r="K27" s="4">
        <v>228</v>
      </c>
      <c r="L27" s="4">
        <v>7</v>
      </c>
      <c r="M27" s="4">
        <v>3</v>
      </c>
      <c r="N27" s="4" t="s">
        <v>3</v>
      </c>
      <c r="O27" s="4">
        <v>2</v>
      </c>
      <c r="P27" s="4"/>
    </row>
    <row r="28" spans="1:63" x14ac:dyDescent="0.2">
      <c r="A28" s="4">
        <v>50</v>
      </c>
      <c r="B28" s="4">
        <v>0</v>
      </c>
      <c r="C28" s="4">
        <v>0</v>
      </c>
      <c r="D28" s="4">
        <v>1</v>
      </c>
      <c r="E28" s="4">
        <v>216</v>
      </c>
      <c r="F28" s="4">
        <v>143262.23000000001</v>
      </c>
      <c r="G28" s="4" t="s">
        <v>41</v>
      </c>
      <c r="H28" s="4" t="s">
        <v>42</v>
      </c>
      <c r="I28" s="4"/>
      <c r="J28" s="4"/>
      <c r="K28" s="4">
        <v>216</v>
      </c>
      <c r="L28" s="4">
        <v>8</v>
      </c>
      <c r="M28" s="4">
        <v>3</v>
      </c>
      <c r="N28" s="4" t="s">
        <v>3</v>
      </c>
      <c r="O28" s="4">
        <v>2</v>
      </c>
      <c r="P28" s="4"/>
    </row>
    <row r="29" spans="1:63" x14ac:dyDescent="0.2">
      <c r="A29" s="4">
        <v>50</v>
      </c>
      <c r="B29" s="4">
        <v>0</v>
      </c>
      <c r="C29" s="4">
        <v>0</v>
      </c>
      <c r="D29" s="4">
        <v>1</v>
      </c>
      <c r="E29" s="4">
        <v>223</v>
      </c>
      <c r="F29" s="4">
        <v>0</v>
      </c>
      <c r="G29" s="4" t="s">
        <v>43</v>
      </c>
      <c r="H29" s="4" t="s">
        <v>44</v>
      </c>
      <c r="I29" s="4"/>
      <c r="J29" s="4"/>
      <c r="K29" s="4">
        <v>223</v>
      </c>
      <c r="L29" s="4">
        <v>9</v>
      </c>
      <c r="M29" s="4">
        <v>3</v>
      </c>
      <c r="N29" s="4" t="s">
        <v>3</v>
      </c>
      <c r="O29" s="4">
        <v>2</v>
      </c>
      <c r="P29" s="4"/>
    </row>
    <row r="30" spans="1:63" x14ac:dyDescent="0.2">
      <c r="A30" s="4">
        <v>50</v>
      </c>
      <c r="B30" s="4">
        <v>0</v>
      </c>
      <c r="C30" s="4">
        <v>0</v>
      </c>
      <c r="D30" s="4">
        <v>1</v>
      </c>
      <c r="E30" s="4">
        <v>229</v>
      </c>
      <c r="F30" s="4">
        <v>143262.23000000001</v>
      </c>
      <c r="G30" s="4" t="s">
        <v>45</v>
      </c>
      <c r="H30" s="4" t="s">
        <v>46</v>
      </c>
      <c r="I30" s="4"/>
      <c r="J30" s="4"/>
      <c r="K30" s="4">
        <v>229</v>
      </c>
      <c r="L30" s="4">
        <v>10</v>
      </c>
      <c r="M30" s="4">
        <v>3</v>
      </c>
      <c r="N30" s="4" t="s">
        <v>3</v>
      </c>
      <c r="O30" s="4">
        <v>2</v>
      </c>
      <c r="P30" s="4"/>
    </row>
    <row r="31" spans="1:63" x14ac:dyDescent="0.2">
      <c r="A31" s="4">
        <v>50</v>
      </c>
      <c r="B31" s="4">
        <v>0</v>
      </c>
      <c r="C31" s="4">
        <v>0</v>
      </c>
      <c r="D31" s="4">
        <v>1</v>
      </c>
      <c r="E31" s="4">
        <v>203</v>
      </c>
      <c r="F31" s="4">
        <v>6.59</v>
      </c>
      <c r="G31" s="4" t="s">
        <v>47</v>
      </c>
      <c r="H31" s="4" t="s">
        <v>48</v>
      </c>
      <c r="I31" s="4"/>
      <c r="J31" s="4"/>
      <c r="K31" s="4">
        <v>203</v>
      </c>
      <c r="L31" s="4">
        <v>11</v>
      </c>
      <c r="M31" s="4">
        <v>3</v>
      </c>
      <c r="N31" s="4" t="s">
        <v>3</v>
      </c>
      <c r="O31" s="4">
        <v>2</v>
      </c>
      <c r="P31" s="4"/>
    </row>
    <row r="32" spans="1:63" x14ac:dyDescent="0.2">
      <c r="A32" s="4">
        <v>50</v>
      </c>
      <c r="B32" s="4">
        <v>0</v>
      </c>
      <c r="C32" s="4">
        <v>0</v>
      </c>
      <c r="D32" s="4">
        <v>1</v>
      </c>
      <c r="E32" s="4">
        <v>231</v>
      </c>
      <c r="F32" s="4">
        <v>0</v>
      </c>
      <c r="G32" s="4" t="s">
        <v>49</v>
      </c>
      <c r="H32" s="4" t="s">
        <v>50</v>
      </c>
      <c r="I32" s="4"/>
      <c r="J32" s="4"/>
      <c r="K32" s="4">
        <v>231</v>
      </c>
      <c r="L32" s="4">
        <v>12</v>
      </c>
      <c r="M32" s="4">
        <v>3</v>
      </c>
      <c r="N32" s="4" t="s">
        <v>3</v>
      </c>
      <c r="O32" s="4">
        <v>2</v>
      </c>
      <c r="P32" s="4"/>
    </row>
    <row r="33" spans="1:16" x14ac:dyDescent="0.2">
      <c r="A33" s="4">
        <v>50</v>
      </c>
      <c r="B33" s="4">
        <v>0</v>
      </c>
      <c r="C33" s="4">
        <v>0</v>
      </c>
      <c r="D33" s="4">
        <v>1</v>
      </c>
      <c r="E33" s="4">
        <v>204</v>
      </c>
      <c r="F33" s="4">
        <v>2.73</v>
      </c>
      <c r="G33" s="4" t="s">
        <v>51</v>
      </c>
      <c r="H33" s="4" t="s">
        <v>52</v>
      </c>
      <c r="I33" s="4"/>
      <c r="J33" s="4"/>
      <c r="K33" s="4">
        <v>204</v>
      </c>
      <c r="L33" s="4">
        <v>13</v>
      </c>
      <c r="M33" s="4">
        <v>3</v>
      </c>
      <c r="N33" s="4" t="s">
        <v>3</v>
      </c>
      <c r="O33" s="4">
        <v>2</v>
      </c>
      <c r="P33" s="4"/>
    </row>
    <row r="34" spans="1:16" x14ac:dyDescent="0.2">
      <c r="A34" s="4">
        <v>50</v>
      </c>
      <c r="B34" s="4">
        <v>0</v>
      </c>
      <c r="C34" s="4">
        <v>0</v>
      </c>
      <c r="D34" s="4">
        <v>1</v>
      </c>
      <c r="E34" s="4">
        <v>205</v>
      </c>
      <c r="F34" s="4">
        <v>206666.54</v>
      </c>
      <c r="G34" s="4" t="s">
        <v>53</v>
      </c>
      <c r="H34" s="4" t="s">
        <v>54</v>
      </c>
      <c r="I34" s="4"/>
      <c r="J34" s="4"/>
      <c r="K34" s="4">
        <v>205</v>
      </c>
      <c r="L34" s="4">
        <v>14</v>
      </c>
      <c r="M34" s="4">
        <v>3</v>
      </c>
      <c r="N34" s="4" t="s">
        <v>3</v>
      </c>
      <c r="O34" s="4">
        <v>2</v>
      </c>
      <c r="P34" s="4"/>
    </row>
    <row r="35" spans="1:16" x14ac:dyDescent="0.2">
      <c r="A35" s="4">
        <v>50</v>
      </c>
      <c r="B35" s="4">
        <v>0</v>
      </c>
      <c r="C35" s="4">
        <v>0</v>
      </c>
      <c r="D35" s="4">
        <v>1</v>
      </c>
      <c r="E35" s="4">
        <v>232</v>
      </c>
      <c r="F35" s="4">
        <v>0</v>
      </c>
      <c r="G35" s="4" t="s">
        <v>55</v>
      </c>
      <c r="H35" s="4" t="s">
        <v>56</v>
      </c>
      <c r="I35" s="4"/>
      <c r="J35" s="4"/>
      <c r="K35" s="4">
        <v>232</v>
      </c>
      <c r="L35" s="4">
        <v>15</v>
      </c>
      <c r="M35" s="4">
        <v>3</v>
      </c>
      <c r="N35" s="4" t="s">
        <v>3</v>
      </c>
      <c r="O35" s="4">
        <v>2</v>
      </c>
      <c r="P35" s="4"/>
    </row>
    <row r="36" spans="1:16" x14ac:dyDescent="0.2">
      <c r="A36" s="4">
        <v>50</v>
      </c>
      <c r="B36" s="4">
        <v>0</v>
      </c>
      <c r="C36" s="4">
        <v>0</v>
      </c>
      <c r="D36" s="4">
        <v>1</v>
      </c>
      <c r="E36" s="4">
        <v>214</v>
      </c>
      <c r="F36" s="4">
        <v>0</v>
      </c>
      <c r="G36" s="4" t="s">
        <v>57</v>
      </c>
      <c r="H36" s="4" t="s">
        <v>58</v>
      </c>
      <c r="I36" s="4"/>
      <c r="J36" s="4"/>
      <c r="K36" s="4">
        <v>214</v>
      </c>
      <c r="L36" s="4">
        <v>16</v>
      </c>
      <c r="M36" s="4">
        <v>3</v>
      </c>
      <c r="N36" s="4" t="s">
        <v>3</v>
      </c>
      <c r="O36" s="4">
        <v>2</v>
      </c>
      <c r="P36" s="4"/>
    </row>
    <row r="37" spans="1:16" x14ac:dyDescent="0.2">
      <c r="A37" s="4">
        <v>50</v>
      </c>
      <c r="B37" s="4">
        <v>0</v>
      </c>
      <c r="C37" s="4">
        <v>0</v>
      </c>
      <c r="D37" s="4">
        <v>1</v>
      </c>
      <c r="E37" s="4">
        <v>215</v>
      </c>
      <c r="F37" s="4">
        <v>980.01</v>
      </c>
      <c r="G37" s="4" t="s">
        <v>59</v>
      </c>
      <c r="H37" s="4" t="s">
        <v>60</v>
      </c>
      <c r="I37" s="4"/>
      <c r="J37" s="4"/>
      <c r="K37" s="4">
        <v>215</v>
      </c>
      <c r="L37" s="4">
        <v>17</v>
      </c>
      <c r="M37" s="4">
        <v>3</v>
      </c>
      <c r="N37" s="4" t="s">
        <v>3</v>
      </c>
      <c r="O37" s="4">
        <v>2</v>
      </c>
      <c r="P37" s="4"/>
    </row>
    <row r="38" spans="1:16" x14ac:dyDescent="0.2">
      <c r="A38" s="4">
        <v>50</v>
      </c>
      <c r="B38" s="4">
        <v>0</v>
      </c>
      <c r="C38" s="4">
        <v>0</v>
      </c>
      <c r="D38" s="4">
        <v>1</v>
      </c>
      <c r="E38" s="4">
        <v>217</v>
      </c>
      <c r="F38" s="4">
        <v>435188.85</v>
      </c>
      <c r="G38" s="4" t="s">
        <v>61</v>
      </c>
      <c r="H38" s="4" t="s">
        <v>62</v>
      </c>
      <c r="I38" s="4"/>
      <c r="J38" s="4"/>
      <c r="K38" s="4">
        <v>217</v>
      </c>
      <c r="L38" s="4">
        <v>18</v>
      </c>
      <c r="M38" s="4">
        <v>3</v>
      </c>
      <c r="N38" s="4" t="s">
        <v>3</v>
      </c>
      <c r="O38" s="4">
        <v>2</v>
      </c>
      <c r="P38" s="4"/>
    </row>
    <row r="39" spans="1:16" x14ac:dyDescent="0.2">
      <c r="A39" s="4">
        <v>50</v>
      </c>
      <c r="B39" s="4">
        <v>0</v>
      </c>
      <c r="C39" s="4">
        <v>0</v>
      </c>
      <c r="D39" s="4">
        <v>1</v>
      </c>
      <c r="E39" s="4">
        <v>230</v>
      </c>
      <c r="F39" s="4">
        <v>0</v>
      </c>
      <c r="G39" s="4" t="s">
        <v>63</v>
      </c>
      <c r="H39" s="4" t="s">
        <v>64</v>
      </c>
      <c r="I39" s="4"/>
      <c r="J39" s="4"/>
      <c r="K39" s="4">
        <v>230</v>
      </c>
      <c r="L39" s="4">
        <v>19</v>
      </c>
      <c r="M39" s="4">
        <v>3</v>
      </c>
      <c r="N39" s="4" t="s">
        <v>3</v>
      </c>
      <c r="O39" s="4">
        <v>2</v>
      </c>
      <c r="P39" s="4"/>
    </row>
    <row r="40" spans="1:16" x14ac:dyDescent="0.2">
      <c r="A40" s="4">
        <v>50</v>
      </c>
      <c r="B40" s="4">
        <v>0</v>
      </c>
      <c r="C40" s="4">
        <v>0</v>
      </c>
      <c r="D40" s="4">
        <v>1</v>
      </c>
      <c r="E40" s="4">
        <v>206</v>
      </c>
      <c r="F40" s="4">
        <v>0</v>
      </c>
      <c r="G40" s="4" t="s">
        <v>65</v>
      </c>
      <c r="H40" s="4" t="s">
        <v>66</v>
      </c>
      <c r="I40" s="4"/>
      <c r="J40" s="4"/>
      <c r="K40" s="4">
        <v>206</v>
      </c>
      <c r="L40" s="4">
        <v>20</v>
      </c>
      <c r="M40" s="4">
        <v>3</v>
      </c>
      <c r="N40" s="4" t="s">
        <v>3</v>
      </c>
      <c r="O40" s="4">
        <v>2</v>
      </c>
      <c r="P40" s="4"/>
    </row>
    <row r="41" spans="1:16" x14ac:dyDescent="0.2">
      <c r="A41" s="4">
        <v>50</v>
      </c>
      <c r="B41" s="4">
        <v>0</v>
      </c>
      <c r="C41" s="4">
        <v>0</v>
      </c>
      <c r="D41" s="4">
        <v>1</v>
      </c>
      <c r="E41" s="4">
        <v>207</v>
      </c>
      <c r="F41" s="4">
        <v>326.11840999999998</v>
      </c>
      <c r="G41" s="4" t="s">
        <v>67</v>
      </c>
      <c r="H41" s="4" t="s">
        <v>68</v>
      </c>
      <c r="I41" s="4"/>
      <c r="J41" s="4"/>
      <c r="K41" s="4">
        <v>207</v>
      </c>
      <c r="L41" s="4">
        <v>21</v>
      </c>
      <c r="M41" s="4">
        <v>3</v>
      </c>
      <c r="N41" s="4" t="s">
        <v>3</v>
      </c>
      <c r="O41" s="4">
        <v>-1</v>
      </c>
      <c r="P41" s="4"/>
    </row>
    <row r="42" spans="1:16" x14ac:dyDescent="0.2">
      <c r="A42" s="4">
        <v>50</v>
      </c>
      <c r="B42" s="4">
        <v>0</v>
      </c>
      <c r="C42" s="4">
        <v>0</v>
      </c>
      <c r="D42" s="4">
        <v>1</v>
      </c>
      <c r="E42" s="4">
        <v>208</v>
      </c>
      <c r="F42" s="4">
        <v>0</v>
      </c>
      <c r="G42" s="4" t="s">
        <v>69</v>
      </c>
      <c r="H42" s="4" t="s">
        <v>70</v>
      </c>
      <c r="I42" s="4"/>
      <c r="J42" s="4"/>
      <c r="K42" s="4">
        <v>208</v>
      </c>
      <c r="L42" s="4">
        <v>22</v>
      </c>
      <c r="M42" s="4">
        <v>3</v>
      </c>
      <c r="N42" s="4" t="s">
        <v>3</v>
      </c>
      <c r="O42" s="4">
        <v>-1</v>
      </c>
      <c r="P42" s="4"/>
    </row>
    <row r="43" spans="1:16" x14ac:dyDescent="0.2">
      <c r="A43" s="4">
        <v>50</v>
      </c>
      <c r="B43" s="4">
        <v>0</v>
      </c>
      <c r="C43" s="4">
        <v>0</v>
      </c>
      <c r="D43" s="4">
        <v>1</v>
      </c>
      <c r="E43" s="4">
        <v>209</v>
      </c>
      <c r="F43" s="4">
        <v>0</v>
      </c>
      <c r="G43" s="4" t="s">
        <v>71</v>
      </c>
      <c r="H43" s="4" t="s">
        <v>72</v>
      </c>
      <c r="I43" s="4"/>
      <c r="J43" s="4"/>
      <c r="K43" s="4">
        <v>209</v>
      </c>
      <c r="L43" s="4">
        <v>23</v>
      </c>
      <c r="M43" s="4">
        <v>3</v>
      </c>
      <c r="N43" s="4" t="s">
        <v>3</v>
      </c>
      <c r="O43" s="4">
        <v>2</v>
      </c>
      <c r="P43" s="4"/>
    </row>
    <row r="44" spans="1:16" x14ac:dyDescent="0.2">
      <c r="A44" s="4">
        <v>50</v>
      </c>
      <c r="B44" s="4">
        <v>0</v>
      </c>
      <c r="C44" s="4">
        <v>0</v>
      </c>
      <c r="D44" s="4">
        <v>1</v>
      </c>
      <c r="E44" s="4">
        <v>233</v>
      </c>
      <c r="F44" s="4">
        <v>0</v>
      </c>
      <c r="G44" s="4" t="s">
        <v>73</v>
      </c>
      <c r="H44" s="4" t="s">
        <v>74</v>
      </c>
      <c r="I44" s="4"/>
      <c r="J44" s="4"/>
      <c r="K44" s="4">
        <v>233</v>
      </c>
      <c r="L44" s="4">
        <v>24</v>
      </c>
      <c r="M44" s="4">
        <v>3</v>
      </c>
      <c r="N44" s="4" t="s">
        <v>3</v>
      </c>
      <c r="O44" s="4">
        <v>2</v>
      </c>
      <c r="P44" s="4"/>
    </row>
    <row r="45" spans="1:16" x14ac:dyDescent="0.2">
      <c r="A45" s="4">
        <v>50</v>
      </c>
      <c r="B45" s="4">
        <v>0</v>
      </c>
      <c r="C45" s="4">
        <v>0</v>
      </c>
      <c r="D45" s="4">
        <v>1</v>
      </c>
      <c r="E45" s="4">
        <v>210</v>
      </c>
      <c r="F45" s="4">
        <v>144758.07999999999</v>
      </c>
      <c r="G45" s="4" t="s">
        <v>75</v>
      </c>
      <c r="H45" s="4" t="s">
        <v>76</v>
      </c>
      <c r="I45" s="4"/>
      <c r="J45" s="4"/>
      <c r="K45" s="4">
        <v>210</v>
      </c>
      <c r="L45" s="4">
        <v>25</v>
      </c>
      <c r="M45" s="4">
        <v>3</v>
      </c>
      <c r="N45" s="4" t="s">
        <v>3</v>
      </c>
      <c r="O45" s="4">
        <v>2</v>
      </c>
      <c r="P45" s="4"/>
    </row>
    <row r="46" spans="1:16" x14ac:dyDescent="0.2">
      <c r="A46" s="4">
        <v>50</v>
      </c>
      <c r="B46" s="4">
        <v>0</v>
      </c>
      <c r="C46" s="4">
        <v>0</v>
      </c>
      <c r="D46" s="4">
        <v>1</v>
      </c>
      <c r="E46" s="4">
        <v>211</v>
      </c>
      <c r="F46" s="4">
        <v>84733.28</v>
      </c>
      <c r="G46" s="4" t="s">
        <v>77</v>
      </c>
      <c r="H46" s="4" t="s">
        <v>78</v>
      </c>
      <c r="I46" s="4"/>
      <c r="J46" s="4"/>
      <c r="K46" s="4">
        <v>211</v>
      </c>
      <c r="L46" s="4">
        <v>26</v>
      </c>
      <c r="M46" s="4">
        <v>3</v>
      </c>
      <c r="N46" s="4" t="s">
        <v>3</v>
      </c>
      <c r="O46" s="4">
        <v>2</v>
      </c>
      <c r="P46" s="4"/>
    </row>
    <row r="47" spans="1:16" x14ac:dyDescent="0.2">
      <c r="A47" s="4">
        <v>50</v>
      </c>
      <c r="B47" s="4">
        <v>0</v>
      </c>
      <c r="C47" s="4">
        <v>0</v>
      </c>
      <c r="D47" s="4">
        <v>1</v>
      </c>
      <c r="E47" s="4">
        <v>224</v>
      </c>
      <c r="F47" s="4">
        <v>579431.09</v>
      </c>
      <c r="G47" s="4" t="s">
        <v>79</v>
      </c>
      <c r="H47" s="4" t="s">
        <v>80</v>
      </c>
      <c r="I47" s="4"/>
      <c r="J47" s="4"/>
      <c r="K47" s="4">
        <v>224</v>
      </c>
      <c r="L47" s="4">
        <v>27</v>
      </c>
      <c r="M47" s="4">
        <v>3</v>
      </c>
      <c r="N47" s="4" t="s">
        <v>3</v>
      </c>
      <c r="O47" s="4">
        <v>2</v>
      </c>
      <c r="P47" s="4"/>
    </row>
    <row r="49" spans="1:50" x14ac:dyDescent="0.2">
      <c r="A49">
        <v>-1</v>
      </c>
    </row>
    <row r="52" spans="1:50" x14ac:dyDescent="0.2">
      <c r="A52" s="3">
        <v>75</v>
      </c>
      <c r="B52" s="3" t="s">
        <v>132</v>
      </c>
      <c r="C52" s="3">
        <v>2024</v>
      </c>
      <c r="D52" s="3">
        <v>0</v>
      </c>
      <c r="E52" s="3">
        <v>4</v>
      </c>
      <c r="F52" s="3"/>
      <c r="G52" s="3">
        <v>0</v>
      </c>
      <c r="H52" s="3">
        <v>2</v>
      </c>
      <c r="I52" s="3">
        <v>1</v>
      </c>
      <c r="J52" s="3">
        <v>1</v>
      </c>
      <c r="K52" s="3">
        <v>95</v>
      </c>
      <c r="L52" s="3">
        <v>65</v>
      </c>
      <c r="M52" s="3">
        <v>0</v>
      </c>
      <c r="N52" s="3">
        <v>51975038</v>
      </c>
      <c r="O52" s="3">
        <v>1</v>
      </c>
    </row>
    <row r="53" spans="1:50" x14ac:dyDescent="0.2">
      <c r="A53" s="5">
        <v>1</v>
      </c>
      <c r="B53" s="5" t="s">
        <v>133</v>
      </c>
      <c r="C53" s="5" t="s">
        <v>3</v>
      </c>
      <c r="D53" s="5">
        <v>0</v>
      </c>
      <c r="E53" s="5">
        <v>0</v>
      </c>
      <c r="F53" s="5">
        <v>1</v>
      </c>
      <c r="G53" s="5">
        <v>1</v>
      </c>
      <c r="H53" s="5">
        <v>0</v>
      </c>
      <c r="I53" s="5">
        <v>2</v>
      </c>
      <c r="J53" s="5">
        <v>1</v>
      </c>
      <c r="K53" s="5">
        <v>9.74</v>
      </c>
      <c r="L53" s="5">
        <v>7.11</v>
      </c>
      <c r="M53" s="5">
        <v>1</v>
      </c>
      <c r="N53" s="5">
        <v>1</v>
      </c>
      <c r="O53" s="5">
        <v>9.74</v>
      </c>
      <c r="P53" s="5">
        <v>7.11</v>
      </c>
      <c r="Q53" s="5">
        <v>1</v>
      </c>
      <c r="R53" s="5" t="s">
        <v>3</v>
      </c>
      <c r="S53" s="5" t="s">
        <v>3</v>
      </c>
      <c r="T53" s="5" t="s">
        <v>3</v>
      </c>
      <c r="U53" s="5" t="s">
        <v>3</v>
      </c>
      <c r="V53" s="5" t="s">
        <v>3</v>
      </c>
      <c r="W53" s="5" t="s">
        <v>3</v>
      </c>
      <c r="X53" s="5" t="s">
        <v>3</v>
      </c>
      <c r="Y53" s="5" t="s">
        <v>3</v>
      </c>
      <c r="Z53" s="5" t="s">
        <v>3</v>
      </c>
      <c r="AA53" s="5" t="s">
        <v>3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>
        <v>51975039</v>
      </c>
      <c r="AO53" s="5"/>
      <c r="AP53" s="5"/>
      <c r="AQ53" s="5"/>
      <c r="AR53" s="5"/>
      <c r="AS53" s="5"/>
      <c r="AT53" s="5"/>
      <c r="AU53" s="5"/>
      <c r="AV53" s="5"/>
      <c r="AW53" s="5"/>
      <c r="AX53" s="5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I232"/>
  <sheetViews>
    <sheetView workbookViewId="0"/>
  </sheetViews>
  <sheetFormatPr defaultColWidth="9.140625" defaultRowHeight="12.75" x14ac:dyDescent="0.2"/>
  <cols>
    <col min="1" max="256" width="9.140625" customWidth="1"/>
  </cols>
  <sheetData>
    <row r="232" spans="9:9" x14ac:dyDescent="0.2">
      <c r="I23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10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44" x14ac:dyDescent="0.2">
      <c r="A1">
        <f>ROW(Source!A28)</f>
        <v>28</v>
      </c>
      <c r="B1">
        <v>51975334</v>
      </c>
      <c r="C1">
        <v>51975333</v>
      </c>
      <c r="D1">
        <v>51377563</v>
      </c>
      <c r="E1">
        <v>1077</v>
      </c>
      <c r="F1">
        <v>1</v>
      </c>
      <c r="G1">
        <v>1077</v>
      </c>
      <c r="H1">
        <v>1</v>
      </c>
      <c r="I1" t="s">
        <v>135</v>
      </c>
      <c r="J1" t="s">
        <v>3</v>
      </c>
      <c r="K1" t="s">
        <v>136</v>
      </c>
      <c r="L1">
        <v>1191</v>
      </c>
      <c r="N1">
        <v>1013</v>
      </c>
      <c r="O1" t="s">
        <v>137</v>
      </c>
      <c r="P1" t="s">
        <v>137</v>
      </c>
      <c r="Q1">
        <v>1</v>
      </c>
      <c r="X1">
        <v>1.03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3</v>
      </c>
      <c r="AG1">
        <v>1.03</v>
      </c>
      <c r="AH1">
        <v>3</v>
      </c>
      <c r="AI1">
        <v>-1</v>
      </c>
      <c r="AJ1" t="s">
        <v>3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">
      <c r="A2">
        <f>ROW(Source!A28)</f>
        <v>28</v>
      </c>
      <c r="B2">
        <v>51975335</v>
      </c>
      <c r="C2">
        <v>51975333</v>
      </c>
      <c r="D2">
        <v>51455066</v>
      </c>
      <c r="E2">
        <v>1</v>
      </c>
      <c r="F2">
        <v>1</v>
      </c>
      <c r="G2">
        <v>1077</v>
      </c>
      <c r="H2">
        <v>2</v>
      </c>
      <c r="I2" t="s">
        <v>138</v>
      </c>
      <c r="J2" t="s">
        <v>139</v>
      </c>
      <c r="K2" t="s">
        <v>140</v>
      </c>
      <c r="L2">
        <v>1368</v>
      </c>
      <c r="N2">
        <v>1011</v>
      </c>
      <c r="O2" t="s">
        <v>141</v>
      </c>
      <c r="P2" t="s">
        <v>141</v>
      </c>
      <c r="Q2">
        <v>1</v>
      </c>
      <c r="X2">
        <v>6.0000000000000001E-3</v>
      </c>
      <c r="Y2">
        <v>0</v>
      </c>
      <c r="Z2">
        <v>83.1</v>
      </c>
      <c r="AA2">
        <v>12.62</v>
      </c>
      <c r="AB2">
        <v>0</v>
      </c>
      <c r="AC2">
        <v>0</v>
      </c>
      <c r="AD2">
        <v>1</v>
      </c>
      <c r="AE2">
        <v>0</v>
      </c>
      <c r="AF2" t="s">
        <v>3</v>
      </c>
      <c r="AG2">
        <v>6.0000000000000001E-3</v>
      </c>
      <c r="AH2">
        <v>3</v>
      </c>
      <c r="AI2">
        <v>-1</v>
      </c>
      <c r="AJ2" t="s">
        <v>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>
        <f>ROW(Source!A28)</f>
        <v>28</v>
      </c>
      <c r="B3">
        <v>51975336</v>
      </c>
      <c r="C3">
        <v>51975333</v>
      </c>
      <c r="D3">
        <v>51405942</v>
      </c>
      <c r="E3">
        <v>1077</v>
      </c>
      <c r="F3">
        <v>1</v>
      </c>
      <c r="G3">
        <v>1077</v>
      </c>
      <c r="H3">
        <v>3</v>
      </c>
      <c r="I3" t="s">
        <v>142</v>
      </c>
      <c r="J3" t="s">
        <v>3</v>
      </c>
      <c r="K3" t="s">
        <v>143</v>
      </c>
      <c r="L3">
        <v>1354</v>
      </c>
      <c r="N3">
        <v>1010</v>
      </c>
      <c r="O3" t="s">
        <v>85</v>
      </c>
      <c r="P3" t="s">
        <v>85</v>
      </c>
      <c r="Q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 t="s">
        <v>3</v>
      </c>
      <c r="AG3">
        <v>1</v>
      </c>
      <c r="AH3">
        <v>3</v>
      </c>
      <c r="AI3">
        <v>-1</v>
      </c>
      <c r="AJ3" t="s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>
        <f>ROW(Source!A134)</f>
        <v>134</v>
      </c>
      <c r="B4">
        <v>51975339</v>
      </c>
      <c r="C4">
        <v>51975338</v>
      </c>
      <c r="D4">
        <v>51377563</v>
      </c>
      <c r="E4">
        <v>1077</v>
      </c>
      <c r="F4">
        <v>1</v>
      </c>
      <c r="G4">
        <v>1077</v>
      </c>
      <c r="H4">
        <v>1</v>
      </c>
      <c r="I4" t="s">
        <v>135</v>
      </c>
      <c r="J4" t="s">
        <v>3</v>
      </c>
      <c r="K4" t="s">
        <v>136</v>
      </c>
      <c r="L4">
        <v>1191</v>
      </c>
      <c r="N4">
        <v>1013</v>
      </c>
      <c r="O4" t="s">
        <v>137</v>
      </c>
      <c r="P4" t="s">
        <v>137</v>
      </c>
      <c r="Q4">
        <v>1</v>
      </c>
      <c r="X4">
        <v>74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1</v>
      </c>
      <c r="AF4" t="s">
        <v>99</v>
      </c>
      <c r="AG4">
        <v>59.2</v>
      </c>
      <c r="AH4">
        <v>3</v>
      </c>
      <c r="AI4">
        <v>-1</v>
      </c>
      <c r="AJ4" t="s">
        <v>3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>
        <f>ROW(Source!A135)</f>
        <v>135</v>
      </c>
      <c r="B5">
        <v>51975341</v>
      </c>
      <c r="C5">
        <v>51975340</v>
      </c>
      <c r="D5">
        <v>51377563</v>
      </c>
      <c r="E5">
        <v>1077</v>
      </c>
      <c r="F5">
        <v>1</v>
      </c>
      <c r="G5">
        <v>1077</v>
      </c>
      <c r="H5">
        <v>1</v>
      </c>
      <c r="I5" t="s">
        <v>135</v>
      </c>
      <c r="J5" t="s">
        <v>3</v>
      </c>
      <c r="K5" t="s">
        <v>136</v>
      </c>
      <c r="L5">
        <v>1191</v>
      </c>
      <c r="N5">
        <v>1013</v>
      </c>
      <c r="O5" t="s">
        <v>137</v>
      </c>
      <c r="P5" t="s">
        <v>137</v>
      </c>
      <c r="Q5">
        <v>1</v>
      </c>
      <c r="X5">
        <v>72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1</v>
      </c>
      <c r="AF5" t="s">
        <v>99</v>
      </c>
      <c r="AG5">
        <v>57.6</v>
      </c>
      <c r="AH5">
        <v>3</v>
      </c>
      <c r="AI5">
        <v>-1</v>
      </c>
      <c r="AJ5" t="s">
        <v>3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>
        <f>ROW(Source!A136)</f>
        <v>136</v>
      </c>
      <c r="B6">
        <v>51975343</v>
      </c>
      <c r="C6">
        <v>51975342</v>
      </c>
      <c r="D6">
        <v>51377563</v>
      </c>
      <c r="E6">
        <v>1077</v>
      </c>
      <c r="F6">
        <v>1</v>
      </c>
      <c r="G6">
        <v>1077</v>
      </c>
      <c r="H6">
        <v>1</v>
      </c>
      <c r="I6" t="s">
        <v>135</v>
      </c>
      <c r="J6" t="s">
        <v>3</v>
      </c>
      <c r="K6" t="s">
        <v>136</v>
      </c>
      <c r="L6">
        <v>1191</v>
      </c>
      <c r="N6">
        <v>1013</v>
      </c>
      <c r="O6" t="s">
        <v>137</v>
      </c>
      <c r="P6" t="s">
        <v>137</v>
      </c>
      <c r="Q6">
        <v>1</v>
      </c>
      <c r="X6">
        <v>29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1</v>
      </c>
      <c r="AF6" t="s">
        <v>99</v>
      </c>
      <c r="AG6">
        <v>23.200000000000003</v>
      </c>
      <c r="AH6">
        <v>3</v>
      </c>
      <c r="AI6">
        <v>-1</v>
      </c>
      <c r="AJ6" t="s">
        <v>3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>
        <f>ROW(Source!A137)</f>
        <v>137</v>
      </c>
      <c r="B7">
        <v>51975345</v>
      </c>
      <c r="C7">
        <v>51975344</v>
      </c>
      <c r="D7">
        <v>51377563</v>
      </c>
      <c r="E7">
        <v>1077</v>
      </c>
      <c r="F7">
        <v>1</v>
      </c>
      <c r="G7">
        <v>1077</v>
      </c>
      <c r="H7">
        <v>1</v>
      </c>
      <c r="I7" t="s">
        <v>135</v>
      </c>
      <c r="J7" t="s">
        <v>3</v>
      </c>
      <c r="K7" t="s">
        <v>136</v>
      </c>
      <c r="L7">
        <v>1191</v>
      </c>
      <c r="N7">
        <v>1013</v>
      </c>
      <c r="O7" t="s">
        <v>137</v>
      </c>
      <c r="P7" t="s">
        <v>137</v>
      </c>
      <c r="Q7">
        <v>1</v>
      </c>
      <c r="X7">
        <v>3.4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1</v>
      </c>
      <c r="AF7" t="s">
        <v>99</v>
      </c>
      <c r="AG7">
        <v>2.72</v>
      </c>
      <c r="AH7">
        <v>3</v>
      </c>
      <c r="AI7">
        <v>-1</v>
      </c>
      <c r="AJ7" t="s">
        <v>3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>
        <f>ROW(Source!A138)</f>
        <v>138</v>
      </c>
      <c r="B8">
        <v>51975347</v>
      </c>
      <c r="C8">
        <v>51975346</v>
      </c>
      <c r="D8">
        <v>51377563</v>
      </c>
      <c r="E8">
        <v>1077</v>
      </c>
      <c r="F8">
        <v>1</v>
      </c>
      <c r="G8">
        <v>1077</v>
      </c>
      <c r="H8">
        <v>1</v>
      </c>
      <c r="I8" t="s">
        <v>135</v>
      </c>
      <c r="J8" t="s">
        <v>3</v>
      </c>
      <c r="K8" t="s">
        <v>136</v>
      </c>
      <c r="L8">
        <v>1191</v>
      </c>
      <c r="N8">
        <v>1013</v>
      </c>
      <c r="O8" t="s">
        <v>137</v>
      </c>
      <c r="P8" t="s">
        <v>137</v>
      </c>
      <c r="Q8">
        <v>1</v>
      </c>
      <c r="X8">
        <v>4.9000000000000004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1</v>
      </c>
      <c r="AF8" t="s">
        <v>99</v>
      </c>
      <c r="AG8">
        <v>3.9200000000000004</v>
      </c>
      <c r="AH8">
        <v>3</v>
      </c>
      <c r="AI8">
        <v>-1</v>
      </c>
      <c r="AJ8" t="s">
        <v>3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>
        <f>ROW(Source!A139)</f>
        <v>139</v>
      </c>
      <c r="B9">
        <v>51975349</v>
      </c>
      <c r="C9">
        <v>51975348</v>
      </c>
      <c r="D9">
        <v>51377563</v>
      </c>
      <c r="E9">
        <v>1077</v>
      </c>
      <c r="F9">
        <v>1</v>
      </c>
      <c r="G9">
        <v>1077</v>
      </c>
      <c r="H9">
        <v>1</v>
      </c>
      <c r="I9" t="s">
        <v>135</v>
      </c>
      <c r="J9" t="s">
        <v>3</v>
      </c>
      <c r="K9" t="s">
        <v>136</v>
      </c>
      <c r="L9">
        <v>1191</v>
      </c>
      <c r="N9">
        <v>1013</v>
      </c>
      <c r="O9" t="s">
        <v>137</v>
      </c>
      <c r="P9" t="s">
        <v>137</v>
      </c>
      <c r="Q9">
        <v>1</v>
      </c>
      <c r="X9">
        <v>1.6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1</v>
      </c>
      <c r="AF9" t="s">
        <v>99</v>
      </c>
      <c r="AG9">
        <v>1.2800000000000002</v>
      </c>
      <c r="AH9">
        <v>3</v>
      </c>
      <c r="AI9">
        <v>-1</v>
      </c>
      <c r="AJ9" t="s">
        <v>3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>
        <f>ROW(Source!A140)</f>
        <v>140</v>
      </c>
      <c r="B10">
        <v>51975351</v>
      </c>
      <c r="C10">
        <v>51975350</v>
      </c>
      <c r="D10">
        <v>51377563</v>
      </c>
      <c r="E10">
        <v>1077</v>
      </c>
      <c r="F10">
        <v>1</v>
      </c>
      <c r="G10">
        <v>1077</v>
      </c>
      <c r="H10">
        <v>1</v>
      </c>
      <c r="I10" t="s">
        <v>135</v>
      </c>
      <c r="J10" t="s">
        <v>3</v>
      </c>
      <c r="K10" t="s">
        <v>136</v>
      </c>
      <c r="L10">
        <v>1191</v>
      </c>
      <c r="N10">
        <v>1013</v>
      </c>
      <c r="O10" t="s">
        <v>137</v>
      </c>
      <c r="P10" t="s">
        <v>137</v>
      </c>
      <c r="Q10">
        <v>1</v>
      </c>
      <c r="X10">
        <v>56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1</v>
      </c>
      <c r="AF10" t="s">
        <v>99</v>
      </c>
      <c r="AG10">
        <v>44.800000000000004</v>
      </c>
      <c r="AH10">
        <v>3</v>
      </c>
      <c r="AI10">
        <v>-1</v>
      </c>
      <c r="AJ10" t="s">
        <v>3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ColWidth="9.140625" defaultRowHeight="12.75" x14ac:dyDescent="0.2"/>
  <cols>
    <col min="1" max="256" width="9.140625" customWidth="1"/>
  </cols>
  <sheetData/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Y1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0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73582</v>
      </c>
      <c r="M1">
        <v>10</v>
      </c>
      <c r="N1">
        <v>11</v>
      </c>
      <c r="O1">
        <v>13</v>
      </c>
      <c r="P1">
        <v>0</v>
      </c>
      <c r="Q1">
        <v>1</v>
      </c>
    </row>
    <row r="12" spans="1:103" x14ac:dyDescent="0.2">
      <c r="F12" t="str">
        <f>Source!F12</f>
        <v>319703/ПС-24-ТП-ТМ</v>
      </c>
      <c r="G12" t="str">
        <f>Source!G12</f>
        <v>ПНР ТП с ИБ г.Москва, Феодосийская ул., зу 7_3кв24</v>
      </c>
      <c r="AB12" t="s">
        <v>3</v>
      </c>
      <c r="AC12" t="s">
        <v>3</v>
      </c>
      <c r="AD12" t="s">
        <v>3</v>
      </c>
      <c r="AE12" t="s">
        <v>3</v>
      </c>
      <c r="AH12" t="s">
        <v>3</v>
      </c>
      <c r="AI12" t="s">
        <v>3</v>
      </c>
      <c r="CY12">
        <f>Source!CY12</f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02-01-09</vt:lpstr>
      <vt:lpstr>Source</vt:lpstr>
      <vt:lpstr>SourceObSm</vt:lpstr>
      <vt:lpstr>SmtRes</vt:lpstr>
      <vt:lpstr>EtalonRes</vt:lpstr>
      <vt:lpstr>SrcPoprs</vt:lpstr>
      <vt:lpstr>SrcKA</vt:lpstr>
      <vt:lpstr>'02-01-09'!Заголовки_для_печати</vt:lpstr>
      <vt:lpstr>'02-01-09'!Область_печати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Артеменко Анна</dc:creator>
  <cp:lastModifiedBy>User</cp:lastModifiedBy>
  <cp:lastPrinted>2025-08-26T07:29:24Z</cp:lastPrinted>
  <dcterms:created xsi:type="dcterms:W3CDTF">2025-08-25T13:19:38Z</dcterms:created>
  <dcterms:modified xsi:type="dcterms:W3CDTF">2025-10-13T07:18:09Z</dcterms:modified>
</cp:coreProperties>
</file>